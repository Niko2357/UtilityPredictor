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ml.chartshapes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vo Mraz\Documents\Záloha Ivo 2023_09_04\Osobní\Osobní\Kybalovka\Odečty, faktury, objednávky\Odečty\Odečty 2026\"/>
    </mc:Choice>
  </mc:AlternateContent>
  <xr:revisionPtr revIDLastSave="0" documentId="13_ncr:1_{6BEE3BA6-EFD9-4E9A-BC58-78D82B57D4BD}" xr6:coauthVersionLast="47" xr6:coauthVersionMax="47" xr10:uidLastSave="{00000000-0000-0000-0000-000000000000}"/>
  <bookViews>
    <workbookView xWindow="-110" yWindow="-110" windowWidth="25820" windowHeight="13900" tabRatio="743" firstSheet="2" activeTab="11" xr2:uid="{00000000-000D-0000-FFFF-FFFF00000000}"/>
  </bookViews>
  <sheets>
    <sheet name="Byty odkazy" sheetId="28" state="hidden" r:id="rId1"/>
    <sheet name="Byty hodnoty" sheetId="30" state="hidden" r:id="rId2"/>
    <sheet name="1850" sheetId="1" r:id="rId3"/>
    <sheet name="1851" sheetId="2" r:id="rId4"/>
    <sheet name="1852" sheetId="3" r:id="rId5"/>
    <sheet name="1853" sheetId="4" r:id="rId6"/>
    <sheet name="1854" sheetId="5" r:id="rId7"/>
    <sheet name="1855" sheetId="6" r:id="rId8"/>
    <sheet name="1856" sheetId="7" r:id="rId9"/>
    <sheet name="1857" sheetId="8" r:id="rId10"/>
    <sheet name="S1" sheetId="9" r:id="rId11"/>
    <sheet name="S2" sheetId="10" r:id="rId12"/>
    <sheet name="S3" sheetId="11" state="hidden" r:id="rId13"/>
    <sheet name="S4" sheetId="12" state="hidden" r:id="rId14"/>
    <sheet name="S5" sheetId="13" state="hidden" r:id="rId15"/>
    <sheet name="S6" sheetId="14" state="hidden" r:id="rId16"/>
    <sheet name="S7" sheetId="15" state="hidden" r:id="rId17"/>
    <sheet name="S8" sheetId="16" state="hidden" r:id="rId18"/>
    <sheet name="S9" sheetId="24" state="hidden" r:id="rId19"/>
    <sheet name="S10" sheetId="18" state="hidden" r:id="rId20"/>
    <sheet name="S11" sheetId="19" state="hidden" r:id="rId21"/>
    <sheet name="S12" sheetId="20" state="hidden" r:id="rId22"/>
    <sheet name="Rozdíly (2)" sheetId="22" state="hidden" r:id="rId23"/>
    <sheet name="S 2025" sheetId="23" state="hidden" r:id="rId24"/>
    <sheet name="S 2024 %" sheetId="27" state="hidden" r:id="rId25"/>
    <sheet name="Rozdíly" sheetId="21" r:id="rId26"/>
    <sheet name="Teplo-Paty" sheetId="25" r:id="rId27"/>
    <sheet name="Voda-Paty" sheetId="26" r:id="rId28"/>
  </sheets>
  <externalReferences>
    <externalReference r:id="rId29"/>
  </externalReferences>
  <definedNames>
    <definedName name="_xlnm.Print_Area" localSheetId="2">'1850'!$A$1:$P$29</definedName>
    <definedName name="_xlnm.Print_Area" localSheetId="3">'1851'!$A$1:$Q$49</definedName>
    <definedName name="_xlnm.Print_Area" localSheetId="4">'1852'!$A$1:$P$30</definedName>
    <definedName name="_xlnm.Print_Area" localSheetId="5">'1853'!$A$1:$P$33</definedName>
    <definedName name="_xlnm.Print_Area" localSheetId="6">'1854'!$A$1:$O$30</definedName>
    <definedName name="_xlnm.Print_Area" localSheetId="7">'1855'!$A$1:$O$31</definedName>
    <definedName name="_xlnm.Print_Area" localSheetId="8">'1856'!$A$1:$O$31</definedName>
    <definedName name="_xlnm.Print_Area" localSheetId="9">'1857'!$A$1:$O$30</definedName>
    <definedName name="_xlnm.Print_Area" localSheetId="1">'Byty hodnoty'!$A$1:$E$22</definedName>
    <definedName name="_xlnm.Print_Area" localSheetId="0">'Byty odkazy'!$A$1:$E$22</definedName>
    <definedName name="_xlnm.Print_Area" localSheetId="23">'S 2025'!$A$1:$P$31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6" l="1"/>
  <c r="D13" i="26"/>
  <c r="D12" i="26"/>
  <c r="D11" i="26"/>
  <c r="D10" i="26"/>
  <c r="D9" i="26"/>
  <c r="D8" i="26"/>
  <c r="D7" i="26"/>
  <c r="D6" i="26"/>
  <c r="D5" i="26"/>
  <c r="D4" i="26"/>
  <c r="F2" i="8"/>
  <c r="F2" i="7"/>
  <c r="F2" i="6"/>
  <c r="F2" i="5"/>
  <c r="F2" i="3"/>
  <c r="AM47" i="2"/>
  <c r="AM48" i="2"/>
  <c r="G2" i="2"/>
  <c r="D7" i="25" l="1"/>
  <c r="D8" i="25"/>
  <c r="D10" i="25"/>
  <c r="D11" i="25"/>
  <c r="D13" i="25"/>
  <c r="D14" i="25"/>
  <c r="D16" i="25"/>
  <c r="D17" i="25"/>
  <c r="D19" i="25"/>
  <c r="D20" i="25"/>
  <c r="D22" i="25"/>
  <c r="D23" i="25"/>
  <c r="D25" i="25"/>
  <c r="D26" i="25"/>
  <c r="F2" i="4"/>
  <c r="E2" i="8"/>
  <c r="E2" i="7"/>
  <c r="E2" i="6"/>
  <c r="E2" i="5"/>
  <c r="E2" i="4"/>
  <c r="E2" i="3"/>
  <c r="D27" i="25" l="1"/>
  <c r="D24" i="25"/>
  <c r="D21" i="25"/>
  <c r="D18" i="25"/>
  <c r="D15" i="25"/>
  <c r="D12" i="25"/>
  <c r="D9" i="25"/>
  <c r="AX54" i="2"/>
  <c r="F2" i="2" l="1"/>
  <c r="D4" i="11"/>
  <c r="Q29" i="5"/>
  <c r="X10" i="3"/>
  <c r="Q10" i="3"/>
  <c r="Q29" i="1"/>
  <c r="L28" i="23"/>
  <c r="J28" i="23"/>
  <c r="L18" i="23" l="1"/>
  <c r="B7" i="27" l="1"/>
  <c r="L7" i="27"/>
  <c r="L22" i="27"/>
  <c r="B22" i="27"/>
  <c r="G33" i="1" l="1"/>
  <c r="G32" i="1"/>
  <c r="B22" i="23"/>
  <c r="B7" i="23"/>
  <c r="E195" i="30"/>
  <c r="E175" i="28"/>
  <c r="E176" i="28"/>
  <c r="E177" i="28"/>
  <c r="E178" i="28"/>
  <c r="E179" i="28"/>
  <c r="E180" i="28"/>
  <c r="E181" i="28"/>
  <c r="E182" i="28"/>
  <c r="E183" i="28"/>
  <c r="E184" i="28"/>
  <c r="E185" i="28"/>
  <c r="E186" i="28"/>
  <c r="E187" i="28"/>
  <c r="E188" i="28"/>
  <c r="E189" i="28"/>
  <c r="E190" i="28"/>
  <c r="E191" i="28"/>
  <c r="E192" i="28"/>
  <c r="E193" i="28"/>
  <c r="E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74" i="28"/>
  <c r="C29" i="8"/>
  <c r="E153" i="28"/>
  <c r="E154" i="28"/>
  <c r="E155" i="28"/>
  <c r="E156" i="28"/>
  <c r="E157" i="28"/>
  <c r="E158" i="28"/>
  <c r="E159" i="28"/>
  <c r="E160" i="28"/>
  <c r="E161" i="28"/>
  <c r="E162" i="28"/>
  <c r="E163" i="28"/>
  <c r="E164" i="28"/>
  <c r="E165" i="28"/>
  <c r="E166" i="28"/>
  <c r="E167" i="28"/>
  <c r="E168" i="28"/>
  <c r="E169" i="28"/>
  <c r="E170" i="28"/>
  <c r="E171" i="28"/>
  <c r="E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52" i="28"/>
  <c r="C29" i="7"/>
  <c r="C29" i="6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148" i="28"/>
  <c r="E149" i="28"/>
  <c r="E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30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26" i="28"/>
  <c r="E127" i="28"/>
  <c r="E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08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86" i="28"/>
  <c r="E69" i="28"/>
  <c r="E70" i="28"/>
  <c r="C70" i="28"/>
  <c r="C69" i="28"/>
  <c r="E64" i="28"/>
  <c r="E65" i="28"/>
  <c r="E66" i="28"/>
  <c r="E67" i="28"/>
  <c r="E68" i="28"/>
  <c r="E71" i="28"/>
  <c r="E72" i="28"/>
  <c r="E73" i="28"/>
  <c r="E74" i="28"/>
  <c r="E75" i="28"/>
  <c r="E76" i="28"/>
  <c r="E77" i="28"/>
  <c r="E78" i="28"/>
  <c r="E79" i="28"/>
  <c r="E80" i="28"/>
  <c r="E81" i="28"/>
  <c r="E82" i="28"/>
  <c r="E83" i="28"/>
  <c r="C64" i="28"/>
  <c r="C65" i="28"/>
  <c r="C66" i="28"/>
  <c r="C67" i="28"/>
  <c r="C68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E63" i="28"/>
  <c r="C63" i="28"/>
  <c r="E52" i="28"/>
  <c r="E53" i="28"/>
  <c r="E54" i="28"/>
  <c r="E55" i="28"/>
  <c r="E56" i="28"/>
  <c r="E57" i="28"/>
  <c r="E58" i="28"/>
  <c r="E59" i="28"/>
  <c r="E60" i="28"/>
  <c r="E51" i="28"/>
  <c r="C52" i="28"/>
  <c r="C53" i="28"/>
  <c r="C54" i="28"/>
  <c r="C55" i="28"/>
  <c r="C56" i="28"/>
  <c r="C57" i="28"/>
  <c r="C58" i="28"/>
  <c r="C59" i="28"/>
  <c r="C60" i="28"/>
  <c r="C51" i="28"/>
  <c r="C46" i="28"/>
  <c r="C47" i="28"/>
  <c r="C48" i="28"/>
  <c r="C49" i="28"/>
  <c r="C45" i="28"/>
  <c r="E46" i="28"/>
  <c r="E47" i="28"/>
  <c r="E48" i="28"/>
  <c r="E49" i="28"/>
  <c r="E45" i="28"/>
  <c r="E25" i="28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24" i="28"/>
  <c r="E3" i="28"/>
  <c r="E4" i="28"/>
  <c r="E5" i="28"/>
  <c r="E6" i="28"/>
  <c r="E7" i="28"/>
  <c r="E8" i="28"/>
  <c r="E9" i="28"/>
  <c r="E10" i="28"/>
  <c r="E11" i="28"/>
  <c r="E12" i="28"/>
  <c r="E13" i="28"/>
  <c r="E14" i="28"/>
  <c r="E15" i="28"/>
  <c r="E16" i="28"/>
  <c r="E17" i="28"/>
  <c r="E18" i="28"/>
  <c r="E19" i="28"/>
  <c r="E20" i="28"/>
  <c r="E21" i="28"/>
  <c r="E2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24" i="28"/>
  <c r="D2" i="28"/>
  <c r="D3" i="28" s="1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4" i="28"/>
  <c r="C3" i="28"/>
  <c r="C2" i="28"/>
  <c r="C30" i="4"/>
  <c r="C29" i="3"/>
  <c r="D29" i="2"/>
  <c r="B22" i="20"/>
  <c r="M19" i="20"/>
  <c r="L19" i="20"/>
  <c r="AG4" i="8"/>
  <c r="AG6" i="8"/>
  <c r="AG8" i="8"/>
  <c r="AG10" i="8"/>
  <c r="AG12" i="8"/>
  <c r="AG14" i="8"/>
  <c r="AG16" i="8"/>
  <c r="AG18" i="8"/>
  <c r="AG20" i="8"/>
  <c r="AG22" i="8"/>
  <c r="AG4" i="7"/>
  <c r="AG6" i="7"/>
  <c r="AG8" i="7"/>
  <c r="AG10" i="7"/>
  <c r="AG12" i="7"/>
  <c r="AG14" i="7"/>
  <c r="AG16" i="7"/>
  <c r="AG18" i="7"/>
  <c r="AG20" i="7"/>
  <c r="AG22" i="7"/>
  <c r="C25" i="20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O39" i="5"/>
  <c r="P34" i="5"/>
  <c r="P33" i="5"/>
  <c r="P35" i="5" s="1"/>
  <c r="Q29" i="8"/>
  <c r="N22" i="20"/>
  <c r="M21" i="20"/>
  <c r="AG4" i="5"/>
  <c r="AG6" i="5"/>
  <c r="AG8" i="5"/>
  <c r="AG10" i="5"/>
  <c r="AG12" i="5"/>
  <c r="AG14" i="5"/>
  <c r="AG16" i="5"/>
  <c r="AG18" i="5"/>
  <c r="AG20" i="5"/>
  <c r="AG22" i="5"/>
  <c r="B7" i="20"/>
  <c r="N7" i="20"/>
  <c r="AG27" i="4"/>
  <c r="AG4" i="4"/>
  <c r="AG6" i="4"/>
  <c r="AG8" i="4"/>
  <c r="AG10" i="4"/>
  <c r="AG12" i="4"/>
  <c r="AG14" i="4"/>
  <c r="AG16" i="4"/>
  <c r="AG18" i="4"/>
  <c r="AG20" i="4"/>
  <c r="AG22" i="4"/>
  <c r="H32" i="3"/>
  <c r="AG4" i="3"/>
  <c r="AG6" i="3"/>
  <c r="AG8" i="3"/>
  <c r="AG10" i="3"/>
  <c r="AG12" i="3"/>
  <c r="AG14" i="3"/>
  <c r="AG16" i="3"/>
  <c r="AG18" i="3"/>
  <c r="AG20" i="3"/>
  <c r="AG22" i="3"/>
  <c r="AH4" i="2"/>
  <c r="AH6" i="2"/>
  <c r="AH8" i="2"/>
  <c r="AH10" i="2"/>
  <c r="AH12" i="2"/>
  <c r="AH14" i="2"/>
  <c r="AH15" i="2"/>
  <c r="AH16" i="2"/>
  <c r="AH18" i="2"/>
  <c r="AH20" i="2"/>
  <c r="AH22" i="2"/>
  <c r="AH49" i="2"/>
  <c r="AH48" i="2"/>
  <c r="AH19" i="2" s="1"/>
  <c r="AH47" i="2"/>
  <c r="AH46" i="2"/>
  <c r="AH45" i="2"/>
  <c r="AH44" i="2"/>
  <c r="AH13" i="2" s="1"/>
  <c r="AH43" i="2"/>
  <c r="AH42" i="2"/>
  <c r="AH9" i="2" s="1"/>
  <c r="AH41" i="2"/>
  <c r="AH40" i="2"/>
  <c r="AH7" i="2" s="1"/>
  <c r="AH33" i="2"/>
  <c r="AH34" i="2"/>
  <c r="AH35" i="2"/>
  <c r="AH36" i="2"/>
  <c r="AH37" i="2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K24" i="6"/>
  <c r="AK29" i="6" s="1"/>
  <c r="E195" i="28" l="1"/>
  <c r="D108" i="28"/>
  <c r="D109" i="28" s="1"/>
  <c r="D110" i="28" s="1"/>
  <c r="D111" i="28" s="1"/>
  <c r="D112" i="28" s="1"/>
  <c r="D113" i="28" s="1"/>
  <c r="D114" i="28" s="1"/>
  <c r="D115" i="28" s="1"/>
  <c r="D116" i="28" s="1"/>
  <c r="D117" i="28" s="1"/>
  <c r="D118" i="28" s="1"/>
  <c r="D119" i="28" s="1"/>
  <c r="D120" i="28" s="1"/>
  <c r="D121" i="28" s="1"/>
  <c r="D122" i="28" s="1"/>
  <c r="D123" i="28" s="1"/>
  <c r="D124" i="28" s="1"/>
  <c r="D125" i="28" s="1"/>
  <c r="D126" i="28" s="1"/>
  <c r="D127" i="28" s="1"/>
  <c r="D130" i="28"/>
  <c r="D131" i="28" s="1"/>
  <c r="D132" i="28" s="1"/>
  <c r="D133" i="28" s="1"/>
  <c r="D134" i="28" s="1"/>
  <c r="D135" i="28" s="1"/>
  <c r="D136" i="28" s="1"/>
  <c r="D137" i="28" s="1"/>
  <c r="D138" i="28" s="1"/>
  <c r="D139" i="28" s="1"/>
  <c r="D140" i="28" s="1"/>
  <c r="D141" i="28" s="1"/>
  <c r="D142" i="28" s="1"/>
  <c r="D143" i="28" s="1"/>
  <c r="D144" i="28" s="1"/>
  <c r="D145" i="28" s="1"/>
  <c r="D146" i="28" s="1"/>
  <c r="D147" i="28" s="1"/>
  <c r="D148" i="28" s="1"/>
  <c r="D149" i="28" s="1"/>
  <c r="D152" i="28"/>
  <c r="D153" i="28" s="1"/>
  <c r="D154" i="28" s="1"/>
  <c r="D155" i="28" s="1"/>
  <c r="D156" i="28" s="1"/>
  <c r="D157" i="28" s="1"/>
  <c r="D158" i="28" s="1"/>
  <c r="D159" i="28" s="1"/>
  <c r="D160" i="28" s="1"/>
  <c r="D161" i="28" s="1"/>
  <c r="D162" i="28" s="1"/>
  <c r="D163" i="28" s="1"/>
  <c r="D164" i="28" s="1"/>
  <c r="D165" i="28" s="1"/>
  <c r="D166" i="28" s="1"/>
  <c r="D167" i="28" s="1"/>
  <c r="D168" i="28" s="1"/>
  <c r="D169" i="28" s="1"/>
  <c r="D170" i="28" s="1"/>
  <c r="D171" i="28" s="1"/>
  <c r="D86" i="28"/>
  <c r="D87" i="28" s="1"/>
  <c r="D88" i="28" s="1"/>
  <c r="D89" i="28" s="1"/>
  <c r="D90" i="28" s="1"/>
  <c r="D91" i="28" s="1"/>
  <c r="D92" i="28" s="1"/>
  <c r="D93" i="28" s="1"/>
  <c r="D94" i="28" s="1"/>
  <c r="D95" i="28" s="1"/>
  <c r="D96" i="28" s="1"/>
  <c r="D97" i="28" s="1"/>
  <c r="D98" i="28" s="1"/>
  <c r="D99" i="28" s="1"/>
  <c r="D100" i="28" s="1"/>
  <c r="D101" i="28" s="1"/>
  <c r="D102" i="28" s="1"/>
  <c r="D103" i="28" s="1"/>
  <c r="D104" i="28" s="1"/>
  <c r="D105" i="28" s="1"/>
  <c r="D63" i="28"/>
  <c r="D64" i="28" s="1"/>
  <c r="D65" i="28" s="1"/>
  <c r="D66" i="28" s="1"/>
  <c r="D67" i="28" s="1"/>
  <c r="D68" i="28" s="1"/>
  <c r="D70" i="28" s="1"/>
  <c r="D174" i="28"/>
  <c r="D175" i="28" s="1"/>
  <c r="D176" i="28" s="1"/>
  <c r="D177" i="28" s="1"/>
  <c r="D178" i="28" s="1"/>
  <c r="D179" i="28" s="1"/>
  <c r="D180" i="28" s="1"/>
  <c r="D181" i="28" s="1"/>
  <c r="D182" i="28" s="1"/>
  <c r="D183" i="28" s="1"/>
  <c r="D184" i="28" s="1"/>
  <c r="D185" i="28" s="1"/>
  <c r="D186" i="28" s="1"/>
  <c r="D187" i="28" s="1"/>
  <c r="D188" i="28" s="1"/>
  <c r="D189" i="28" s="1"/>
  <c r="D190" i="28" s="1"/>
  <c r="D191" i="28" s="1"/>
  <c r="D192" i="28" s="1"/>
  <c r="D193" i="28" s="1"/>
  <c r="D24" i="28"/>
  <c r="D25" i="28" s="1"/>
  <c r="D26" i="28" s="1"/>
  <c r="D27" i="28" s="1"/>
  <c r="D28" i="28" s="1"/>
  <c r="D29" i="28" s="1"/>
  <c r="D30" i="28" s="1"/>
  <c r="D31" i="28" s="1"/>
  <c r="D32" i="28" s="1"/>
  <c r="D33" i="28" s="1"/>
  <c r="D34" i="28" s="1"/>
  <c r="D35" i="28" s="1"/>
  <c r="D36" i="28" s="1"/>
  <c r="D37" i="28" s="1"/>
  <c r="D38" i="28" s="1"/>
  <c r="D39" i="28" s="1"/>
  <c r="D40" i="28" s="1"/>
  <c r="D41" i="28" s="1"/>
  <c r="D42" i="28" s="1"/>
  <c r="D43" i="28" s="1"/>
  <c r="D45" i="28" s="1"/>
  <c r="D46" i="28" s="1"/>
  <c r="D47" i="28" s="1"/>
  <c r="D48" i="28" s="1"/>
  <c r="D49" i="28" s="1"/>
  <c r="D51" i="28" s="1"/>
  <c r="D52" i="28" s="1"/>
  <c r="D53" i="28" s="1"/>
  <c r="D54" i="28" s="1"/>
  <c r="D55" i="28" s="1"/>
  <c r="D56" i="28" s="1"/>
  <c r="D57" i="28" s="1"/>
  <c r="D58" i="28" s="1"/>
  <c r="D59" i="28" s="1"/>
  <c r="D60" i="28" s="1"/>
  <c r="Q29" i="6"/>
  <c r="Q29" i="7"/>
  <c r="D71" i="28"/>
  <c r="D73" i="28" s="1"/>
  <c r="D75" i="28" s="1"/>
  <c r="D77" i="28" s="1"/>
  <c r="D79" i="28" s="1"/>
  <c r="D81" i="28" s="1"/>
  <c r="D83" i="28" s="1"/>
  <c r="D72" i="28"/>
  <c r="D74" i="28" s="1"/>
  <c r="D76" i="28" s="1"/>
  <c r="D78" i="28" s="1"/>
  <c r="D80" i="28" s="1"/>
  <c r="D82" i="28" s="1"/>
  <c r="D4" i="28"/>
  <c r="D5" i="28" l="1"/>
  <c r="D6" i="28" l="1"/>
  <c r="D7" i="28" l="1"/>
  <c r="E4" i="24"/>
  <c r="BS54" i="2"/>
  <c r="BR54" i="2"/>
  <c r="BQ54" i="2"/>
  <c r="BP54" i="2"/>
  <c r="BO54" i="2"/>
  <c r="BN54" i="2"/>
  <c r="BL54" i="2"/>
  <c r="BK54" i="2"/>
  <c r="BJ54" i="2"/>
  <c r="BI54" i="2"/>
  <c r="D8" i="28" l="1"/>
  <c r="BT26" i="2"/>
  <c r="BS26" i="2"/>
  <c r="BR26" i="2"/>
  <c r="BQ26" i="2"/>
  <c r="BP26" i="2"/>
  <c r="BO26" i="2"/>
  <c r="BL12" i="2"/>
  <c r="BL26" i="2" s="1"/>
  <c r="BK12" i="2"/>
  <c r="BK26" i="2" s="1"/>
  <c r="BJ12" i="2"/>
  <c r="BJ26" i="2" s="1"/>
  <c r="BI12" i="2"/>
  <c r="BI26" i="2" s="1"/>
  <c r="BH12" i="2"/>
  <c r="BG12" i="2"/>
  <c r="BF12" i="2"/>
  <c r="BE12" i="2"/>
  <c r="BD12" i="2"/>
  <c r="BC12" i="2"/>
  <c r="BB12" i="2"/>
  <c r="BN12" i="2" s="1"/>
  <c r="BN26" i="2" s="1"/>
  <c r="H29" i="11"/>
  <c r="D9" i="28" l="1"/>
  <c r="H28" i="11"/>
  <c r="D10" i="28" l="1"/>
  <c r="E5" i="23"/>
  <c r="D5" i="23"/>
  <c r="C5" i="23"/>
  <c r="B5" i="23"/>
  <c r="E20" i="23"/>
  <c r="D20" i="23"/>
  <c r="C20" i="23"/>
  <c r="B20" i="23"/>
  <c r="E20" i="20"/>
  <c r="D20" i="20"/>
  <c r="C20" i="20"/>
  <c r="B20" i="20"/>
  <c r="E19" i="20"/>
  <c r="D19" i="20"/>
  <c r="C19" i="20"/>
  <c r="B19" i="20"/>
  <c r="E5" i="20"/>
  <c r="D5" i="20"/>
  <c r="C5" i="20"/>
  <c r="B5" i="20"/>
  <c r="E4" i="20"/>
  <c r="D4" i="20"/>
  <c r="C4" i="20"/>
  <c r="B4" i="20"/>
  <c r="E27" i="13"/>
  <c r="D27" i="13"/>
  <c r="C27" i="13"/>
  <c r="B27" i="13"/>
  <c r="S25" i="8"/>
  <c r="Q26" i="8"/>
  <c r="Q6" i="8"/>
  <c r="Q8" i="8"/>
  <c r="Q10" i="8"/>
  <c r="Q12" i="8"/>
  <c r="Q14" i="8"/>
  <c r="Q16" i="8"/>
  <c r="Q18" i="8"/>
  <c r="Q20" i="8"/>
  <c r="Q22" i="8"/>
  <c r="Q4" i="8"/>
  <c r="S25" i="7"/>
  <c r="Q26" i="7"/>
  <c r="Q6" i="7"/>
  <c r="Q8" i="7"/>
  <c r="Q10" i="7"/>
  <c r="Q12" i="7"/>
  <c r="Q14" i="7"/>
  <c r="Q16" i="7"/>
  <c r="Q18" i="7"/>
  <c r="Q20" i="7"/>
  <c r="Q22" i="7"/>
  <c r="Q4" i="7"/>
  <c r="S25" i="6"/>
  <c r="Q26" i="6"/>
  <c r="Q6" i="6"/>
  <c r="Q8" i="6"/>
  <c r="Q10" i="6"/>
  <c r="Q12" i="6"/>
  <c r="Q14" i="6"/>
  <c r="Q16" i="6"/>
  <c r="Q18" i="6"/>
  <c r="Q20" i="6"/>
  <c r="Q22" i="6"/>
  <c r="Q4" i="6"/>
  <c r="S25" i="5"/>
  <c r="Q26" i="5"/>
  <c r="Q6" i="5"/>
  <c r="Q8" i="5"/>
  <c r="Q10" i="5"/>
  <c r="Q12" i="5"/>
  <c r="Q14" i="5"/>
  <c r="Q16" i="5"/>
  <c r="Q18" i="5"/>
  <c r="Q20" i="5"/>
  <c r="Q22" i="5"/>
  <c r="Q4" i="5"/>
  <c r="Q27" i="4"/>
  <c r="Q6" i="4"/>
  <c r="Q8" i="4"/>
  <c r="Q10" i="4"/>
  <c r="Q12" i="4"/>
  <c r="Q14" i="4"/>
  <c r="Q16" i="4"/>
  <c r="Q18" i="4"/>
  <c r="Q20" i="4"/>
  <c r="Q22" i="4"/>
  <c r="Q4" i="4"/>
  <c r="Q26" i="3"/>
  <c r="Q6" i="3"/>
  <c r="Q8" i="3"/>
  <c r="Q12" i="3"/>
  <c r="Q14" i="3"/>
  <c r="Q16" i="3"/>
  <c r="Q18" i="3"/>
  <c r="Q20" i="3"/>
  <c r="Q22" i="3"/>
  <c r="Q4" i="3"/>
  <c r="R6" i="2"/>
  <c r="R8" i="2"/>
  <c r="R10" i="2"/>
  <c r="R12" i="2"/>
  <c r="R14" i="2"/>
  <c r="R16" i="2"/>
  <c r="R18" i="2"/>
  <c r="R20" i="2"/>
  <c r="R22" i="2"/>
  <c r="R4" i="2"/>
  <c r="R26" i="2"/>
  <c r="R33" i="2"/>
  <c r="R34" i="2"/>
  <c r="R35" i="2"/>
  <c r="R36" i="2"/>
  <c r="R37" i="2"/>
  <c r="R40" i="2"/>
  <c r="R41" i="2"/>
  <c r="R42" i="2"/>
  <c r="R43" i="2"/>
  <c r="R44" i="2"/>
  <c r="R45" i="2"/>
  <c r="R46" i="2"/>
  <c r="R47" i="2"/>
  <c r="R48" i="2"/>
  <c r="R49" i="2"/>
  <c r="Q26" i="1"/>
  <c r="Q6" i="1"/>
  <c r="Q8" i="1"/>
  <c r="Q10" i="1"/>
  <c r="Q12" i="1"/>
  <c r="Q14" i="1"/>
  <c r="Q16" i="1"/>
  <c r="Q18" i="1"/>
  <c r="Q20" i="1"/>
  <c r="Q22" i="1"/>
  <c r="Q4" i="1"/>
  <c r="D11" i="28" l="1"/>
  <c r="B21" i="20"/>
  <c r="B6" i="20"/>
  <c r="H49" i="4"/>
  <c r="D12" i="28" l="1"/>
  <c r="E27" i="23"/>
  <c r="E27" i="27" s="1"/>
  <c r="D27" i="23"/>
  <c r="D27" i="27" s="1"/>
  <c r="C27" i="23"/>
  <c r="C27" i="27" s="1"/>
  <c r="B27" i="23"/>
  <c r="B27" i="27" s="1"/>
  <c r="D13" i="28" l="1"/>
  <c r="E20" i="27"/>
  <c r="D20" i="27"/>
  <c r="C20" i="27"/>
  <c r="B20" i="27"/>
  <c r="E5" i="27"/>
  <c r="D5" i="27"/>
  <c r="C5" i="27"/>
  <c r="B5" i="27"/>
  <c r="D14" i="28" l="1"/>
  <c r="O40" i="5"/>
  <c r="O38" i="5"/>
  <c r="O42" i="5" s="1"/>
  <c r="P39" i="1"/>
  <c r="P37" i="1"/>
  <c r="C19" i="19"/>
  <c r="P41" i="1" l="1"/>
  <c r="D15" i="28"/>
  <c r="AN24" i="6"/>
  <c r="AN29" i="6" s="1"/>
  <c r="D16" i="28" l="1"/>
  <c r="AM24" i="6"/>
  <c r="AM29" i="6" s="1"/>
  <c r="D17" i="28" l="1"/>
  <c r="AJ26" i="6"/>
  <c r="AL24" i="6"/>
  <c r="AL29" i="6" s="1"/>
  <c r="D18" i="28" l="1"/>
  <c r="V6" i="6"/>
  <c r="D19" i="28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E5" i="1"/>
  <c r="D20" i="28" l="1"/>
  <c r="AE4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J5" i="25"/>
  <c r="AB23" i="1"/>
  <c r="AA23" i="1"/>
  <c r="AB21" i="1"/>
  <c r="AA21" i="1"/>
  <c r="AB19" i="1"/>
  <c r="AA19" i="1"/>
  <c r="AB17" i="1"/>
  <c r="AA17" i="1"/>
  <c r="AB15" i="1"/>
  <c r="AA15" i="1"/>
  <c r="AB13" i="1"/>
  <c r="AA13" i="1"/>
  <c r="AB11" i="1"/>
  <c r="AA11" i="1"/>
  <c r="AB9" i="1"/>
  <c r="AA9" i="1"/>
  <c r="AB7" i="1"/>
  <c r="AA7" i="1"/>
  <c r="AA5" i="1"/>
  <c r="AB5" i="1"/>
  <c r="AC23" i="1"/>
  <c r="AC21" i="1"/>
  <c r="AC19" i="1"/>
  <c r="AC17" i="1"/>
  <c r="AC15" i="1"/>
  <c r="AC13" i="1"/>
  <c r="AC11" i="1"/>
  <c r="AC9" i="1"/>
  <c r="AC7" i="1"/>
  <c r="AC5" i="1"/>
  <c r="D9" i="16"/>
  <c r="B5" i="11"/>
  <c r="X28" i="4"/>
  <c r="Y28" i="4"/>
  <c r="Z28" i="4"/>
  <c r="AA28" i="4"/>
  <c r="AB28" i="4"/>
  <c r="AC28" i="4"/>
  <c r="AD28" i="4"/>
  <c r="AE28" i="4"/>
  <c r="AF28" i="4"/>
  <c r="AG28" i="4"/>
  <c r="W28" i="4"/>
  <c r="V28" i="4"/>
  <c r="E4" i="25"/>
  <c r="J4" i="25"/>
  <c r="F4" i="25"/>
  <c r="G4" i="25"/>
  <c r="H4" i="25"/>
  <c r="I4" i="25"/>
  <c r="D4" i="25"/>
  <c r="C13" i="25"/>
  <c r="C10" i="25"/>
  <c r="C7" i="25"/>
  <c r="C19" i="25"/>
  <c r="C4" i="25"/>
  <c r="E10" i="23"/>
  <c r="D10" i="23"/>
  <c r="C10" i="23"/>
  <c r="B10" i="23"/>
  <c r="D24" i="18"/>
  <c r="E10" i="16"/>
  <c r="D10" i="16"/>
  <c r="C10" i="16"/>
  <c r="B10" i="16"/>
  <c r="E10" i="15"/>
  <c r="D10" i="15"/>
  <c r="C10" i="15"/>
  <c r="B10" i="15"/>
  <c r="E10" i="14"/>
  <c r="D10" i="14"/>
  <c r="C10" i="14"/>
  <c r="B10" i="14"/>
  <c r="E10" i="13"/>
  <c r="D10" i="13"/>
  <c r="C10" i="13"/>
  <c r="B10" i="13"/>
  <c r="E10" i="12"/>
  <c r="D10" i="12"/>
  <c r="C10" i="12"/>
  <c r="B10" i="12"/>
  <c r="E10" i="11"/>
  <c r="D10" i="11"/>
  <c r="C10" i="11"/>
  <c r="B10" i="11"/>
  <c r="E10" i="10"/>
  <c r="L9" i="21" s="1"/>
  <c r="D10" i="10"/>
  <c r="I9" i="21" s="1"/>
  <c r="C10" i="10"/>
  <c r="F9" i="21" s="1"/>
  <c r="B10" i="10"/>
  <c r="C9" i="21" s="1"/>
  <c r="E10" i="9"/>
  <c r="D10" i="9"/>
  <c r="C10" i="9"/>
  <c r="B10" i="9"/>
  <c r="R23" i="7"/>
  <c r="R7" i="7"/>
  <c r="R9" i="7"/>
  <c r="R11" i="7"/>
  <c r="R13" i="7"/>
  <c r="R15" i="7"/>
  <c r="R17" i="7"/>
  <c r="R19" i="7"/>
  <c r="R21" i="7"/>
  <c r="R5" i="7"/>
  <c r="R29" i="4"/>
  <c r="R28" i="4"/>
  <c r="R28" i="3"/>
  <c r="R27" i="3"/>
  <c r="S28" i="2"/>
  <c r="S27" i="2"/>
  <c r="R28" i="1"/>
  <c r="R27" i="1"/>
  <c r="D21" i="28" l="1"/>
  <c r="E10" i="27" l="1"/>
  <c r="D10" i="27"/>
  <c r="C10" i="27"/>
  <c r="B10" i="27"/>
  <c r="E10" i="20" l="1"/>
  <c r="D10" i="20"/>
  <c r="C10" i="20"/>
  <c r="B10" i="20"/>
  <c r="B19" i="19"/>
  <c r="D4" i="19"/>
  <c r="C4" i="19"/>
  <c r="E10" i="19"/>
  <c r="D10" i="19"/>
  <c r="C10" i="19"/>
  <c r="B10" i="19"/>
  <c r="E10" i="18"/>
  <c r="D10" i="18"/>
  <c r="C10" i="18"/>
  <c r="B10" i="18"/>
  <c r="AF12" i="5"/>
  <c r="AF20" i="3"/>
  <c r="AG8" i="2"/>
  <c r="E10" i="24"/>
  <c r="D10" i="24"/>
  <c r="C10" i="24"/>
  <c r="B10" i="24"/>
  <c r="L4" i="25"/>
  <c r="M4" i="25"/>
  <c r="N4" i="25"/>
  <c r="K4" i="25"/>
  <c r="AC4" i="1"/>
  <c r="AC6" i="1"/>
  <c r="AC8" i="1"/>
  <c r="AC10" i="1"/>
  <c r="AC12" i="1"/>
  <c r="AC14" i="1"/>
  <c r="AC16" i="1"/>
  <c r="AC18" i="1"/>
  <c r="AC20" i="1"/>
  <c r="AC22" i="1"/>
  <c r="B12" i="10"/>
  <c r="S25" i="1"/>
  <c r="F29" i="2"/>
  <c r="G29" i="2"/>
  <c r="H29" i="2"/>
  <c r="I29" i="2"/>
  <c r="J29" i="2"/>
  <c r="K29" i="2"/>
  <c r="L29" i="2"/>
  <c r="M29" i="2"/>
  <c r="N29" i="2"/>
  <c r="O29" i="2"/>
  <c r="P29" i="2"/>
  <c r="Q29" i="2"/>
  <c r="E29" i="2"/>
  <c r="W27" i="4" l="1"/>
  <c r="X27" i="4"/>
  <c r="Y27" i="4"/>
  <c r="Z27" i="4"/>
  <c r="AA27" i="4"/>
  <c r="AB27" i="4"/>
  <c r="AC27" i="4"/>
  <c r="AD27" i="4"/>
  <c r="AE27" i="4"/>
  <c r="AF27" i="4"/>
  <c r="V27" i="4"/>
  <c r="R23" i="1" l="1"/>
  <c r="S23" i="2"/>
  <c r="S7" i="2"/>
  <c r="S9" i="2"/>
  <c r="S11" i="2"/>
  <c r="S13" i="2"/>
  <c r="S15" i="2"/>
  <c r="S17" i="2"/>
  <c r="S19" i="2"/>
  <c r="S21" i="2"/>
  <c r="S5" i="2"/>
  <c r="R23" i="3"/>
  <c r="R7" i="3"/>
  <c r="R9" i="3"/>
  <c r="R11" i="3"/>
  <c r="R13" i="3"/>
  <c r="R15" i="3"/>
  <c r="R17" i="3"/>
  <c r="R19" i="3"/>
  <c r="R21" i="3"/>
  <c r="R5" i="3"/>
  <c r="R23" i="4"/>
  <c r="R7" i="4"/>
  <c r="R9" i="4"/>
  <c r="R11" i="4"/>
  <c r="R13" i="4"/>
  <c r="R15" i="4"/>
  <c r="R17" i="4"/>
  <c r="R19" i="4"/>
  <c r="R21" i="4"/>
  <c r="R5" i="4"/>
  <c r="R23" i="5"/>
  <c r="R7" i="5"/>
  <c r="R9" i="5"/>
  <c r="R11" i="5"/>
  <c r="R13" i="5"/>
  <c r="R15" i="5"/>
  <c r="R17" i="5"/>
  <c r="R19" i="5"/>
  <c r="R21" i="5"/>
  <c r="R5" i="5"/>
  <c r="R23" i="6"/>
  <c r="R7" i="6"/>
  <c r="R9" i="6"/>
  <c r="R11" i="6"/>
  <c r="R13" i="6"/>
  <c r="R15" i="6"/>
  <c r="R17" i="6"/>
  <c r="R19" i="6"/>
  <c r="R21" i="6"/>
  <c r="R5" i="6"/>
  <c r="R23" i="8"/>
  <c r="R7" i="8"/>
  <c r="R9" i="8"/>
  <c r="R11" i="8"/>
  <c r="R13" i="8"/>
  <c r="R15" i="8"/>
  <c r="R17" i="8"/>
  <c r="R19" i="8"/>
  <c r="R21" i="8"/>
  <c r="R5" i="8"/>
  <c r="B12" i="23"/>
  <c r="B12" i="27" s="1"/>
  <c r="AG25" i="4"/>
  <c r="AG32" i="4"/>
  <c r="AG33" i="4"/>
  <c r="AW8" i="2"/>
  <c r="L14" i="23"/>
  <c r="AW18" i="2" l="1"/>
  <c r="AW6" i="2"/>
  <c r="AW14" i="2"/>
  <c r="D5" i="19"/>
  <c r="AF4" i="8" l="1"/>
  <c r="AF6" i="8"/>
  <c r="AF8" i="8"/>
  <c r="AF10" i="8"/>
  <c r="AF12" i="8"/>
  <c r="AF14" i="8"/>
  <c r="AF16" i="8"/>
  <c r="AF18" i="8"/>
  <c r="AF20" i="8"/>
  <c r="AF22" i="8"/>
  <c r="AF4" i="7"/>
  <c r="AF6" i="7"/>
  <c r="AF8" i="7"/>
  <c r="AF10" i="7"/>
  <c r="AF12" i="7"/>
  <c r="AF14" i="7"/>
  <c r="AF16" i="7"/>
  <c r="AF18" i="7"/>
  <c r="AF20" i="7"/>
  <c r="AF22" i="7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4" i="5"/>
  <c r="AF6" i="5"/>
  <c r="AF8" i="5"/>
  <c r="AF10" i="5"/>
  <c r="AF14" i="5"/>
  <c r="AF16" i="5"/>
  <c r="AF18" i="5"/>
  <c r="AF20" i="5"/>
  <c r="AF22" i="5"/>
  <c r="AF4" i="4"/>
  <c r="AF6" i="4"/>
  <c r="AF8" i="4"/>
  <c r="AF10" i="4"/>
  <c r="AF12" i="4"/>
  <c r="AF14" i="4"/>
  <c r="AF16" i="4"/>
  <c r="AF18" i="4"/>
  <c r="AF20" i="4"/>
  <c r="AF22" i="4"/>
  <c r="AF25" i="4"/>
  <c r="AF32" i="4"/>
  <c r="AF33" i="4"/>
  <c r="AF4" i="3"/>
  <c r="AF6" i="3"/>
  <c r="AF8" i="3"/>
  <c r="AF10" i="3"/>
  <c r="AF12" i="3"/>
  <c r="AF14" i="3"/>
  <c r="AF16" i="3"/>
  <c r="AF18" i="3"/>
  <c r="AF22" i="3"/>
  <c r="AG33" i="2"/>
  <c r="AG34" i="2"/>
  <c r="AG35" i="2"/>
  <c r="AG36" i="2"/>
  <c r="AG37" i="2"/>
  <c r="AG40" i="2"/>
  <c r="AG41" i="2"/>
  <c r="AG42" i="2"/>
  <c r="AG9" i="2" s="1"/>
  <c r="AV8" i="2" s="1"/>
  <c r="AG43" i="2"/>
  <c r="AG44" i="2"/>
  <c r="AG13" i="2" s="1"/>
  <c r="AG45" i="2"/>
  <c r="AG46" i="2"/>
  <c r="AG15" i="2" s="1"/>
  <c r="AG47" i="2"/>
  <c r="AG48" i="2"/>
  <c r="AG19" i="2" s="1"/>
  <c r="AG49" i="2"/>
  <c r="AG4" i="2"/>
  <c r="AG6" i="2"/>
  <c r="AG10" i="2"/>
  <c r="AG12" i="2"/>
  <c r="AG14" i="2"/>
  <c r="AG16" i="2"/>
  <c r="AG18" i="2"/>
  <c r="AG20" i="2"/>
  <c r="AG22" i="2"/>
  <c r="AE4" i="8"/>
  <c r="AE6" i="8"/>
  <c r="AE8" i="8"/>
  <c r="AE10" i="8"/>
  <c r="AE12" i="8"/>
  <c r="AE14" i="8"/>
  <c r="AE16" i="8"/>
  <c r="AE18" i="8"/>
  <c r="AE20" i="8"/>
  <c r="AE22" i="8"/>
  <c r="AE4" i="7"/>
  <c r="AE6" i="7"/>
  <c r="AE8" i="7"/>
  <c r="AE10" i="7"/>
  <c r="AE12" i="7"/>
  <c r="AE14" i="7"/>
  <c r="AE16" i="7"/>
  <c r="AE18" i="7"/>
  <c r="AE20" i="7"/>
  <c r="AE22" i="7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4" i="5"/>
  <c r="AE6" i="5"/>
  <c r="AE8" i="5"/>
  <c r="AE10" i="5"/>
  <c r="AE12" i="5"/>
  <c r="AE14" i="5"/>
  <c r="AE16" i="5"/>
  <c r="AE18" i="5"/>
  <c r="AE20" i="5"/>
  <c r="AE22" i="5"/>
  <c r="AE4" i="4"/>
  <c r="AE6" i="4"/>
  <c r="AE8" i="4"/>
  <c r="AE10" i="4"/>
  <c r="AE12" i="4"/>
  <c r="AE14" i="4"/>
  <c r="AE16" i="4"/>
  <c r="AE18" i="4"/>
  <c r="AE20" i="4"/>
  <c r="AE22" i="4"/>
  <c r="AE25" i="4"/>
  <c r="AE32" i="4"/>
  <c r="AE33" i="4"/>
  <c r="AE4" i="3"/>
  <c r="AE6" i="3"/>
  <c r="AE8" i="3"/>
  <c r="AE10" i="3"/>
  <c r="AE12" i="3"/>
  <c r="AE14" i="3"/>
  <c r="AE16" i="3"/>
  <c r="AE18" i="3"/>
  <c r="AE22" i="3"/>
  <c r="AF33" i="2"/>
  <c r="AF34" i="2"/>
  <c r="AF35" i="2"/>
  <c r="AF36" i="2"/>
  <c r="AF37" i="2"/>
  <c r="AF40" i="2"/>
  <c r="AF41" i="2"/>
  <c r="AF42" i="2"/>
  <c r="AF43" i="2"/>
  <c r="AF44" i="2"/>
  <c r="AF13" i="2" s="1"/>
  <c r="AF45" i="2"/>
  <c r="AF46" i="2"/>
  <c r="AF15" i="2" s="1"/>
  <c r="AF47" i="2"/>
  <c r="AF48" i="2"/>
  <c r="AF19" i="2" s="1"/>
  <c r="AF49" i="2"/>
  <c r="AF4" i="2"/>
  <c r="AF6" i="2"/>
  <c r="AF7" i="2"/>
  <c r="AF8" i="2"/>
  <c r="AF9" i="2"/>
  <c r="AF10" i="2"/>
  <c r="AF12" i="2"/>
  <c r="AF14" i="2"/>
  <c r="AF16" i="2"/>
  <c r="AF18" i="2"/>
  <c r="AF20" i="2"/>
  <c r="AF22" i="2"/>
  <c r="AD4" i="8"/>
  <c r="AD6" i="8"/>
  <c r="AD8" i="8"/>
  <c r="AD10" i="8"/>
  <c r="AD12" i="8"/>
  <c r="AD14" i="8"/>
  <c r="AD16" i="8"/>
  <c r="AD18" i="8"/>
  <c r="AD20" i="8"/>
  <c r="AD22" i="8"/>
  <c r="AD4" i="7"/>
  <c r="AD6" i="7"/>
  <c r="AD8" i="7"/>
  <c r="AD10" i="7"/>
  <c r="AD12" i="7"/>
  <c r="AD14" i="7"/>
  <c r="AD16" i="7"/>
  <c r="AD18" i="7"/>
  <c r="AD20" i="7"/>
  <c r="AD22" i="7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4" i="5"/>
  <c r="AD6" i="5"/>
  <c r="AD8" i="5"/>
  <c r="AD10" i="5"/>
  <c r="AD12" i="5"/>
  <c r="AD14" i="5"/>
  <c r="AD16" i="5"/>
  <c r="AD18" i="5"/>
  <c r="AD20" i="5"/>
  <c r="AD22" i="5"/>
  <c r="AD4" i="4"/>
  <c r="AD6" i="4"/>
  <c r="AD8" i="4"/>
  <c r="AD10" i="4"/>
  <c r="AD12" i="4"/>
  <c r="AD14" i="4"/>
  <c r="AD16" i="4"/>
  <c r="AD18" i="4"/>
  <c r="AD20" i="4"/>
  <c r="AD22" i="4"/>
  <c r="AD25" i="4"/>
  <c r="AD32" i="4"/>
  <c r="AD33" i="4"/>
  <c r="AD4" i="3"/>
  <c r="AD6" i="3"/>
  <c r="AD8" i="3"/>
  <c r="AD10" i="3"/>
  <c r="AD12" i="3"/>
  <c r="AD14" i="3"/>
  <c r="AD16" i="3"/>
  <c r="AD18" i="3"/>
  <c r="AD22" i="3"/>
  <c r="AE4" i="2"/>
  <c r="AE6" i="2"/>
  <c r="AE8" i="2"/>
  <c r="AE10" i="2"/>
  <c r="AE12" i="2"/>
  <c r="AE14" i="2"/>
  <c r="AE16" i="2"/>
  <c r="AE18" i="2"/>
  <c r="AE20" i="2"/>
  <c r="AE22" i="2"/>
  <c r="AE33" i="2"/>
  <c r="AE34" i="2"/>
  <c r="AE35" i="2"/>
  <c r="AE36" i="2"/>
  <c r="AE37" i="2"/>
  <c r="AE40" i="2"/>
  <c r="AE41" i="2"/>
  <c r="AE42" i="2"/>
  <c r="AE9" i="2" s="1"/>
  <c r="AE43" i="2"/>
  <c r="AE44" i="2"/>
  <c r="AE13" i="2" s="1"/>
  <c r="AE45" i="2"/>
  <c r="AE46" i="2"/>
  <c r="AE15" i="2" s="1"/>
  <c r="AE47" i="2"/>
  <c r="AE48" i="2"/>
  <c r="AE19" i="2" s="1"/>
  <c r="AE49" i="2"/>
  <c r="AC4" i="8"/>
  <c r="AC6" i="8"/>
  <c r="AC8" i="8"/>
  <c r="AC10" i="8"/>
  <c r="AC12" i="8"/>
  <c r="AC14" i="8"/>
  <c r="AC16" i="8"/>
  <c r="AC18" i="8"/>
  <c r="AC20" i="8"/>
  <c r="AC22" i="8"/>
  <c r="AC4" i="7"/>
  <c r="AC6" i="7"/>
  <c r="AC8" i="7"/>
  <c r="AC10" i="7"/>
  <c r="AC12" i="7"/>
  <c r="AC14" i="7"/>
  <c r="AC16" i="7"/>
  <c r="AC18" i="7"/>
  <c r="AC20" i="7"/>
  <c r="AC22" i="7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4" i="5"/>
  <c r="AC6" i="5"/>
  <c r="AC8" i="5"/>
  <c r="AC10" i="5"/>
  <c r="AC12" i="5"/>
  <c r="AC14" i="5"/>
  <c r="AC16" i="5"/>
  <c r="AC18" i="5"/>
  <c r="AC20" i="5"/>
  <c r="AC22" i="5"/>
  <c r="AC4" i="4"/>
  <c r="AC6" i="4"/>
  <c r="AC8" i="4"/>
  <c r="AC10" i="4"/>
  <c r="AC12" i="4"/>
  <c r="AC14" i="4"/>
  <c r="AC16" i="4"/>
  <c r="AC18" i="4"/>
  <c r="AC20" i="4"/>
  <c r="AC22" i="4"/>
  <c r="AC25" i="4"/>
  <c r="AC32" i="4"/>
  <c r="AC33" i="4"/>
  <c r="AC4" i="3"/>
  <c r="AC6" i="3"/>
  <c r="AC8" i="3"/>
  <c r="AC10" i="3"/>
  <c r="AC12" i="3"/>
  <c r="AC14" i="3"/>
  <c r="AC16" i="3"/>
  <c r="AC18" i="3"/>
  <c r="AC22" i="3"/>
  <c r="AD33" i="2"/>
  <c r="AD34" i="2"/>
  <c r="AD35" i="2"/>
  <c r="AD36" i="2"/>
  <c r="AD37" i="2"/>
  <c r="AD40" i="2"/>
  <c r="AD41" i="2"/>
  <c r="AD42" i="2"/>
  <c r="AD9" i="2" s="1"/>
  <c r="AD43" i="2"/>
  <c r="AD44" i="2"/>
  <c r="AD13" i="2" s="1"/>
  <c r="AD45" i="2"/>
  <c r="AD46" i="2"/>
  <c r="AD15" i="2" s="1"/>
  <c r="AD47" i="2"/>
  <c r="AD48" i="2"/>
  <c r="AD19" i="2" s="1"/>
  <c r="AD49" i="2"/>
  <c r="AD4" i="2"/>
  <c r="AD6" i="2"/>
  <c r="AD8" i="2"/>
  <c r="AD10" i="2"/>
  <c r="AD12" i="2"/>
  <c r="AD14" i="2"/>
  <c r="AD16" i="2"/>
  <c r="AD18" i="2"/>
  <c r="AD20" i="2"/>
  <c r="AD22" i="2"/>
  <c r="AB4" i="8"/>
  <c r="AB6" i="8"/>
  <c r="AB8" i="8"/>
  <c r="AB10" i="8"/>
  <c r="AB12" i="8"/>
  <c r="AB14" i="8"/>
  <c r="AB16" i="8"/>
  <c r="AB18" i="8"/>
  <c r="AB20" i="8"/>
  <c r="AB22" i="8"/>
  <c r="AB4" i="7"/>
  <c r="AB6" i="7"/>
  <c r="AB8" i="7"/>
  <c r="AB10" i="7"/>
  <c r="AB12" i="7"/>
  <c r="AB14" i="7"/>
  <c r="AB16" i="7"/>
  <c r="AB18" i="7"/>
  <c r="AB20" i="7"/>
  <c r="AB22" i="7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4" i="5"/>
  <c r="AB6" i="5"/>
  <c r="AB8" i="5"/>
  <c r="AB10" i="5"/>
  <c r="AB12" i="5"/>
  <c r="AB14" i="5"/>
  <c r="AB16" i="5"/>
  <c r="AB18" i="5"/>
  <c r="AB20" i="5"/>
  <c r="AB22" i="5"/>
  <c r="AB4" i="4"/>
  <c r="AB6" i="4"/>
  <c r="AB8" i="4"/>
  <c r="AB10" i="4"/>
  <c r="AB12" i="4"/>
  <c r="AB14" i="4"/>
  <c r="AB16" i="4"/>
  <c r="AB18" i="4"/>
  <c r="AB20" i="4"/>
  <c r="AB22" i="4"/>
  <c r="AB25" i="4"/>
  <c r="AB32" i="4"/>
  <c r="AB33" i="4"/>
  <c r="AB4" i="3"/>
  <c r="AB6" i="3"/>
  <c r="AB8" i="3"/>
  <c r="AB10" i="3"/>
  <c r="AB12" i="3"/>
  <c r="AB14" i="3"/>
  <c r="AB16" i="3"/>
  <c r="AB18" i="3"/>
  <c r="AB20" i="3"/>
  <c r="AB22" i="3"/>
  <c r="AC33" i="2"/>
  <c r="AC34" i="2"/>
  <c r="AC35" i="2"/>
  <c r="AC36" i="2"/>
  <c r="AC37" i="2"/>
  <c r="AC40" i="2"/>
  <c r="AC41" i="2"/>
  <c r="AC42" i="2"/>
  <c r="AC9" i="2" s="1"/>
  <c r="AC43" i="2"/>
  <c r="AC44" i="2"/>
  <c r="AC13" i="2" s="1"/>
  <c r="AC45" i="2"/>
  <c r="AC46" i="2"/>
  <c r="AC15" i="2" s="1"/>
  <c r="AC47" i="2"/>
  <c r="AC48" i="2"/>
  <c r="AC19" i="2" s="1"/>
  <c r="AC49" i="2"/>
  <c r="AC4" i="2"/>
  <c r="AC6" i="2"/>
  <c r="AC8" i="2"/>
  <c r="AC10" i="2"/>
  <c r="AC12" i="2"/>
  <c r="AC14" i="2"/>
  <c r="AC16" i="2"/>
  <c r="AC18" i="2"/>
  <c r="AC20" i="2"/>
  <c r="AC22" i="2"/>
  <c r="AB4" i="1"/>
  <c r="AB6" i="1"/>
  <c r="AB8" i="1"/>
  <c r="AB10" i="1"/>
  <c r="AB12" i="1"/>
  <c r="AB14" i="1"/>
  <c r="AB16" i="1"/>
  <c r="AB18" i="1"/>
  <c r="AB20" i="1"/>
  <c r="AB22" i="1"/>
  <c r="AA4" i="8"/>
  <c r="AA6" i="8"/>
  <c r="AA8" i="8"/>
  <c r="AA10" i="8"/>
  <c r="AA12" i="8"/>
  <c r="AA14" i="8"/>
  <c r="AA16" i="8"/>
  <c r="AA18" i="8"/>
  <c r="AA20" i="8"/>
  <c r="AA22" i="8"/>
  <c r="AA4" i="7"/>
  <c r="AA6" i="7"/>
  <c r="AA8" i="7"/>
  <c r="AA10" i="7"/>
  <c r="AA12" i="7"/>
  <c r="AA14" i="7"/>
  <c r="AA16" i="7"/>
  <c r="AA18" i="7"/>
  <c r="AA20" i="7"/>
  <c r="AA22" i="7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4" i="5"/>
  <c r="AA6" i="5"/>
  <c r="AA8" i="5"/>
  <c r="AA10" i="5"/>
  <c r="AA12" i="5"/>
  <c r="AA14" i="5"/>
  <c r="AA16" i="5"/>
  <c r="AA18" i="5"/>
  <c r="AA20" i="5"/>
  <c r="AA22" i="5"/>
  <c r="AA4" i="4"/>
  <c r="AA6" i="4"/>
  <c r="AA8" i="4"/>
  <c r="AA10" i="4"/>
  <c r="AA12" i="4"/>
  <c r="AA14" i="4"/>
  <c r="AA16" i="4"/>
  <c r="AA18" i="4"/>
  <c r="AA20" i="4"/>
  <c r="AA22" i="4"/>
  <c r="AA25" i="4"/>
  <c r="AA32" i="4"/>
  <c r="AA33" i="4"/>
  <c r="AA4" i="3"/>
  <c r="AA6" i="3"/>
  <c r="AA8" i="3"/>
  <c r="AA10" i="3"/>
  <c r="AA12" i="3"/>
  <c r="AA14" i="3"/>
  <c r="AA16" i="3"/>
  <c r="AA18" i="3"/>
  <c r="AA20" i="3"/>
  <c r="AA22" i="3"/>
  <c r="AB33" i="2"/>
  <c r="AB34" i="2"/>
  <c r="AB35" i="2"/>
  <c r="AB36" i="2"/>
  <c r="AB37" i="2"/>
  <c r="AB40" i="2"/>
  <c r="AB41" i="2"/>
  <c r="AB42" i="2"/>
  <c r="AB9" i="2" s="1"/>
  <c r="AB43" i="2"/>
  <c r="AB44" i="2"/>
  <c r="AB13" i="2" s="1"/>
  <c r="AB45" i="2"/>
  <c r="AB46" i="2"/>
  <c r="AB15" i="2" s="1"/>
  <c r="AB47" i="2"/>
  <c r="AB48" i="2"/>
  <c r="AB19" i="2" s="1"/>
  <c r="AB49" i="2"/>
  <c r="AB4" i="2"/>
  <c r="AB6" i="2"/>
  <c r="AB8" i="2"/>
  <c r="AB10" i="2"/>
  <c r="AB12" i="2"/>
  <c r="AB14" i="2"/>
  <c r="AB16" i="2"/>
  <c r="AB18" i="2"/>
  <c r="AB20" i="2"/>
  <c r="AB22" i="2"/>
  <c r="AA4" i="1"/>
  <c r="AA6" i="1"/>
  <c r="AA8" i="1"/>
  <c r="AA10" i="1"/>
  <c r="AA12" i="1"/>
  <c r="AA14" i="1"/>
  <c r="AA16" i="1"/>
  <c r="AA18" i="1"/>
  <c r="AA20" i="1"/>
  <c r="AA22" i="1"/>
  <c r="AC7" i="2" l="1"/>
  <c r="AB7" i="2"/>
  <c r="AQ6" i="2" s="1"/>
  <c r="AD7" i="2"/>
  <c r="AS6" i="2" s="1"/>
  <c r="AV18" i="2"/>
  <c r="AU18" i="2"/>
  <c r="AU14" i="2"/>
  <c r="AU6" i="2"/>
  <c r="AS18" i="2"/>
  <c r="AS8" i="2"/>
  <c r="AT18" i="2"/>
  <c r="AT14" i="2"/>
  <c r="AQ8" i="2"/>
  <c r="AS14" i="2"/>
  <c r="AV14" i="2"/>
  <c r="AQ18" i="2"/>
  <c r="AT8" i="2"/>
  <c r="AU8" i="2"/>
  <c r="AR18" i="2"/>
  <c r="AR14" i="2"/>
  <c r="AR8" i="2"/>
  <c r="AR6" i="2"/>
  <c r="AQ14" i="2"/>
  <c r="AG7" i="2"/>
  <c r="AV6" i="2" s="1"/>
  <c r="AE7" i="2"/>
  <c r="AT6" i="2" s="1"/>
  <c r="AC20" i="3"/>
  <c r="Z4" i="1"/>
  <c r="Z6" i="1"/>
  <c r="Z8" i="1"/>
  <c r="Z10" i="1"/>
  <c r="Z12" i="1"/>
  <c r="Z14" i="1"/>
  <c r="Z16" i="1"/>
  <c r="Z18" i="1"/>
  <c r="Z20" i="1"/>
  <c r="Z22" i="1"/>
  <c r="AA33" i="2"/>
  <c r="AA34" i="2"/>
  <c r="AA35" i="2"/>
  <c r="AA36" i="2"/>
  <c r="AA37" i="2"/>
  <c r="AA40" i="2"/>
  <c r="AA41" i="2"/>
  <c r="AA42" i="2"/>
  <c r="AA9" i="2" s="1"/>
  <c r="AA43" i="2"/>
  <c r="AA44" i="2"/>
  <c r="AA13" i="2" s="1"/>
  <c r="AA45" i="2"/>
  <c r="AA46" i="2"/>
  <c r="AA15" i="2" s="1"/>
  <c r="AA47" i="2"/>
  <c r="AA48" i="2"/>
  <c r="AA19" i="2" s="1"/>
  <c r="AA49" i="2"/>
  <c r="AA4" i="2"/>
  <c r="AA6" i="2"/>
  <c r="AA8" i="2"/>
  <c r="AA10" i="2"/>
  <c r="AA12" i="2"/>
  <c r="AA14" i="2"/>
  <c r="AA16" i="2"/>
  <c r="AA18" i="2"/>
  <c r="AA20" i="2"/>
  <c r="AA22" i="2"/>
  <c r="Z4" i="3"/>
  <c r="Z6" i="3"/>
  <c r="Z8" i="3"/>
  <c r="Z10" i="3"/>
  <c r="Z12" i="3"/>
  <c r="Z14" i="3"/>
  <c r="Z16" i="3"/>
  <c r="Z18" i="3"/>
  <c r="Z20" i="3"/>
  <c r="Z22" i="3"/>
  <c r="Z4" i="4"/>
  <c r="Z6" i="4"/>
  <c r="Z8" i="4"/>
  <c r="Z10" i="4"/>
  <c r="Z12" i="4"/>
  <c r="Z14" i="4"/>
  <c r="Z16" i="4"/>
  <c r="Z18" i="4"/>
  <c r="Z20" i="4"/>
  <c r="Z22" i="4"/>
  <c r="Z25" i="4"/>
  <c r="Z32" i="4"/>
  <c r="Z33" i="4"/>
  <c r="Z4" i="5"/>
  <c r="Z6" i="5"/>
  <c r="Z8" i="5"/>
  <c r="Z10" i="5"/>
  <c r="Z12" i="5"/>
  <c r="Z14" i="5"/>
  <c r="Z16" i="5"/>
  <c r="Z18" i="5"/>
  <c r="Z20" i="5"/>
  <c r="Z22" i="5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4" i="7"/>
  <c r="Z6" i="7"/>
  <c r="Z8" i="7"/>
  <c r="Z10" i="7"/>
  <c r="Z12" i="7"/>
  <c r="Z14" i="7"/>
  <c r="Z16" i="7"/>
  <c r="Z18" i="7"/>
  <c r="Z20" i="7"/>
  <c r="Z22" i="7"/>
  <c r="Z4" i="8"/>
  <c r="Z6" i="8"/>
  <c r="Z8" i="8"/>
  <c r="Z10" i="8"/>
  <c r="Z12" i="8"/>
  <c r="Z14" i="8"/>
  <c r="Z16" i="8"/>
  <c r="Z18" i="8"/>
  <c r="Z20" i="8"/>
  <c r="Z22" i="8"/>
  <c r="Y4" i="8"/>
  <c r="Y6" i="8"/>
  <c r="Y8" i="8"/>
  <c r="Y10" i="8"/>
  <c r="Y12" i="8"/>
  <c r="Y14" i="8"/>
  <c r="Y16" i="8"/>
  <c r="Y18" i="8"/>
  <c r="Y20" i="8"/>
  <c r="Y22" i="8"/>
  <c r="Y4" i="7"/>
  <c r="Y6" i="7"/>
  <c r="Y8" i="7"/>
  <c r="Y10" i="7"/>
  <c r="Y12" i="7"/>
  <c r="Y14" i="7"/>
  <c r="Y16" i="7"/>
  <c r="Y18" i="7"/>
  <c r="Y20" i="7"/>
  <c r="Y22" i="7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4" i="5"/>
  <c r="Y6" i="5"/>
  <c r="Y8" i="5"/>
  <c r="Y10" i="5"/>
  <c r="Y12" i="5"/>
  <c r="Y14" i="5"/>
  <c r="Y16" i="5"/>
  <c r="Y18" i="5"/>
  <c r="Y20" i="5"/>
  <c r="Y22" i="5"/>
  <c r="Y4" i="4"/>
  <c r="Y6" i="4"/>
  <c r="Y8" i="4"/>
  <c r="Y10" i="4"/>
  <c r="Y12" i="4"/>
  <c r="Y14" i="4"/>
  <c r="Y16" i="4"/>
  <c r="Y18" i="4"/>
  <c r="Y20" i="4"/>
  <c r="Y22" i="4"/>
  <c r="Y25" i="4"/>
  <c r="Y32" i="4"/>
  <c r="Y33" i="4"/>
  <c r="Y4" i="3"/>
  <c r="Y6" i="3"/>
  <c r="Y8" i="3"/>
  <c r="Y10" i="3"/>
  <c r="Y12" i="3"/>
  <c r="Y14" i="3"/>
  <c r="Y16" i="3"/>
  <c r="Y18" i="3"/>
  <c r="Y20" i="3"/>
  <c r="Y22" i="3"/>
  <c r="Z33" i="2"/>
  <c r="Z34" i="2"/>
  <c r="Z35" i="2"/>
  <c r="Z36" i="2"/>
  <c r="Z37" i="2"/>
  <c r="Z40" i="2"/>
  <c r="Z41" i="2"/>
  <c r="Z42" i="2"/>
  <c r="Z9" i="2" s="1"/>
  <c r="Z43" i="2"/>
  <c r="Z44" i="2"/>
  <c r="Z13" i="2" s="1"/>
  <c r="Z45" i="2"/>
  <c r="Z46" i="2"/>
  <c r="Z15" i="2" s="1"/>
  <c r="Z47" i="2"/>
  <c r="Z48" i="2"/>
  <c r="Z19" i="2" s="1"/>
  <c r="Z49" i="2"/>
  <c r="Z4" i="2"/>
  <c r="Z6" i="2"/>
  <c r="Z7" i="2"/>
  <c r="Z8" i="2"/>
  <c r="Z10" i="2"/>
  <c r="Z12" i="2"/>
  <c r="Z14" i="2"/>
  <c r="Z16" i="2"/>
  <c r="Z18" i="2"/>
  <c r="Z20" i="2"/>
  <c r="Z22" i="2"/>
  <c r="Y4" i="1"/>
  <c r="Y6" i="1"/>
  <c r="Y8" i="1"/>
  <c r="Y10" i="1"/>
  <c r="Y12" i="1"/>
  <c r="Y14" i="1"/>
  <c r="Y16" i="1"/>
  <c r="Y18" i="1"/>
  <c r="Y20" i="1"/>
  <c r="Y22" i="1"/>
  <c r="X4" i="8"/>
  <c r="X6" i="8"/>
  <c r="X8" i="8"/>
  <c r="X10" i="8"/>
  <c r="X12" i="8"/>
  <c r="X14" i="8"/>
  <c r="X16" i="8"/>
  <c r="X18" i="8"/>
  <c r="X20" i="8"/>
  <c r="X22" i="8"/>
  <c r="X4" i="7"/>
  <c r="X6" i="7"/>
  <c r="X8" i="7"/>
  <c r="X10" i="7"/>
  <c r="X12" i="7"/>
  <c r="X14" i="7"/>
  <c r="X16" i="7"/>
  <c r="X18" i="7"/>
  <c r="X20" i="7"/>
  <c r="X22" i="7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4" i="5"/>
  <c r="X6" i="5"/>
  <c r="X8" i="5"/>
  <c r="X10" i="5"/>
  <c r="X12" i="5"/>
  <c r="X14" i="5"/>
  <c r="X16" i="5"/>
  <c r="X18" i="5"/>
  <c r="X20" i="5"/>
  <c r="X22" i="5"/>
  <c r="X4" i="4"/>
  <c r="X6" i="4"/>
  <c r="X8" i="4"/>
  <c r="X10" i="4"/>
  <c r="X12" i="4"/>
  <c r="X14" i="4"/>
  <c r="X16" i="4"/>
  <c r="X18" i="4"/>
  <c r="X20" i="4"/>
  <c r="X22" i="4"/>
  <c r="X25" i="4"/>
  <c r="X32" i="4"/>
  <c r="X33" i="4"/>
  <c r="X4" i="3"/>
  <c r="X6" i="3"/>
  <c r="X8" i="3"/>
  <c r="X12" i="3"/>
  <c r="X14" i="3"/>
  <c r="X16" i="3"/>
  <c r="X18" i="3"/>
  <c r="X20" i="3"/>
  <c r="X22" i="3"/>
  <c r="Y33" i="2"/>
  <c r="Y34" i="2"/>
  <c r="Y35" i="2"/>
  <c r="Y36" i="2"/>
  <c r="Y37" i="2"/>
  <c r="Y40" i="2"/>
  <c r="Y41" i="2"/>
  <c r="Y42" i="2"/>
  <c r="Y9" i="2" s="1"/>
  <c r="Y43" i="2"/>
  <c r="Y44" i="2"/>
  <c r="Y13" i="2" s="1"/>
  <c r="Y45" i="2"/>
  <c r="Y46" i="2"/>
  <c r="Y15" i="2" s="1"/>
  <c r="Y47" i="2"/>
  <c r="Y48" i="2"/>
  <c r="Y19" i="2" s="1"/>
  <c r="Y49" i="2"/>
  <c r="Y4" i="2"/>
  <c r="Y6" i="2"/>
  <c r="Y8" i="2"/>
  <c r="Y10" i="2"/>
  <c r="Y12" i="2"/>
  <c r="Y14" i="2"/>
  <c r="Y16" i="2"/>
  <c r="Y18" i="2"/>
  <c r="Y20" i="2"/>
  <c r="Y22" i="2"/>
  <c r="X4" i="1"/>
  <c r="X6" i="1"/>
  <c r="X8" i="1"/>
  <c r="X10" i="1"/>
  <c r="X12" i="1"/>
  <c r="X14" i="1"/>
  <c r="X16" i="1"/>
  <c r="X18" i="1"/>
  <c r="X20" i="1"/>
  <c r="X22" i="1"/>
  <c r="W4" i="7"/>
  <c r="W6" i="7"/>
  <c r="W8" i="7"/>
  <c r="W10" i="7"/>
  <c r="W12" i="7"/>
  <c r="W14" i="7"/>
  <c r="W16" i="7"/>
  <c r="W18" i="7"/>
  <c r="W20" i="7"/>
  <c r="W22" i="7"/>
  <c r="W4" i="6"/>
  <c r="W5" i="6"/>
  <c r="W6" i="6"/>
  <c r="AJ6" i="6" s="1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4" i="5"/>
  <c r="W6" i="5"/>
  <c r="W8" i="5"/>
  <c r="W10" i="5"/>
  <c r="W12" i="5"/>
  <c r="W14" i="5"/>
  <c r="W16" i="5"/>
  <c r="W18" i="5"/>
  <c r="W20" i="5"/>
  <c r="W22" i="5"/>
  <c r="W4" i="4"/>
  <c r="W6" i="4"/>
  <c r="W8" i="4"/>
  <c r="W10" i="4"/>
  <c r="W12" i="4"/>
  <c r="W14" i="4"/>
  <c r="W16" i="4"/>
  <c r="W18" i="4"/>
  <c r="W20" i="4"/>
  <c r="W22" i="4"/>
  <c r="W25" i="4"/>
  <c r="W32" i="4"/>
  <c r="W33" i="4"/>
  <c r="W4" i="3"/>
  <c r="W6" i="3"/>
  <c r="W8" i="3"/>
  <c r="W10" i="3"/>
  <c r="W12" i="3"/>
  <c r="W14" i="3"/>
  <c r="W16" i="3"/>
  <c r="W18" i="3"/>
  <c r="W20" i="3"/>
  <c r="W22" i="3"/>
  <c r="X40" i="2"/>
  <c r="X41" i="2"/>
  <c r="X42" i="2"/>
  <c r="X9" i="2" s="1"/>
  <c r="X43" i="2"/>
  <c r="X44" i="2"/>
  <c r="X13" i="2" s="1"/>
  <c r="X45" i="2"/>
  <c r="X46" i="2"/>
  <c r="X15" i="2" s="1"/>
  <c r="X47" i="2"/>
  <c r="X48" i="2"/>
  <c r="X19" i="2" s="1"/>
  <c r="X49" i="2"/>
  <c r="X33" i="2"/>
  <c r="X34" i="2"/>
  <c r="X35" i="2"/>
  <c r="X36" i="2"/>
  <c r="X37" i="2"/>
  <c r="X4" i="2"/>
  <c r="X6" i="2"/>
  <c r="X8" i="2"/>
  <c r="X10" i="2"/>
  <c r="X12" i="2"/>
  <c r="X14" i="2"/>
  <c r="X16" i="2"/>
  <c r="X18" i="2"/>
  <c r="X20" i="2"/>
  <c r="X22" i="2"/>
  <c r="W4" i="1"/>
  <c r="W6" i="1"/>
  <c r="W8" i="1"/>
  <c r="W10" i="1"/>
  <c r="W12" i="1"/>
  <c r="W14" i="1"/>
  <c r="W16" i="1"/>
  <c r="W18" i="1"/>
  <c r="W20" i="1"/>
  <c r="W22" i="1"/>
  <c r="X7" i="2" l="1"/>
  <c r="AM6" i="2" s="1"/>
  <c r="Y7" i="2"/>
  <c r="AN6" i="2" s="1"/>
  <c r="AA7" i="2"/>
  <c r="AP6" i="2" s="1"/>
  <c r="AO14" i="2"/>
  <c r="AO8" i="2"/>
  <c r="AO18" i="2"/>
  <c r="AP18" i="2"/>
  <c r="AP14" i="2"/>
  <c r="AP8" i="2"/>
  <c r="AN14" i="2"/>
  <c r="AN8" i="2"/>
  <c r="AO6" i="2"/>
  <c r="AM14" i="2"/>
  <c r="AM18" i="2"/>
  <c r="AM8" i="2"/>
  <c r="AN18" i="2"/>
  <c r="AD20" i="3"/>
  <c r="D29" i="7"/>
  <c r="D29" i="8"/>
  <c r="D29" i="6"/>
  <c r="E30" i="4"/>
  <c r="F30" i="4"/>
  <c r="G30" i="4"/>
  <c r="H30" i="4"/>
  <c r="I30" i="4"/>
  <c r="J30" i="4"/>
  <c r="K30" i="4"/>
  <c r="L30" i="4"/>
  <c r="M30" i="4"/>
  <c r="N30" i="4"/>
  <c r="O30" i="4"/>
  <c r="P30" i="4"/>
  <c r="D30" i="4"/>
  <c r="D29" i="3"/>
  <c r="R7" i="1"/>
  <c r="R9" i="1"/>
  <c r="R11" i="1"/>
  <c r="R13" i="1"/>
  <c r="R15" i="1"/>
  <c r="R17" i="1"/>
  <c r="R19" i="1"/>
  <c r="R21" i="1"/>
  <c r="R5" i="1"/>
  <c r="AE20" i="3" l="1"/>
  <c r="E24" i="19"/>
  <c r="C24" i="19"/>
  <c r="B24" i="19"/>
  <c r="E9" i="19"/>
  <c r="D9" i="19"/>
  <c r="C9" i="19"/>
  <c r="B9" i="19"/>
  <c r="E25" i="27" l="1"/>
  <c r="D25" i="27"/>
  <c r="C25" i="27"/>
  <c r="B25" i="27"/>
  <c r="E25" i="23"/>
  <c r="D25" i="23"/>
  <c r="C25" i="23"/>
  <c r="B25" i="23"/>
  <c r="AH55" i="2"/>
  <c r="AH57" i="2"/>
  <c r="AH59" i="2"/>
  <c r="AH61" i="2"/>
  <c r="AH63" i="2"/>
  <c r="AH54" i="2"/>
  <c r="AH56" i="2"/>
  <c r="AH58" i="2"/>
  <c r="AH60" i="2"/>
  <c r="AH62" i="2"/>
  <c r="B15" i="23"/>
  <c r="C15" i="23" s="1"/>
  <c r="AG55" i="2"/>
  <c r="AG57" i="2"/>
  <c r="AG59" i="2"/>
  <c r="AG61" i="2"/>
  <c r="AG63" i="2"/>
  <c r="AG54" i="2"/>
  <c r="AG56" i="2"/>
  <c r="AG58" i="2"/>
  <c r="AG60" i="2"/>
  <c r="AG62" i="2"/>
  <c r="AF56" i="2"/>
  <c r="AF60" i="2"/>
  <c r="AF54" i="2"/>
  <c r="AF58" i="2"/>
  <c r="AF62" i="2"/>
  <c r="AF55" i="2"/>
  <c r="AF57" i="2"/>
  <c r="AF59" i="2"/>
  <c r="AF61" i="2"/>
  <c r="AF63" i="2"/>
  <c r="AU62" i="2" l="1"/>
  <c r="AU60" i="2"/>
  <c r="AW60" i="2"/>
  <c r="AV62" i="2"/>
  <c r="AU56" i="2"/>
  <c r="AU58" i="2"/>
  <c r="AW62" i="2"/>
  <c r="AW58" i="2"/>
  <c r="AV60" i="2"/>
  <c r="AV58" i="2"/>
  <c r="AV56" i="2"/>
  <c r="AW56" i="2"/>
  <c r="L13" i="23"/>
  <c r="AE55" i="2"/>
  <c r="AE57" i="2"/>
  <c r="AE59" i="2"/>
  <c r="AE61" i="2"/>
  <c r="AE63" i="2"/>
  <c r="AE54" i="2"/>
  <c r="AE56" i="2"/>
  <c r="AE58" i="2"/>
  <c r="AE60" i="2"/>
  <c r="AE62" i="2"/>
  <c r="AD54" i="2"/>
  <c r="AD56" i="2"/>
  <c r="AD58" i="2"/>
  <c r="AD60" i="2"/>
  <c r="AD62" i="2"/>
  <c r="AD55" i="2"/>
  <c r="AD57" i="2"/>
  <c r="AD59" i="2"/>
  <c r="AD61" i="2"/>
  <c r="AD63" i="2"/>
  <c r="AC54" i="2"/>
  <c r="AC56" i="2"/>
  <c r="AC58" i="2"/>
  <c r="AC60" i="2"/>
  <c r="AC62" i="2"/>
  <c r="AC55" i="2"/>
  <c r="AC57" i="2"/>
  <c r="AC59" i="2"/>
  <c r="AC61" i="2"/>
  <c r="AC63" i="2"/>
  <c r="AB54" i="2"/>
  <c r="AB56" i="2"/>
  <c r="AB58" i="2"/>
  <c r="AB60" i="2"/>
  <c r="AB62" i="2"/>
  <c r="AB55" i="2"/>
  <c r="AB57" i="2"/>
  <c r="AB59" i="2"/>
  <c r="AB61" i="2"/>
  <c r="AB63" i="2"/>
  <c r="AW26" i="2" l="1"/>
  <c r="AV26" i="2"/>
  <c r="AU26" i="2"/>
  <c r="H6" i="23"/>
  <c r="H8" i="23"/>
  <c r="B16" i="23"/>
  <c r="AQ56" i="2"/>
  <c r="AR60" i="2"/>
  <c r="AQ60" i="2"/>
  <c r="AR56" i="2"/>
  <c r="AS60" i="2"/>
  <c r="AS56" i="2"/>
  <c r="AT60" i="2"/>
  <c r="L12" i="23"/>
  <c r="AT62" i="2"/>
  <c r="AT58" i="2"/>
  <c r="AT56" i="2"/>
  <c r="AT26" i="2" s="1"/>
  <c r="AS62" i="2"/>
  <c r="AS58" i="2"/>
  <c r="BH54" i="2"/>
  <c r="BH26" i="2" s="1"/>
  <c r="AR62" i="2"/>
  <c r="AR58" i="2"/>
  <c r="AQ62" i="2"/>
  <c r="AQ58" i="2"/>
  <c r="AA56" i="2"/>
  <c r="AA60" i="2"/>
  <c r="AA54" i="2"/>
  <c r="AA58" i="2"/>
  <c r="AA62" i="2"/>
  <c r="AA55" i="2"/>
  <c r="AA57" i="2"/>
  <c r="AA59" i="2"/>
  <c r="AA61" i="2"/>
  <c r="AA63" i="2"/>
  <c r="E25" i="13"/>
  <c r="D25" i="13"/>
  <c r="C25" i="13"/>
  <c r="B25" i="13"/>
  <c r="Z54" i="2"/>
  <c r="Z56" i="2"/>
  <c r="Z58" i="2"/>
  <c r="Z60" i="2"/>
  <c r="Z62" i="2"/>
  <c r="Z55" i="2"/>
  <c r="Z57" i="2"/>
  <c r="Z59" i="2"/>
  <c r="Z61" i="2"/>
  <c r="Z63" i="2"/>
  <c r="E25" i="12"/>
  <c r="D25" i="12"/>
  <c r="C25" i="12"/>
  <c r="B25" i="12"/>
  <c r="E25" i="11"/>
  <c r="D25" i="11"/>
  <c r="C25" i="11"/>
  <c r="B25" i="11"/>
  <c r="Y56" i="2"/>
  <c r="Y60" i="2"/>
  <c r="Y54" i="2"/>
  <c r="Y58" i="2"/>
  <c r="Y62" i="2"/>
  <c r="Y55" i="2"/>
  <c r="Y57" i="2"/>
  <c r="Y59" i="2"/>
  <c r="Y61" i="2"/>
  <c r="Y63" i="2"/>
  <c r="E25" i="10"/>
  <c r="X9" i="21" s="1"/>
  <c r="D25" i="10"/>
  <c r="U9" i="21" s="1"/>
  <c r="C25" i="10"/>
  <c r="R9" i="21" s="1"/>
  <c r="B25" i="10"/>
  <c r="O9" i="21" s="1"/>
  <c r="W4" i="8"/>
  <c r="W6" i="8"/>
  <c r="W8" i="8"/>
  <c r="W10" i="8"/>
  <c r="W12" i="8"/>
  <c r="W14" i="8"/>
  <c r="W16" i="8"/>
  <c r="W18" i="8"/>
  <c r="W20" i="8"/>
  <c r="W22" i="8"/>
  <c r="X55" i="2"/>
  <c r="X57" i="2"/>
  <c r="X59" i="2"/>
  <c r="X61" i="2"/>
  <c r="X63" i="2"/>
  <c r="X54" i="2"/>
  <c r="X56" i="2"/>
  <c r="X58" i="2"/>
  <c r="X60" i="2"/>
  <c r="X62" i="2"/>
  <c r="E25" i="9"/>
  <c r="D25" i="9"/>
  <c r="C25" i="9"/>
  <c r="B25" i="9"/>
  <c r="V8" i="1"/>
  <c r="V10" i="1"/>
  <c r="V12" i="1"/>
  <c r="V14" i="1"/>
  <c r="V16" i="1"/>
  <c r="V18" i="1"/>
  <c r="V20" i="1"/>
  <c r="V22" i="1"/>
  <c r="C8" i="25"/>
  <c r="C11" i="25"/>
  <c r="C14" i="25"/>
  <c r="C16" i="25"/>
  <c r="C17" i="25"/>
  <c r="C20" i="25"/>
  <c r="C22" i="25"/>
  <c r="C23" i="25"/>
  <c r="C25" i="25"/>
  <c r="C26" i="25"/>
  <c r="E19" i="12"/>
  <c r="R28" i="7"/>
  <c r="R27" i="7"/>
  <c r="R28" i="6"/>
  <c r="R27" i="6"/>
  <c r="R28" i="8"/>
  <c r="R27" i="8"/>
  <c r="E25" i="14"/>
  <c r="D25" i="14"/>
  <c r="C25" i="14"/>
  <c r="B25" i="14"/>
  <c r="B22" i="24"/>
  <c r="R28" i="5"/>
  <c r="R27" i="5"/>
  <c r="S25" i="4"/>
  <c r="S24" i="4"/>
  <c r="B14" i="13"/>
  <c r="S25" i="3"/>
  <c r="E12" i="13"/>
  <c r="C12" i="13"/>
  <c r="D12" i="13"/>
  <c r="D4" i="12"/>
  <c r="B4" i="12"/>
  <c r="C4" i="12"/>
  <c r="T24" i="2"/>
  <c r="AR26" i="2" l="1"/>
  <c r="AS26" i="2"/>
  <c r="AQ26" i="2"/>
  <c r="AP62" i="2"/>
  <c r="AP60" i="2"/>
  <c r="AN56" i="2"/>
  <c r="AN58" i="2"/>
  <c r="C27" i="25"/>
  <c r="AP58" i="2"/>
  <c r="AP56" i="2"/>
  <c r="AO60" i="2"/>
  <c r="AO56" i="2"/>
  <c r="AN60" i="2"/>
  <c r="AM62" i="2"/>
  <c r="AM58" i="2"/>
  <c r="AM60" i="2"/>
  <c r="AM56" i="2"/>
  <c r="AN62" i="2"/>
  <c r="AO62" i="2"/>
  <c r="AO58" i="2"/>
  <c r="C24" i="25"/>
  <c r="C21" i="25"/>
  <c r="C18" i="25"/>
  <c r="C15" i="25"/>
  <c r="C12" i="25"/>
  <c r="C9" i="25"/>
  <c r="AO26" i="2" l="1"/>
  <c r="AN26" i="2"/>
  <c r="AM26" i="2"/>
  <c r="AP26" i="2"/>
  <c r="C15" i="27" l="1"/>
  <c r="B15" i="27"/>
  <c r="L19" i="23"/>
  <c r="L17" i="23"/>
  <c r="L30" i="23" l="1"/>
  <c r="B14" i="27"/>
  <c r="D12" i="23"/>
  <c r="D12" i="27" s="1"/>
  <c r="B14" i="23"/>
  <c r="E12" i="23"/>
  <c r="E12" i="27" s="1"/>
  <c r="C12" i="23"/>
  <c r="C12" i="27" s="1"/>
  <c r="E25" i="20"/>
  <c r="D25" i="20"/>
  <c r="B25" i="20"/>
  <c r="B1" i="27"/>
  <c r="E25" i="19"/>
  <c r="D25" i="19"/>
  <c r="C25" i="19"/>
  <c r="B25" i="19"/>
  <c r="E25" i="18"/>
  <c r="D25" i="18"/>
  <c r="C25" i="18"/>
  <c r="B25" i="18"/>
  <c r="E25" i="24"/>
  <c r="D25" i="24"/>
  <c r="C25" i="24"/>
  <c r="B25" i="24"/>
  <c r="B6" i="27" l="1"/>
  <c r="G6" i="27" s="1"/>
  <c r="B21" i="27"/>
  <c r="G21" i="27" s="1"/>
  <c r="O1" i="26" l="1"/>
  <c r="E25" i="16" l="1"/>
  <c r="D25" i="16"/>
  <c r="C25" i="16"/>
  <c r="B25" i="16"/>
  <c r="E25" i="15"/>
  <c r="D25" i="15"/>
  <c r="C25" i="15"/>
  <c r="B25" i="15"/>
  <c r="H5" i="25" l="1"/>
  <c r="E4" i="13" l="1"/>
  <c r="V33" i="4" l="1"/>
  <c r="Q33" i="4"/>
  <c r="V32" i="4"/>
  <c r="Q32" i="4"/>
  <c r="C14" i="26"/>
  <c r="C12" i="26"/>
  <c r="C13" i="26"/>
  <c r="C11" i="26"/>
  <c r="C10" i="26"/>
  <c r="C9" i="26"/>
  <c r="C8" i="26"/>
  <c r="C7" i="26"/>
  <c r="C6" i="26"/>
  <c r="C5" i="26"/>
  <c r="C4" i="26"/>
  <c r="V25" i="4"/>
  <c r="B7" i="10"/>
  <c r="E4" i="12"/>
  <c r="L24" i="23"/>
  <c r="L16" i="23"/>
  <c r="L15" i="23"/>
  <c r="L21" i="23"/>
  <c r="L20" i="23"/>
  <c r="L23" i="23"/>
  <c r="L22" i="23"/>
  <c r="L27" i="23"/>
  <c r="L26" i="23"/>
  <c r="L25" i="23"/>
  <c r="B1" i="23"/>
  <c r="H5" i="23"/>
  <c r="H7" i="23"/>
  <c r="Q37" i="4" l="1"/>
  <c r="L29" i="23"/>
  <c r="O4" i="26"/>
  <c r="O5" i="26"/>
  <c r="O6" i="26"/>
  <c r="O7" i="26"/>
  <c r="O8" i="26"/>
  <c r="O9" i="26"/>
  <c r="O10" i="26"/>
  <c r="O11" i="26"/>
  <c r="O14" i="26"/>
  <c r="O13" i="26"/>
  <c r="O12" i="26"/>
  <c r="B21" i="23"/>
  <c r="B6" i="23"/>
  <c r="O6" i="23" s="1"/>
  <c r="O14" i="23" l="1"/>
  <c r="L31" i="23"/>
  <c r="O28" i="23"/>
  <c r="O21" i="23"/>
  <c r="O12" i="23"/>
  <c r="O23" i="23"/>
  <c r="O15" i="23"/>
  <c r="O16" i="23"/>
  <c r="O20" i="23"/>
  <c r="O24" i="23"/>
  <c r="O25" i="23"/>
  <c r="O17" i="23"/>
  <c r="O27" i="23"/>
  <c r="O19" i="23"/>
  <c r="O13" i="23"/>
  <c r="O18" i="23"/>
  <c r="O22" i="23"/>
  <c r="O26" i="23"/>
  <c r="O30" i="23" l="1"/>
  <c r="F5" i="25"/>
  <c r="D5" i="25"/>
  <c r="D6" i="25" s="1"/>
  <c r="V8" i="6"/>
  <c r="AJ8" i="6" s="1"/>
  <c r="V9" i="6"/>
  <c r="V10" i="6"/>
  <c r="AJ10" i="6" s="1"/>
  <c r="V11" i="6"/>
  <c r="V12" i="6"/>
  <c r="AJ12" i="6" s="1"/>
  <c r="V13" i="6"/>
  <c r="V14" i="6"/>
  <c r="AJ14" i="6" s="1"/>
  <c r="V15" i="6"/>
  <c r="V16" i="6"/>
  <c r="AJ16" i="6" s="1"/>
  <c r="V17" i="6"/>
  <c r="V18" i="6"/>
  <c r="AJ18" i="6" s="1"/>
  <c r="V19" i="6"/>
  <c r="V20" i="6"/>
  <c r="AJ20" i="6" s="1"/>
  <c r="V21" i="6"/>
  <c r="V22" i="6"/>
  <c r="AJ22" i="6" s="1"/>
  <c r="V23" i="6"/>
  <c r="V7" i="6"/>
  <c r="V5" i="6"/>
  <c r="W49" i="2"/>
  <c r="W63" i="2" s="1"/>
  <c r="W48" i="2"/>
  <c r="W19" i="2" s="1"/>
  <c r="W47" i="2"/>
  <c r="W61" i="2" s="1"/>
  <c r="W46" i="2"/>
  <c r="W15" i="2" s="1"/>
  <c r="W45" i="2"/>
  <c r="W59" i="2" s="1"/>
  <c r="W44" i="2"/>
  <c r="W13" i="2" s="1"/>
  <c r="W43" i="2"/>
  <c r="W57" i="2" s="1"/>
  <c r="W42" i="2"/>
  <c r="W9" i="2" s="1"/>
  <c r="W41" i="2"/>
  <c r="W55" i="2" s="1"/>
  <c r="W40" i="2"/>
  <c r="W37" i="2"/>
  <c r="W62" i="2" s="1"/>
  <c r="W36" i="2"/>
  <c r="W60" i="2" s="1"/>
  <c r="W35" i="2"/>
  <c r="W58" i="2" s="1"/>
  <c r="W34" i="2"/>
  <c r="W56" i="2" s="1"/>
  <c r="W33" i="2"/>
  <c r="W54" i="2" s="1"/>
  <c r="W22" i="2"/>
  <c r="W20" i="2"/>
  <c r="W18" i="2"/>
  <c r="W16" i="2"/>
  <c r="W14" i="2"/>
  <c r="W12" i="2"/>
  <c r="W10" i="2"/>
  <c r="W8" i="2"/>
  <c r="W6" i="2"/>
  <c r="W4" i="2"/>
  <c r="V22" i="8"/>
  <c r="V20" i="8"/>
  <c r="V18" i="8"/>
  <c r="V16" i="8"/>
  <c r="V14" i="8"/>
  <c r="V12" i="8"/>
  <c r="V10" i="8"/>
  <c r="V8" i="8"/>
  <c r="V6" i="8"/>
  <c r="V4" i="8"/>
  <c r="V22" i="7"/>
  <c r="V20" i="7"/>
  <c r="V18" i="7"/>
  <c r="V16" i="7"/>
  <c r="V14" i="7"/>
  <c r="V12" i="7"/>
  <c r="V10" i="7"/>
  <c r="V8" i="7"/>
  <c r="V6" i="7"/>
  <c r="V4" i="7"/>
  <c r="V4" i="6"/>
  <c r="AJ4" i="6" s="1"/>
  <c r="V22" i="5"/>
  <c r="V20" i="5"/>
  <c r="V18" i="5"/>
  <c r="V16" i="5"/>
  <c r="V14" i="5"/>
  <c r="V12" i="5"/>
  <c r="V10" i="5"/>
  <c r="V8" i="5"/>
  <c r="V6" i="5"/>
  <c r="V4" i="5"/>
  <c r="V22" i="4"/>
  <c r="V20" i="4"/>
  <c r="V18" i="4"/>
  <c r="V16" i="4"/>
  <c r="V14" i="4"/>
  <c r="V12" i="4"/>
  <c r="V10" i="4"/>
  <c r="V8" i="4"/>
  <c r="V6" i="4"/>
  <c r="V4" i="4"/>
  <c r="V22" i="3"/>
  <c r="V20" i="3"/>
  <c r="V18" i="3"/>
  <c r="V16" i="3"/>
  <c r="V14" i="3"/>
  <c r="V12" i="3"/>
  <c r="V10" i="3"/>
  <c r="V8" i="3"/>
  <c r="V6" i="3"/>
  <c r="V4" i="3"/>
  <c r="V6" i="1"/>
  <c r="V4" i="1"/>
  <c r="AJ24" i="6" l="1"/>
  <c r="AJ29" i="6" s="1"/>
  <c r="W7" i="2"/>
  <c r="AL6" i="2" s="1"/>
  <c r="AL47" i="2"/>
  <c r="AX47" i="2" s="1"/>
  <c r="AL48" i="2"/>
  <c r="AX48" i="2" s="1"/>
  <c r="AL8" i="2"/>
  <c r="AX8" i="2" s="1"/>
  <c r="AX12" i="2"/>
  <c r="BM12" i="2" s="1"/>
  <c r="AL14" i="2"/>
  <c r="AX14" i="2" s="1"/>
  <c r="AL18" i="2"/>
  <c r="AX18" i="2" s="1"/>
  <c r="AL56" i="2"/>
  <c r="AX56" i="2" s="1"/>
  <c r="AL58" i="2"/>
  <c r="AX58" i="2" s="1"/>
  <c r="AL60" i="2"/>
  <c r="AX60" i="2" s="1"/>
  <c r="AL62" i="2"/>
  <c r="AX62" i="2" s="1"/>
  <c r="E29" i="8"/>
  <c r="F29" i="8"/>
  <c r="G29" i="8"/>
  <c r="H29" i="8"/>
  <c r="I29" i="8"/>
  <c r="J29" i="8"/>
  <c r="K29" i="8"/>
  <c r="L29" i="8"/>
  <c r="M29" i="8"/>
  <c r="AL26" i="2" l="1"/>
  <c r="BM54" i="2"/>
  <c r="BM26" i="2" s="1"/>
  <c r="AX6" i="2"/>
  <c r="N5" i="25"/>
  <c r="C5" i="25"/>
  <c r="E5" i="25"/>
  <c r="G5" i="25"/>
  <c r="I5" i="25"/>
  <c r="K5" i="25"/>
  <c r="L5" i="25"/>
  <c r="M5" i="25"/>
  <c r="F1" i="21"/>
  <c r="B1" i="20"/>
  <c r="B9" i="20"/>
  <c r="C9" i="20"/>
  <c r="D9" i="20"/>
  <c r="E9" i="20"/>
  <c r="B12" i="20"/>
  <c r="C12" i="20"/>
  <c r="D12" i="20"/>
  <c r="E12" i="20"/>
  <c r="B14" i="20"/>
  <c r="B15" i="20"/>
  <c r="B24" i="20"/>
  <c r="C24" i="20"/>
  <c r="D24" i="20"/>
  <c r="E24" i="20"/>
  <c r="O29" i="22"/>
  <c r="R29" i="22"/>
  <c r="U29" i="22"/>
  <c r="X29" i="22"/>
  <c r="B27" i="20"/>
  <c r="C27" i="20"/>
  <c r="D27" i="20"/>
  <c r="E27" i="20"/>
  <c r="B1" i="19"/>
  <c r="B4" i="19"/>
  <c r="B5" i="19"/>
  <c r="C5" i="19"/>
  <c r="E5" i="19"/>
  <c r="B7" i="19"/>
  <c r="B12" i="19"/>
  <c r="C12" i="19"/>
  <c r="D12" i="19"/>
  <c r="E12" i="19"/>
  <c r="B14" i="19"/>
  <c r="B15" i="19"/>
  <c r="D19" i="19"/>
  <c r="E19" i="19"/>
  <c r="B20" i="19"/>
  <c r="C20" i="19"/>
  <c r="D20" i="19"/>
  <c r="E20" i="19"/>
  <c r="B22" i="19"/>
  <c r="M22" i="19" s="1"/>
  <c r="D24" i="19"/>
  <c r="O27" i="22"/>
  <c r="R27" i="22"/>
  <c r="U27" i="22"/>
  <c r="B27" i="19"/>
  <c r="C27" i="19"/>
  <c r="D27" i="19"/>
  <c r="E27" i="19"/>
  <c r="B1" i="18"/>
  <c r="B4" i="18"/>
  <c r="C4" i="18"/>
  <c r="D4" i="18"/>
  <c r="B5" i="18"/>
  <c r="C5" i="18"/>
  <c r="D5" i="18"/>
  <c r="E5" i="18"/>
  <c r="B7" i="18"/>
  <c r="B9" i="18"/>
  <c r="C9" i="18"/>
  <c r="D9" i="18"/>
  <c r="E9" i="18"/>
  <c r="B12" i="18"/>
  <c r="C12" i="18"/>
  <c r="D12" i="18"/>
  <c r="E12" i="18"/>
  <c r="B14" i="18"/>
  <c r="B15" i="18"/>
  <c r="B19" i="18"/>
  <c r="C19" i="18"/>
  <c r="D19" i="18"/>
  <c r="E19" i="18"/>
  <c r="B20" i="18"/>
  <c r="C20" i="18"/>
  <c r="D20" i="18"/>
  <c r="E20" i="18"/>
  <c r="B22" i="18"/>
  <c r="M22" i="18" s="1"/>
  <c r="B24" i="18"/>
  <c r="C24" i="18"/>
  <c r="E24" i="18"/>
  <c r="O25" i="22"/>
  <c r="R25" i="22"/>
  <c r="U25" i="22"/>
  <c r="B27" i="18"/>
  <c r="C27" i="18"/>
  <c r="D27" i="18"/>
  <c r="E27" i="18"/>
  <c r="B1" i="24"/>
  <c r="B4" i="24"/>
  <c r="C4" i="24"/>
  <c r="D4" i="24"/>
  <c r="B5" i="24"/>
  <c r="C5" i="24"/>
  <c r="D5" i="24"/>
  <c r="E5" i="24"/>
  <c r="B7" i="24"/>
  <c r="B9" i="24"/>
  <c r="C9" i="24"/>
  <c r="D9" i="24"/>
  <c r="E9" i="24"/>
  <c r="B12" i="24"/>
  <c r="C12" i="24"/>
  <c r="D12" i="24"/>
  <c r="E12" i="24"/>
  <c r="B14" i="24"/>
  <c r="B15" i="24"/>
  <c r="B19" i="24"/>
  <c r="C19" i="24"/>
  <c r="D19" i="24"/>
  <c r="E19" i="24"/>
  <c r="B20" i="24"/>
  <c r="C20" i="24"/>
  <c r="D20" i="24"/>
  <c r="E20" i="24"/>
  <c r="B24" i="24"/>
  <c r="C24" i="24"/>
  <c r="D24" i="24"/>
  <c r="E24" i="24"/>
  <c r="B27" i="24"/>
  <c r="C27" i="24"/>
  <c r="D27" i="24"/>
  <c r="E27" i="24"/>
  <c r="B1" i="16"/>
  <c r="B4" i="16"/>
  <c r="C4" i="16"/>
  <c r="D4" i="16"/>
  <c r="B5" i="16"/>
  <c r="C5" i="16"/>
  <c r="D5" i="16"/>
  <c r="E5" i="16"/>
  <c r="B7" i="16"/>
  <c r="B9" i="16"/>
  <c r="C9" i="16"/>
  <c r="E9" i="16"/>
  <c r="B12" i="16"/>
  <c r="C12" i="16"/>
  <c r="D12" i="16"/>
  <c r="E12" i="16"/>
  <c r="B14" i="16"/>
  <c r="B15" i="16"/>
  <c r="B19" i="16"/>
  <c r="C19" i="16"/>
  <c r="D19" i="16"/>
  <c r="E19" i="16"/>
  <c r="B20" i="16"/>
  <c r="C20" i="16"/>
  <c r="D20" i="16"/>
  <c r="E20" i="16"/>
  <c r="B22" i="16"/>
  <c r="B24" i="16"/>
  <c r="C24" i="16"/>
  <c r="D24" i="16"/>
  <c r="E24" i="16"/>
  <c r="R21" i="22"/>
  <c r="B27" i="16"/>
  <c r="C27" i="16"/>
  <c r="D27" i="16"/>
  <c r="E27" i="16"/>
  <c r="B1" i="15"/>
  <c r="B4" i="15"/>
  <c r="C4" i="15"/>
  <c r="D4" i="15"/>
  <c r="B5" i="15"/>
  <c r="C5" i="15"/>
  <c r="D5" i="15"/>
  <c r="E5" i="15"/>
  <c r="B7" i="15"/>
  <c r="B9" i="15"/>
  <c r="C9" i="15"/>
  <c r="D9" i="15"/>
  <c r="E9" i="15"/>
  <c r="B12" i="15"/>
  <c r="C12" i="15"/>
  <c r="D12" i="15"/>
  <c r="E12" i="15"/>
  <c r="B14" i="15"/>
  <c r="B15" i="15"/>
  <c r="B19" i="15"/>
  <c r="C19" i="15"/>
  <c r="D19" i="15"/>
  <c r="E19" i="15"/>
  <c r="B20" i="15"/>
  <c r="C20" i="15"/>
  <c r="D20" i="15"/>
  <c r="E20" i="15"/>
  <c r="B22" i="15"/>
  <c r="B24" i="15"/>
  <c r="C24" i="15"/>
  <c r="D24" i="15"/>
  <c r="E24" i="15"/>
  <c r="O19" i="22"/>
  <c r="R19" i="22"/>
  <c r="B27" i="15"/>
  <c r="C27" i="15"/>
  <c r="D27" i="15"/>
  <c r="E27" i="15"/>
  <c r="B1" i="14"/>
  <c r="B4" i="14"/>
  <c r="C4" i="14"/>
  <c r="D4" i="14"/>
  <c r="B5" i="14"/>
  <c r="C5" i="14"/>
  <c r="D5" i="14"/>
  <c r="E5" i="14"/>
  <c r="B7" i="14"/>
  <c r="B9" i="14"/>
  <c r="C9" i="14"/>
  <c r="D9" i="14"/>
  <c r="E9" i="14"/>
  <c r="C17" i="22"/>
  <c r="B12" i="14"/>
  <c r="C12" i="14"/>
  <c r="D12" i="14"/>
  <c r="E12" i="14"/>
  <c r="B14" i="14"/>
  <c r="B15" i="14"/>
  <c r="B19" i="14"/>
  <c r="C19" i="14"/>
  <c r="D19" i="14"/>
  <c r="E19" i="14"/>
  <c r="B20" i="14"/>
  <c r="C20" i="14"/>
  <c r="D20" i="14"/>
  <c r="E20" i="14"/>
  <c r="B22" i="14"/>
  <c r="B24" i="14"/>
  <c r="C24" i="14"/>
  <c r="D24" i="14"/>
  <c r="E24" i="14"/>
  <c r="B27" i="14"/>
  <c r="C27" i="14"/>
  <c r="D27" i="14"/>
  <c r="E27" i="14"/>
  <c r="B1" i="13"/>
  <c r="B4" i="13"/>
  <c r="C4" i="13"/>
  <c r="D4" i="13"/>
  <c r="B5" i="13"/>
  <c r="C5" i="13"/>
  <c r="D5" i="13"/>
  <c r="E5" i="13"/>
  <c r="B7" i="13"/>
  <c r="B9" i="13"/>
  <c r="C9" i="13"/>
  <c r="D9" i="13"/>
  <c r="E9" i="13"/>
  <c r="B12" i="13"/>
  <c r="B15" i="13"/>
  <c r="B19" i="13"/>
  <c r="C19" i="13"/>
  <c r="D19" i="13"/>
  <c r="E19" i="13"/>
  <c r="B20" i="13"/>
  <c r="C20" i="13"/>
  <c r="D20" i="13"/>
  <c r="E20" i="13"/>
  <c r="B22" i="13"/>
  <c r="B24" i="13"/>
  <c r="C24" i="13"/>
  <c r="D24" i="13"/>
  <c r="E24" i="13"/>
  <c r="B1" i="12"/>
  <c r="B5" i="12"/>
  <c r="C5" i="12"/>
  <c r="D5" i="12"/>
  <c r="E5" i="12"/>
  <c r="B7" i="12"/>
  <c r="B9" i="12"/>
  <c r="C9" i="12"/>
  <c r="D9" i="12"/>
  <c r="E9" i="12"/>
  <c r="B12" i="12"/>
  <c r="C12" i="12"/>
  <c r="D12" i="12"/>
  <c r="E12" i="12"/>
  <c r="B14" i="12"/>
  <c r="B15" i="12"/>
  <c r="B19" i="12"/>
  <c r="C19" i="12"/>
  <c r="D19" i="12"/>
  <c r="B20" i="12"/>
  <c r="C20" i="12"/>
  <c r="D20" i="12"/>
  <c r="E20" i="12"/>
  <c r="B22" i="12"/>
  <c r="B24" i="12"/>
  <c r="C24" i="12"/>
  <c r="D24" i="12"/>
  <c r="E24" i="12"/>
  <c r="B27" i="12"/>
  <c r="C27" i="12"/>
  <c r="D27" i="12"/>
  <c r="E27" i="12"/>
  <c r="B1" i="11"/>
  <c r="B4" i="11"/>
  <c r="C4" i="11"/>
  <c r="C5" i="11"/>
  <c r="D5" i="11"/>
  <c r="E5" i="11"/>
  <c r="B7" i="11"/>
  <c r="B9" i="11"/>
  <c r="C9" i="11"/>
  <c r="D9" i="11"/>
  <c r="E9" i="11"/>
  <c r="B12" i="11"/>
  <c r="C12" i="11"/>
  <c r="D12" i="11"/>
  <c r="E12" i="11"/>
  <c r="B14" i="11"/>
  <c r="B15" i="11"/>
  <c r="B19" i="11"/>
  <c r="C19" i="11"/>
  <c r="D19" i="11"/>
  <c r="E19" i="11"/>
  <c r="B20" i="11"/>
  <c r="C20" i="11"/>
  <c r="D20" i="11"/>
  <c r="E20" i="11"/>
  <c r="B22" i="11"/>
  <c r="B24" i="11"/>
  <c r="C24" i="11"/>
  <c r="D24" i="11"/>
  <c r="E24" i="11"/>
  <c r="B27" i="11"/>
  <c r="C27" i="11"/>
  <c r="D27" i="11"/>
  <c r="E27" i="11"/>
  <c r="B1" i="10"/>
  <c r="B4" i="10"/>
  <c r="C4" i="10"/>
  <c r="D4" i="10"/>
  <c r="E4" i="10"/>
  <c r="B5" i="10"/>
  <c r="C5" i="10"/>
  <c r="D5" i="10"/>
  <c r="E5" i="10"/>
  <c r="B9" i="10"/>
  <c r="C9" i="10"/>
  <c r="D9" i="10"/>
  <c r="E9" i="10"/>
  <c r="C12" i="10"/>
  <c r="D12" i="10"/>
  <c r="E12" i="10"/>
  <c r="B14" i="10"/>
  <c r="B15" i="10"/>
  <c r="B19" i="10"/>
  <c r="C19" i="10"/>
  <c r="D19" i="10"/>
  <c r="E19" i="10"/>
  <c r="B20" i="10"/>
  <c r="C20" i="10"/>
  <c r="D20" i="10"/>
  <c r="E20" i="10"/>
  <c r="B22" i="10"/>
  <c r="B24" i="10"/>
  <c r="C24" i="10"/>
  <c r="D24" i="10"/>
  <c r="E24" i="10"/>
  <c r="B27" i="10"/>
  <c r="C27" i="10"/>
  <c r="D27" i="10"/>
  <c r="E27" i="10"/>
  <c r="B4" i="9"/>
  <c r="C4" i="9"/>
  <c r="D4" i="9"/>
  <c r="E4" i="9"/>
  <c r="B5" i="9"/>
  <c r="C5" i="9"/>
  <c r="D5" i="9"/>
  <c r="E5" i="9"/>
  <c r="B7" i="9"/>
  <c r="B9" i="9"/>
  <c r="C9" i="9"/>
  <c r="D9" i="9"/>
  <c r="E9" i="9"/>
  <c r="C7" i="21"/>
  <c r="F7" i="22"/>
  <c r="L7" i="22"/>
  <c r="B12" i="9"/>
  <c r="C12" i="9"/>
  <c r="D12" i="9"/>
  <c r="E12" i="9"/>
  <c r="B14" i="9"/>
  <c r="B15" i="9"/>
  <c r="B19" i="9"/>
  <c r="C19" i="9"/>
  <c r="D19" i="9"/>
  <c r="E19" i="9"/>
  <c r="B20" i="9"/>
  <c r="C20" i="9"/>
  <c r="D20" i="9"/>
  <c r="E20" i="9"/>
  <c r="B22" i="9"/>
  <c r="B24" i="9"/>
  <c r="C24" i="9"/>
  <c r="D24" i="9"/>
  <c r="E24" i="9"/>
  <c r="O7" i="21"/>
  <c r="R7" i="21"/>
  <c r="U7" i="21"/>
  <c r="X7" i="22"/>
  <c r="B27" i="9"/>
  <c r="C27" i="9"/>
  <c r="D27" i="9"/>
  <c r="E27" i="9"/>
  <c r="D2" i="8"/>
  <c r="A29" i="8"/>
  <c r="N29" i="8"/>
  <c r="O29" i="8"/>
  <c r="P29" i="8"/>
  <c r="D2" i="7"/>
  <c r="A29" i="7"/>
  <c r="E29" i="7"/>
  <c r="F29" i="7"/>
  <c r="G29" i="7"/>
  <c r="H29" i="7"/>
  <c r="I29" i="7"/>
  <c r="J29" i="7"/>
  <c r="K29" i="7"/>
  <c r="L29" i="7"/>
  <c r="M29" i="7"/>
  <c r="N29" i="7"/>
  <c r="O29" i="7"/>
  <c r="P29" i="7"/>
  <c r="D2" i="6"/>
  <c r="A29" i="6"/>
  <c r="E29" i="6"/>
  <c r="F29" i="6"/>
  <c r="G29" i="6"/>
  <c r="H29" i="6"/>
  <c r="I29" i="6"/>
  <c r="J29" i="6"/>
  <c r="K29" i="6"/>
  <c r="L29" i="6"/>
  <c r="M29" i="6"/>
  <c r="N29" i="6"/>
  <c r="O29" i="6"/>
  <c r="P29" i="6"/>
  <c r="D2" i="5"/>
  <c r="R24" i="5"/>
  <c r="D2" i="4"/>
  <c r="Q36" i="4"/>
  <c r="Q38" i="4" s="1"/>
  <c r="Q26" i="4"/>
  <c r="R26" i="4" s="1"/>
  <c r="A30" i="4"/>
  <c r="Q30" i="4"/>
  <c r="D2" i="3"/>
  <c r="A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 s="1"/>
  <c r="E2" i="2"/>
  <c r="B29" i="2"/>
  <c r="R29" i="2"/>
  <c r="U13" i="22"/>
  <c r="U21" i="22"/>
  <c r="O21" i="22"/>
  <c r="X27" i="22"/>
  <c r="X25" i="22"/>
  <c r="Y8" i="21" l="1"/>
  <c r="Z8" i="21" s="1"/>
  <c r="X8" i="21"/>
  <c r="V8" i="21"/>
  <c r="W8" i="21" s="1"/>
  <c r="U8" i="21"/>
  <c r="S8" i="21"/>
  <c r="T8" i="21" s="1"/>
  <c r="R8" i="21"/>
  <c r="P8" i="21"/>
  <c r="Q8" i="21" s="1"/>
  <c r="O8" i="21"/>
  <c r="L8" i="21"/>
  <c r="M8" i="21"/>
  <c r="N8" i="21" s="1"/>
  <c r="I8" i="21"/>
  <c r="J8" i="21"/>
  <c r="K8" i="21" s="1"/>
  <c r="F8" i="21"/>
  <c r="G8" i="21"/>
  <c r="H8" i="21" s="1"/>
  <c r="C8" i="21"/>
  <c r="D8" i="21"/>
  <c r="E8" i="21" s="1"/>
  <c r="AX26" i="2"/>
  <c r="E19" i="27"/>
  <c r="J19" i="27" s="1"/>
  <c r="V18" i="22"/>
  <c r="U6" i="22"/>
  <c r="O6" i="22"/>
  <c r="J6" i="21"/>
  <c r="Q24" i="4"/>
  <c r="R24" i="7"/>
  <c r="Q24" i="7"/>
  <c r="L19" i="22"/>
  <c r="AX2" i="2"/>
  <c r="Q24" i="5"/>
  <c r="R27" i="4"/>
  <c r="R24" i="3"/>
  <c r="J24" i="19"/>
  <c r="I24" i="19"/>
  <c r="H24" i="19"/>
  <c r="G24" i="19"/>
  <c r="C12" i="22"/>
  <c r="X9" i="22"/>
  <c r="G8" i="22"/>
  <c r="P6" i="22"/>
  <c r="C6" i="25"/>
  <c r="H4" i="19"/>
  <c r="Q24" i="1"/>
  <c r="Q24" i="8"/>
  <c r="R24" i="8"/>
  <c r="X28" i="22"/>
  <c r="J24" i="20"/>
  <c r="E24" i="27"/>
  <c r="J24" i="27" s="1"/>
  <c r="J19" i="20"/>
  <c r="U28" i="22"/>
  <c r="I24" i="20"/>
  <c r="D24" i="27"/>
  <c r="I24" i="27" s="1"/>
  <c r="I19" i="20"/>
  <c r="D19" i="27"/>
  <c r="I19" i="27" s="1"/>
  <c r="Q24" i="6"/>
  <c r="R28" i="22"/>
  <c r="H24" i="20"/>
  <c r="C24" i="27"/>
  <c r="H24" i="27" s="1"/>
  <c r="H19" i="20"/>
  <c r="C19" i="27"/>
  <c r="H19" i="27" s="1"/>
  <c r="O28" i="22"/>
  <c r="G24" i="20"/>
  <c r="B24" i="27"/>
  <c r="G24" i="27" s="1"/>
  <c r="G19" i="20"/>
  <c r="B19" i="27"/>
  <c r="G19" i="27" s="1"/>
  <c r="L29" i="22"/>
  <c r="L28" i="22"/>
  <c r="E9" i="27"/>
  <c r="J9" i="27" s="1"/>
  <c r="J9" i="20"/>
  <c r="R24" i="4"/>
  <c r="I29" i="22"/>
  <c r="I28" i="22"/>
  <c r="D9" i="27"/>
  <c r="I9" i="27" s="1"/>
  <c r="I9" i="20"/>
  <c r="I4" i="20"/>
  <c r="D4" i="27"/>
  <c r="I4" i="27" s="1"/>
  <c r="F29" i="22"/>
  <c r="F28" i="22"/>
  <c r="H9" i="20"/>
  <c r="C9" i="27"/>
  <c r="H9" i="27" s="1"/>
  <c r="H4" i="20"/>
  <c r="C4" i="27"/>
  <c r="H4" i="27" s="1"/>
  <c r="R24" i="1"/>
  <c r="C28" i="22"/>
  <c r="B9" i="27"/>
  <c r="G9" i="27" s="1"/>
  <c r="G9" i="20"/>
  <c r="G4" i="20"/>
  <c r="B4" i="27"/>
  <c r="G4" i="27" s="1"/>
  <c r="J19" i="19"/>
  <c r="H19" i="19"/>
  <c r="J9" i="19"/>
  <c r="H9" i="19"/>
  <c r="H4" i="18"/>
  <c r="I19" i="19"/>
  <c r="G19" i="19"/>
  <c r="I9" i="19"/>
  <c r="G9" i="19"/>
  <c r="I4" i="19"/>
  <c r="G4" i="19"/>
  <c r="X26" i="22"/>
  <c r="U26" i="22"/>
  <c r="R26" i="22"/>
  <c r="O26" i="22"/>
  <c r="L27" i="22"/>
  <c r="L26" i="22"/>
  <c r="I27" i="22"/>
  <c r="I26" i="22"/>
  <c r="F27" i="22"/>
  <c r="F26" i="22"/>
  <c r="C27" i="22"/>
  <c r="C26" i="22"/>
  <c r="U24" i="22"/>
  <c r="I24" i="18"/>
  <c r="O24" i="22"/>
  <c r="G24" i="18"/>
  <c r="L25" i="22"/>
  <c r="F25" i="22"/>
  <c r="L24" i="22"/>
  <c r="J9" i="18"/>
  <c r="F24" i="22"/>
  <c r="H9" i="18"/>
  <c r="J19" i="18"/>
  <c r="H19" i="18"/>
  <c r="X24" i="22"/>
  <c r="J24" i="18"/>
  <c r="R24" i="22"/>
  <c r="H24" i="18"/>
  <c r="I25" i="22"/>
  <c r="I24" i="22"/>
  <c r="I9" i="18"/>
  <c r="C24" i="22"/>
  <c r="G9" i="18"/>
  <c r="I19" i="18"/>
  <c r="G19" i="18"/>
  <c r="I4" i="18"/>
  <c r="G4" i="18"/>
  <c r="P24" i="22"/>
  <c r="Q24" i="22" s="1"/>
  <c r="C4" i="23"/>
  <c r="U20" i="22"/>
  <c r="O20" i="22"/>
  <c r="F21" i="22"/>
  <c r="L20" i="22"/>
  <c r="F20" i="22"/>
  <c r="X20" i="22"/>
  <c r="I21" i="22"/>
  <c r="D20" i="22"/>
  <c r="I20" i="22"/>
  <c r="C20" i="22"/>
  <c r="V26" i="22"/>
  <c r="W26" i="22" s="1"/>
  <c r="L21" i="22"/>
  <c r="J10" i="22"/>
  <c r="V24" i="22"/>
  <c r="W24" i="22" s="1"/>
  <c r="U18" i="22"/>
  <c r="O18" i="22"/>
  <c r="F19" i="22"/>
  <c r="L18" i="22"/>
  <c r="F18" i="22"/>
  <c r="X18" i="22"/>
  <c r="R18" i="22"/>
  <c r="C19" i="22"/>
  <c r="I18" i="22"/>
  <c r="C18" i="22"/>
  <c r="X7" i="21"/>
  <c r="C16" i="22"/>
  <c r="J28" i="22"/>
  <c r="X16" i="22"/>
  <c r="U16" i="22"/>
  <c r="V16" i="22"/>
  <c r="R17" i="22"/>
  <c r="R16" i="22"/>
  <c r="P16" i="22"/>
  <c r="O16" i="22"/>
  <c r="L16" i="22"/>
  <c r="I17" i="22"/>
  <c r="I16" i="22"/>
  <c r="F17" i="22"/>
  <c r="F16" i="22"/>
  <c r="X15" i="22"/>
  <c r="R15" i="22"/>
  <c r="X14" i="22"/>
  <c r="R14" i="22"/>
  <c r="I15" i="22"/>
  <c r="D14" i="22"/>
  <c r="I14" i="22"/>
  <c r="C14" i="22"/>
  <c r="U15" i="22"/>
  <c r="U14" i="22"/>
  <c r="M14" i="22"/>
  <c r="L14" i="22"/>
  <c r="O15" i="22"/>
  <c r="O14" i="22"/>
  <c r="G28" i="22"/>
  <c r="G26" i="22"/>
  <c r="G14" i="22"/>
  <c r="F14" i="22"/>
  <c r="D4" i="23"/>
  <c r="B4" i="23"/>
  <c r="F6" i="21"/>
  <c r="C9" i="23"/>
  <c r="P12" i="22"/>
  <c r="I13" i="22"/>
  <c r="D12" i="22"/>
  <c r="I12" i="22"/>
  <c r="I6" i="21"/>
  <c r="D9" i="23"/>
  <c r="C6" i="21"/>
  <c r="B9" i="23"/>
  <c r="X13" i="22"/>
  <c r="R13" i="22"/>
  <c r="L12" i="22"/>
  <c r="F12" i="22"/>
  <c r="L6" i="21"/>
  <c r="E9" i="23"/>
  <c r="E19" i="23"/>
  <c r="X12" i="22"/>
  <c r="E24" i="23"/>
  <c r="U12" i="22"/>
  <c r="D24" i="23"/>
  <c r="D19" i="23"/>
  <c r="C19" i="23"/>
  <c r="R12" i="22"/>
  <c r="C24" i="23"/>
  <c r="O12" i="22"/>
  <c r="B24" i="23"/>
  <c r="B19" i="23"/>
  <c r="G4" i="16"/>
  <c r="X11" i="22"/>
  <c r="U11" i="22"/>
  <c r="R11" i="22"/>
  <c r="S10" i="22"/>
  <c r="R10" i="22"/>
  <c r="O11" i="22"/>
  <c r="L11" i="22"/>
  <c r="L10" i="22"/>
  <c r="I10" i="22"/>
  <c r="F11" i="22"/>
  <c r="F10" i="22"/>
  <c r="C10" i="22"/>
  <c r="U9" i="22"/>
  <c r="P8" i="22"/>
  <c r="O8" i="22"/>
  <c r="L9" i="22"/>
  <c r="F9" i="22"/>
  <c r="H4" i="11"/>
  <c r="H4" i="12"/>
  <c r="H4" i="13"/>
  <c r="G4" i="24"/>
  <c r="C8" i="22"/>
  <c r="C6" i="22"/>
  <c r="R24" i="6"/>
  <c r="D6" i="22"/>
  <c r="D10" i="22"/>
  <c r="C9" i="22"/>
  <c r="D6" i="21"/>
  <c r="G6" i="21"/>
  <c r="F8" i="22"/>
  <c r="S24" i="2"/>
  <c r="I4" i="16"/>
  <c r="I4" i="24"/>
  <c r="Q24" i="3"/>
  <c r="J6" i="22"/>
  <c r="I9" i="22"/>
  <c r="I6" i="22"/>
  <c r="I7" i="21"/>
  <c r="K6" i="21" s="1"/>
  <c r="L6" i="22"/>
  <c r="M6" i="21"/>
  <c r="X22" i="22"/>
  <c r="J24" i="24"/>
  <c r="R22" i="22"/>
  <c r="H24" i="24"/>
  <c r="D22" i="22"/>
  <c r="I9" i="24"/>
  <c r="C22" i="22"/>
  <c r="G9" i="24"/>
  <c r="U22" i="22"/>
  <c r="I24" i="24"/>
  <c r="O22" i="22"/>
  <c r="G24" i="24"/>
  <c r="F23" i="22"/>
  <c r="J9" i="24"/>
  <c r="H9" i="24"/>
  <c r="J19" i="9"/>
  <c r="H19" i="9"/>
  <c r="I4" i="9"/>
  <c r="G4" i="9"/>
  <c r="J19" i="10"/>
  <c r="H19" i="10"/>
  <c r="J4" i="10"/>
  <c r="H4" i="10"/>
  <c r="J19" i="11"/>
  <c r="H19" i="11"/>
  <c r="J19" i="12"/>
  <c r="H19" i="12"/>
  <c r="J19" i="13"/>
  <c r="H19" i="13"/>
  <c r="I19" i="16"/>
  <c r="G19" i="16"/>
  <c r="I19" i="24"/>
  <c r="G19" i="24"/>
  <c r="X21" i="22"/>
  <c r="F13" i="22"/>
  <c r="L8" i="22"/>
  <c r="M8" i="22"/>
  <c r="F6" i="22"/>
  <c r="G6" i="22"/>
  <c r="H6" i="22" s="1"/>
  <c r="M6" i="22"/>
  <c r="N6" i="22" s="1"/>
  <c r="O17" i="22"/>
  <c r="U17" i="22"/>
  <c r="V6" i="22"/>
  <c r="J24" i="9"/>
  <c r="H24" i="9"/>
  <c r="I19" i="9"/>
  <c r="G19" i="9"/>
  <c r="J4" i="9"/>
  <c r="H4" i="9"/>
  <c r="I19" i="10"/>
  <c r="G19" i="10"/>
  <c r="I4" i="10"/>
  <c r="G4" i="10"/>
  <c r="H24" i="11"/>
  <c r="I19" i="11"/>
  <c r="G19" i="11"/>
  <c r="I4" i="11"/>
  <c r="G4" i="11"/>
  <c r="I19" i="12"/>
  <c r="G19" i="12"/>
  <c r="G9" i="12"/>
  <c r="I4" i="12"/>
  <c r="G4" i="12"/>
  <c r="I19" i="13"/>
  <c r="G19" i="13"/>
  <c r="I4" i="13"/>
  <c r="G4" i="13"/>
  <c r="J19" i="16"/>
  <c r="H19" i="16"/>
  <c r="H4" i="16"/>
  <c r="J19" i="24"/>
  <c r="H19" i="24"/>
  <c r="H4" i="24"/>
  <c r="J19" i="15"/>
  <c r="H19" i="15"/>
  <c r="G9" i="16"/>
  <c r="I9" i="16"/>
  <c r="H24" i="16"/>
  <c r="J24" i="16"/>
  <c r="G9" i="13"/>
  <c r="I9" i="13"/>
  <c r="H24" i="13"/>
  <c r="J24" i="13"/>
  <c r="I9" i="12"/>
  <c r="H24" i="12"/>
  <c r="J24" i="12"/>
  <c r="G9" i="11"/>
  <c r="I9" i="11"/>
  <c r="J24" i="11"/>
  <c r="G9" i="9"/>
  <c r="I9" i="9"/>
  <c r="G9" i="10"/>
  <c r="I9" i="10"/>
  <c r="H24" i="10"/>
  <c r="J24" i="10"/>
  <c r="I4" i="14"/>
  <c r="G4" i="14"/>
  <c r="I19" i="15"/>
  <c r="G19" i="15"/>
  <c r="H4" i="15"/>
  <c r="I4" i="15"/>
  <c r="G4" i="15"/>
  <c r="H9" i="16"/>
  <c r="J9" i="16"/>
  <c r="G24" i="16"/>
  <c r="I24" i="16"/>
  <c r="H9" i="13"/>
  <c r="J9" i="13"/>
  <c r="G24" i="13"/>
  <c r="I24" i="13"/>
  <c r="H9" i="12"/>
  <c r="J9" i="12"/>
  <c r="G24" i="12"/>
  <c r="I24" i="12"/>
  <c r="H9" i="11"/>
  <c r="J9" i="11"/>
  <c r="G24" i="11"/>
  <c r="I24" i="11"/>
  <c r="H9" i="9"/>
  <c r="J9" i="9"/>
  <c r="G24" i="9"/>
  <c r="I24" i="9"/>
  <c r="H9" i="10"/>
  <c r="J9" i="10"/>
  <c r="G24" i="10"/>
  <c r="I24" i="10"/>
  <c r="J19" i="14"/>
  <c r="H19" i="14"/>
  <c r="G9" i="15"/>
  <c r="I9" i="15"/>
  <c r="H24" i="15"/>
  <c r="J24" i="15"/>
  <c r="I19" i="14"/>
  <c r="G19" i="14"/>
  <c r="H4" i="14"/>
  <c r="H9" i="15"/>
  <c r="J9" i="15"/>
  <c r="G24" i="15"/>
  <c r="I24" i="15"/>
  <c r="J9" i="14"/>
  <c r="H9" i="14"/>
  <c r="G24" i="14"/>
  <c r="J24" i="14"/>
  <c r="H24" i="14"/>
  <c r="G9" i="14"/>
  <c r="I9" i="14"/>
  <c r="I24" i="14"/>
  <c r="Y18" i="22"/>
  <c r="D16" i="22"/>
  <c r="E16" i="22" s="1"/>
  <c r="Y16" i="22"/>
  <c r="S16" i="22"/>
  <c r="S14" i="22"/>
  <c r="L15" i="22"/>
  <c r="M16" i="22"/>
  <c r="J16" i="22"/>
  <c r="Y14" i="22"/>
  <c r="V14" i="22"/>
  <c r="S12" i="22"/>
  <c r="O13" i="22"/>
  <c r="P14" i="22"/>
  <c r="F15" i="22"/>
  <c r="X10" i="22"/>
  <c r="R9" i="22"/>
  <c r="R7" i="22"/>
  <c r="I8" i="22"/>
  <c r="D8" i="22"/>
  <c r="J8" i="22"/>
  <c r="C7" i="22"/>
  <c r="I7" i="22"/>
  <c r="V10" i="22"/>
  <c r="U10" i="22"/>
  <c r="P10" i="22"/>
  <c r="O10" i="22"/>
  <c r="Y8" i="22"/>
  <c r="X8" i="22"/>
  <c r="V8" i="22"/>
  <c r="U7" i="22"/>
  <c r="U8" i="22"/>
  <c r="U6" i="21"/>
  <c r="S8" i="22"/>
  <c r="R6" i="22"/>
  <c r="S6" i="22"/>
  <c r="R8" i="22"/>
  <c r="R6" i="21"/>
  <c r="S6" i="21"/>
  <c r="O7" i="22"/>
  <c r="O6" i="21"/>
  <c r="X6" i="21"/>
  <c r="Y6" i="21"/>
  <c r="X6" i="22"/>
  <c r="Y6" i="22"/>
  <c r="Z6" i="22" s="1"/>
  <c r="I11" i="22"/>
  <c r="G16" i="22"/>
  <c r="G12" i="22"/>
  <c r="G18" i="22"/>
  <c r="G10" i="22"/>
  <c r="C15" i="22"/>
  <c r="C11" i="22"/>
  <c r="D28" i="22"/>
  <c r="C25" i="22"/>
  <c r="C13" i="22"/>
  <c r="B21" i="12"/>
  <c r="G21" i="12" s="1"/>
  <c r="V28" i="22"/>
  <c r="W28" i="22" s="1"/>
  <c r="M28" i="22"/>
  <c r="R24" i="2"/>
  <c r="C29" i="22"/>
  <c r="X17" i="22"/>
  <c r="J14" i="22"/>
  <c r="Y12" i="22"/>
  <c r="F7" i="21"/>
  <c r="L7" i="21"/>
  <c r="J12" i="22"/>
  <c r="V12" i="22"/>
  <c r="W12" i="22" s="1"/>
  <c r="Y10" i="22"/>
  <c r="O9" i="22"/>
  <c r="P6" i="21"/>
  <c r="V6" i="21"/>
  <c r="Y28" i="22"/>
  <c r="Z28" i="22" s="1"/>
  <c r="Y26" i="22"/>
  <c r="Z26" i="22" s="1"/>
  <c r="S28" i="22"/>
  <c r="T28" i="22" s="1"/>
  <c r="S26" i="22"/>
  <c r="T26" i="22" s="1"/>
  <c r="P28" i="22"/>
  <c r="Q28" i="22" s="1"/>
  <c r="B6" i="9"/>
  <c r="G6" i="9" s="1"/>
  <c r="B6" i="10"/>
  <c r="G6" i="10" s="1"/>
  <c r="E4" i="18"/>
  <c r="J4" i="18" s="1"/>
  <c r="M26" i="22"/>
  <c r="E4" i="19"/>
  <c r="J4" i="19" s="1"/>
  <c r="J4" i="24"/>
  <c r="L17" i="22"/>
  <c r="M12" i="22"/>
  <c r="L13" i="22"/>
  <c r="M10" i="22"/>
  <c r="E4" i="11"/>
  <c r="J4" i="11" s="1"/>
  <c r="E4" i="16"/>
  <c r="J4" i="16" s="1"/>
  <c r="E4" i="15"/>
  <c r="J4" i="15" s="1"/>
  <c r="E4" i="14"/>
  <c r="J4" i="14" s="1"/>
  <c r="J4" i="13"/>
  <c r="J4" i="12"/>
  <c r="Y24" i="22"/>
  <c r="Z24" i="22" s="1"/>
  <c r="S24" i="22"/>
  <c r="T24" i="22" s="1"/>
  <c r="P26" i="22"/>
  <c r="Q26" i="22" s="1"/>
  <c r="M24" i="22"/>
  <c r="J26" i="22"/>
  <c r="D26" i="22"/>
  <c r="B6" i="19"/>
  <c r="G6" i="19" s="1"/>
  <c r="L22" i="22"/>
  <c r="G22" i="22"/>
  <c r="L23" i="22"/>
  <c r="O23" i="22"/>
  <c r="R23" i="22"/>
  <c r="U23" i="22"/>
  <c r="X23" i="22"/>
  <c r="P22" i="22"/>
  <c r="V22" i="22"/>
  <c r="C23" i="22"/>
  <c r="I23" i="22"/>
  <c r="B21" i="19"/>
  <c r="F22" i="22"/>
  <c r="I22" i="22"/>
  <c r="J22" i="22"/>
  <c r="M22" i="22"/>
  <c r="S22" i="22"/>
  <c r="T22" i="22" s="1"/>
  <c r="Y22" i="22"/>
  <c r="J24" i="22"/>
  <c r="G24" i="22"/>
  <c r="B6" i="24"/>
  <c r="G6" i="24" s="1"/>
  <c r="D24" i="22"/>
  <c r="B21" i="9"/>
  <c r="G21" i="9" s="1"/>
  <c r="B21" i="10"/>
  <c r="G21" i="10" s="1"/>
  <c r="B6" i="11"/>
  <c r="G6" i="11" s="1"/>
  <c r="B21" i="13"/>
  <c r="G21" i="13" s="1"/>
  <c r="B21" i="18"/>
  <c r="G21" i="20"/>
  <c r="B21" i="11"/>
  <c r="G21" i="11" s="1"/>
  <c r="B6" i="12"/>
  <c r="G6" i="12" s="1"/>
  <c r="B6" i="13"/>
  <c r="G6" i="13" s="1"/>
  <c r="B21" i="14"/>
  <c r="G21" i="14" s="1"/>
  <c r="B6" i="14"/>
  <c r="G6" i="14" s="1"/>
  <c r="B6" i="18"/>
  <c r="G6" i="18" s="1"/>
  <c r="G6" i="20"/>
  <c r="B21" i="24"/>
  <c r="G21" i="24" s="1"/>
  <c r="S20" i="22"/>
  <c r="T20" i="22" s="1"/>
  <c r="R20" i="22"/>
  <c r="C21" i="22"/>
  <c r="X19" i="22"/>
  <c r="B21" i="15"/>
  <c r="G21" i="15" s="1"/>
  <c r="Y20" i="22"/>
  <c r="U19" i="22"/>
  <c r="B21" i="16"/>
  <c r="G21" i="16" s="1"/>
  <c r="V20" i="22"/>
  <c r="W20" i="22" s="1"/>
  <c r="S18" i="22"/>
  <c r="P20" i="22"/>
  <c r="Q20" i="22" s="1"/>
  <c r="P18" i="22"/>
  <c r="B6" i="15"/>
  <c r="G6" i="15" s="1"/>
  <c r="M20" i="22"/>
  <c r="M18" i="22"/>
  <c r="I19" i="22"/>
  <c r="J20" i="22"/>
  <c r="J18" i="22"/>
  <c r="G20" i="22"/>
  <c r="B6" i="16"/>
  <c r="G6" i="16" s="1"/>
  <c r="D18" i="22"/>
  <c r="G21" i="18" l="1"/>
  <c r="M21" i="18"/>
  <c r="O21" i="18" s="1"/>
  <c r="G21" i="19"/>
  <c r="M21" i="19"/>
  <c r="O21" i="19" s="1"/>
  <c r="W18" i="22"/>
  <c r="Z8" i="22"/>
  <c r="E8" i="22"/>
  <c r="H4" i="23"/>
  <c r="Q22" i="22"/>
  <c r="N18" i="22"/>
  <c r="Q16" i="22"/>
  <c r="K28" i="22"/>
  <c r="E6" i="22"/>
  <c r="K8" i="22"/>
  <c r="Z14" i="22"/>
  <c r="H24" i="22"/>
  <c r="E14" i="22"/>
  <c r="H10" i="22"/>
  <c r="H8" i="22"/>
  <c r="H26" i="22"/>
  <c r="H28" i="22"/>
  <c r="K20" i="22"/>
  <c r="H20" i="22"/>
  <c r="V31" i="21"/>
  <c r="D31" i="21"/>
  <c r="T10" i="22"/>
  <c r="K10" i="22"/>
  <c r="N24" i="22"/>
  <c r="E12" i="22"/>
  <c r="H16" i="22"/>
  <c r="W14" i="22"/>
  <c r="W8" i="22"/>
  <c r="Q6" i="22"/>
  <c r="M31" i="21"/>
  <c r="J31" i="21"/>
  <c r="E4" i="23"/>
  <c r="E20" i="22"/>
  <c r="K24" i="22"/>
  <c r="P31" i="21"/>
  <c r="Z10" i="22"/>
  <c r="K12" i="22"/>
  <c r="K14" i="22"/>
  <c r="N28" i="22"/>
  <c r="Y31" i="21"/>
  <c r="S31" i="21"/>
  <c r="G31" i="21"/>
  <c r="E4" i="27"/>
  <c r="J4" i="27" s="1"/>
  <c r="J4" i="20"/>
  <c r="N26" i="22"/>
  <c r="K26" i="22"/>
  <c r="E26" i="22"/>
  <c r="M33" i="21"/>
  <c r="J33" i="21"/>
  <c r="Q6" i="21"/>
  <c r="P33" i="21"/>
  <c r="E6" i="21"/>
  <c r="D33" i="21"/>
  <c r="W6" i="21"/>
  <c r="V33" i="21"/>
  <c r="Z6" i="21"/>
  <c r="Y33" i="21"/>
  <c r="T6" i="21"/>
  <c r="S33" i="21"/>
  <c r="N20" i="22"/>
  <c r="Z18" i="22"/>
  <c r="N10" i="22"/>
  <c r="Z12" i="22"/>
  <c r="H18" i="22"/>
  <c r="Q10" i="22"/>
  <c r="W10" i="22"/>
  <c r="N14" i="22"/>
  <c r="N8" i="22"/>
  <c r="G33" i="21"/>
  <c r="N6" i="21"/>
  <c r="Z20" i="22"/>
  <c r="Q12" i="22"/>
  <c r="E22" i="22"/>
  <c r="H22" i="22"/>
  <c r="Q8" i="22"/>
  <c r="H12" i="22"/>
  <c r="K6" i="22"/>
  <c r="Q14" i="22"/>
  <c r="T12" i="22"/>
  <c r="T14" i="22"/>
  <c r="W16" i="22"/>
  <c r="T16" i="22"/>
  <c r="K16" i="22"/>
  <c r="H14" i="22"/>
  <c r="T8" i="22"/>
  <c r="E28" i="22"/>
  <c r="E10" i="22"/>
  <c r="W6" i="22"/>
  <c r="H6" i="21"/>
  <c r="Z16" i="22"/>
  <c r="N16" i="22"/>
  <c r="E24" i="22"/>
  <c r="T6" i="22"/>
  <c r="W22" i="22"/>
  <c r="N22" i="22"/>
  <c r="N12" i="22"/>
  <c r="V31" i="22"/>
  <c r="Z22" i="22"/>
  <c r="Y33" i="22"/>
  <c r="K22" i="22"/>
  <c r="S31" i="22"/>
  <c r="J33" i="22"/>
  <c r="G31" i="22"/>
  <c r="G33" i="22"/>
  <c r="D33" i="22"/>
  <c r="Y31" i="22"/>
  <c r="V33" i="22"/>
  <c r="T18" i="22"/>
  <c r="S33" i="22"/>
  <c r="P31" i="22"/>
  <c r="Q18" i="22"/>
  <c r="P33" i="22"/>
  <c r="M33" i="22"/>
  <c r="M31" i="22"/>
  <c r="K18" i="22"/>
  <c r="J31" i="22"/>
  <c r="D31" i="22"/>
  <c r="E1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B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/>
    <author>Ivo Mráz</author>
  </authors>
  <commentList>
    <comment ref="E5" authorId="0" shapeId="0" xr:uid="{00000000-0006-0000-17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B15" authorId="1" shapeId="0" xr:uid="{00000000-0006-0000-1700-000002000000}">
      <text>
        <r>
          <rPr>
            <b/>
            <sz val="9"/>
            <color indexed="8"/>
            <rFont val="Tahoma"/>
            <family val="2"/>
            <charset val="238"/>
          </rPr>
          <t>bez korekce</t>
        </r>
      </text>
    </comment>
    <comment ref="C15" authorId="2" shapeId="0" xr:uid="{00000000-0006-0000-1700-000003000000}">
      <text>
        <r>
          <rPr>
            <b/>
            <sz val="9"/>
            <color indexed="81"/>
            <rFont val="Tahoma"/>
            <family val="2"/>
            <charset val="238"/>
          </rPr>
          <t>po zaokrouhlení rozpis pro vyúčtování vedle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>Ivo Mráz</author>
  </authors>
  <commentList>
    <comment ref="E5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C15" authorId="1" shapeId="0" xr:uid="{00000000-0006-0000-1600-000002000000}">
      <text>
        <r>
          <rPr>
            <b/>
            <sz val="9"/>
            <color indexed="81"/>
            <rFont val="Tahoma"/>
            <family val="2"/>
            <charset val="238"/>
          </rPr>
          <t>upravená spotřeba blíže k vodoměrům</t>
        </r>
      </text>
    </comment>
  </commentList>
</comments>
</file>

<file path=xl/sharedStrings.xml><?xml version="1.0" encoding="utf-8"?>
<sst xmlns="http://schemas.openxmlformats.org/spreadsheetml/2006/main" count="1934" uniqueCount="272">
  <si>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</si>
  <si>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</si>
  <si>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</si>
  <si>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</si>
  <si>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</si>
  <si>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</si>
  <si>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</si>
  <si>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</si>
  <si>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</si>
  <si>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</si>
  <si>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</si>
  <si>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</si>
  <si>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</si>
  <si>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</si>
  <si>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</si>
  <si>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spol.spotř.</t>
  </si>
  <si>
    <t>patní kalorimetr č./kub.m</t>
  </si>
  <si>
    <t>Nové</t>
  </si>
  <si>
    <t>číslování</t>
  </si>
  <si>
    <t>2 a 3</t>
  </si>
  <si>
    <t>5 a 6</t>
  </si>
  <si>
    <t>8 a 9</t>
  </si>
  <si>
    <t>11 a 15</t>
  </si>
  <si>
    <t>12 a 13</t>
  </si>
  <si>
    <t>VODOMĚRY TEPLÁ VODA</t>
  </si>
  <si>
    <t>Voda</t>
  </si>
  <si>
    <t>Teplo</t>
  </si>
  <si>
    <t>Elektr</t>
  </si>
  <si>
    <t>patní kalorimetr č. /kub.m</t>
  </si>
  <si>
    <t>patní kalorimetr č.  / kub.m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</si>
  <si>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</si>
  <si>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</si>
  <si>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</si>
  <si>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</si>
  <si>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</si>
  <si>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</si>
  <si>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</si>
  <si>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</si>
  <si>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</si>
  <si>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</si>
  <si>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</si>
  <si>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</si>
  <si>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</si>
  <si>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</si>
  <si>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</si>
  <si>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</si>
  <si>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</si>
  <si>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</si>
  <si>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</si>
  <si>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</si>
  <si>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</si>
  <si>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</si>
  <si>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</si>
  <si>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</si>
  <si>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</si>
  <si>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</si>
  <si>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</si>
  <si>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</si>
  <si>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</si>
  <si>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</si>
  <si>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</si>
  <si>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</si>
  <si>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</si>
  <si>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</si>
  <si>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</si>
  <si>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</si>
  <si>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</si>
  <si>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</si>
  <si>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</si>
  <si>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</si>
  <si>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</si>
  <si>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vodné</t>
  </si>
  <si>
    <t>pro domy 1850 - 1853</t>
  </si>
  <si>
    <t>2B</t>
  </si>
  <si>
    <t>3B</t>
  </si>
  <si>
    <t>5B</t>
  </si>
  <si>
    <t>6B</t>
  </si>
  <si>
    <t>8B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</si>
  <si>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</si>
  <si>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</si>
  <si>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</si>
  <si>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</si>
  <si>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</si>
  <si>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</si>
  <si>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</si>
  <si>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</si>
  <si>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</si>
  <si>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</si>
  <si>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</si>
  <si>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</si>
  <si>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</si>
  <si>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</si>
  <si>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Odběrné místo</t>
  </si>
  <si>
    <t>počátek</t>
  </si>
  <si>
    <t>konec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</si>
  <si>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</si>
  <si>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</si>
  <si>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</si>
  <si>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Pro fakturaci</t>
  </si>
  <si>
    <t>Hiršalová</t>
  </si>
  <si>
    <t>Lazarová</t>
  </si>
  <si>
    <t>Bodnarovi</t>
  </si>
  <si>
    <t>Vuová</t>
  </si>
  <si>
    <t>Písaříkovi</t>
  </si>
  <si>
    <t>byt</t>
  </si>
  <si>
    <t>spotřeby po měsících</t>
  </si>
  <si>
    <t>Vytipování vadných vodoměrů</t>
  </si>
  <si>
    <t>xx</t>
  </si>
  <si>
    <t>TV</t>
  </si>
  <si>
    <t>kWh</t>
  </si>
  <si>
    <t>studená voda</t>
  </si>
  <si>
    <t>teplá voda</t>
  </si>
  <si>
    <t>SROVNÁVACÍ TABULKA ZBYTKU DĚLENÝCH BYTŮ - spotřeby SV a TV</t>
  </si>
  <si>
    <t>Vodom.</t>
  </si>
  <si>
    <t>SV</t>
  </si>
  <si>
    <t>starý</t>
  </si>
  <si>
    <t>nový</t>
  </si>
  <si>
    <t>Reklamace - výměna</t>
  </si>
  <si>
    <t>Zahrada</t>
  </si>
  <si>
    <t>Spotřeby fakturčních vodoměrů 1 a 2</t>
  </si>
  <si>
    <t xml:space="preserve">  fakturačních vodoměrů 1 a 2</t>
  </si>
  <si>
    <t>Porovnání spotřeb vody na patách domů,</t>
  </si>
  <si>
    <t>a    zahrady</t>
  </si>
  <si>
    <t>Výměna elektroměru</t>
  </si>
  <si>
    <t>Výměna elektroměru AREÁL</t>
  </si>
  <si>
    <t>Výměna elektroměru DŮM</t>
  </si>
  <si>
    <t>Výměna kalorimetru pata</t>
  </si>
  <si>
    <t>MWh</t>
  </si>
  <si>
    <t>výr.č.</t>
  </si>
  <si>
    <t>demontáž</t>
  </si>
  <si>
    <t>montáž</t>
  </si>
  <si>
    <t>Rozdíly v předávání tepla na patním měřidle v jednotlivých domech po měsících v MJ/m3 (GJ*1000/m3)</t>
  </si>
  <si>
    <t>Faktur.1</t>
  </si>
  <si>
    <t>Faktur.2</t>
  </si>
  <si>
    <t>Celkem</t>
  </si>
  <si>
    <t>Výměna faktur.vodoměru    výr.č.</t>
  </si>
  <si>
    <t>Šmejcká</t>
  </si>
  <si>
    <t>Chvapil</t>
  </si>
  <si>
    <t>Němec</t>
  </si>
  <si>
    <t>Smola</t>
  </si>
  <si>
    <t>Bendlová</t>
  </si>
  <si>
    <t>z toho do vyúčtování</t>
  </si>
  <si>
    <t>1851/1</t>
  </si>
  <si>
    <t>1851/2</t>
  </si>
  <si>
    <t>1853/1</t>
  </si>
  <si>
    <t>1853/2</t>
  </si>
  <si>
    <t>1853/3</t>
  </si>
  <si>
    <t>1854/1</t>
  </si>
  <si>
    <t>1854/2</t>
  </si>
  <si>
    <t>1855/1</t>
  </si>
  <si>
    <t>1855/2</t>
  </si>
  <si>
    <t>1856/1</t>
  </si>
  <si>
    <t>1856/2</t>
  </si>
  <si>
    <t>1857/1</t>
  </si>
  <si>
    <t>1857/2</t>
  </si>
  <si>
    <t>1857/3</t>
  </si>
  <si>
    <t>Bez stočného</t>
  </si>
  <si>
    <t>zaokrouhlení voda areál</t>
  </si>
  <si>
    <t>1856/3</t>
  </si>
  <si>
    <t>Baťkovi</t>
  </si>
  <si>
    <t>Kontrola</t>
  </si>
  <si>
    <t>byty 1853 bez zahrady</t>
  </si>
  <si>
    <t>zahrada</t>
  </si>
  <si>
    <t>byty</t>
  </si>
  <si>
    <t>součet pat bez zahrady</t>
  </si>
  <si>
    <t>Výměna fakturač. vodoměru</t>
  </si>
  <si>
    <t xml:space="preserve">stav: </t>
  </si>
  <si>
    <t>Výměna elekroměru</t>
  </si>
  <si>
    <t>dne 13.2.2022</t>
  </si>
  <si>
    <t>číslo</t>
  </si>
  <si>
    <t>stav</t>
  </si>
  <si>
    <t>spotřeba</t>
  </si>
  <si>
    <t>Reklamace - výměna vodoměru</t>
  </si>
  <si>
    <t>3A - SV</t>
  </si>
  <si>
    <t>1852/1</t>
  </si>
  <si>
    <t>Zýmová</t>
  </si>
  <si>
    <t>spotřeba SV byt č.3 pro vyúčt.</t>
  </si>
  <si>
    <t>spotřeba SV sklad č.11 pro vyúčt.</t>
  </si>
  <si>
    <t>CELKEM 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</si>
  <si>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</si>
  <si>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</si>
  <si>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</si>
  <si>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</si>
  <si>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</si>
  <si>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</si>
  <si>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</si>
  <si>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</si>
  <si>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</si>
  <si>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</si>
  <si>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</si>
  <si>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</si>
  <si>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Průměr</t>
  </si>
  <si>
    <t>CELKOVÝ</t>
  </si>
  <si>
    <t>CELKEM</t>
  </si>
  <si>
    <t>byt 2</t>
  </si>
  <si>
    <t>byt 5</t>
  </si>
  <si>
    <t>byt 9</t>
  </si>
  <si>
    <t>byt 15</t>
  </si>
  <si>
    <t>byt 13</t>
  </si>
  <si>
    <t>byt 3</t>
  </si>
  <si>
    <t>byt 6</t>
  </si>
  <si>
    <t>byt 8</t>
  </si>
  <si>
    <t>byt 11</t>
  </si>
  <si>
    <t>byt 12</t>
  </si>
  <si>
    <t>Podíl TV po bytech</t>
  </si>
  <si>
    <t>Podíl teplé vody na celkové spotřebě vody u dělených bytů (%)</t>
  </si>
  <si>
    <t>Podíl teplé vody na celkové spotřebě vody u dělených bytů po měsících (%)</t>
  </si>
  <si>
    <t>Průměr po měsících</t>
  </si>
  <si>
    <t>Celková spotřeba SV a TV dělených bytů po měsících v m3</t>
  </si>
  <si>
    <t>Porovnání leden 2022</t>
  </si>
  <si>
    <t xml:space="preserve">Dne 31.7.2023 odpojen kalor. (cejchování), </t>
  </si>
  <si>
    <t>Dne 3.8.2023 zapojen znovuzapojení,</t>
  </si>
  <si>
    <r>
      <rPr>
        <u/>
        <sz val="11"/>
        <color rgb="FF000000"/>
        <rFont val="Calibri"/>
        <family val="2"/>
        <charset val="238"/>
      </rPr>
      <t>Výměna kalorimetrů byty</t>
    </r>
    <r>
      <rPr>
        <sz val="11"/>
        <color indexed="8"/>
        <rFont val="Calibri"/>
        <family val="2"/>
        <charset val="238"/>
      </rPr>
      <t xml:space="preserve"> - demontáž/montáž </t>
    </r>
    <r>
      <rPr>
        <u/>
        <sz val="11"/>
        <color rgb="FF000000"/>
        <rFont val="Calibri"/>
        <family val="2"/>
        <charset val="238"/>
      </rPr>
      <t>2.10.2023</t>
    </r>
    <r>
      <rPr>
        <sz val="11"/>
        <color indexed="8"/>
        <rFont val="Calibri"/>
        <family val="2"/>
        <charset val="238"/>
      </rPr>
      <t xml:space="preserve"> - stav nových 0,000</t>
    </r>
  </si>
  <si>
    <t>Porovnání leden 2023</t>
  </si>
  <si>
    <t>patní kalorimetr č./ GJ</t>
  </si>
  <si>
    <t>patní kalorimetr č. / GJ</t>
  </si>
  <si>
    <t>Porovnání duben 2023</t>
  </si>
  <si>
    <t>79:00 hod</t>
  </si>
  <si>
    <t>17.5.2024  reset rohoží</t>
  </si>
  <si>
    <t>06:00 hod</t>
  </si>
  <si>
    <t>Původní vzorce</t>
  </si>
  <si>
    <t xml:space="preserve">Výměna vodoměru ZAHRADA </t>
  </si>
  <si>
    <t>Příští výměna 2026</t>
  </si>
  <si>
    <t>leden - listopad</t>
  </si>
  <si>
    <t>pata</t>
  </si>
  <si>
    <t>statistika</t>
  </si>
  <si>
    <t>zápočet rozdílu nových vodoměrů</t>
  </si>
  <si>
    <t>Odečet vodárny 31.12.2024</t>
  </si>
  <si>
    <t>Odečet vodárny 31.12.2025</t>
  </si>
  <si>
    <t>Odečty ČEZ AO</t>
  </si>
  <si>
    <t>Porovnání leden 2024</t>
  </si>
  <si>
    <t>Vodoměr</t>
  </si>
  <si>
    <t>originál</t>
  </si>
  <si>
    <t>dne 1.12.2025</t>
  </si>
  <si>
    <t>faktur. Spotřeba 2025</t>
  </si>
  <si>
    <t>spotř. Dopočet 2025</t>
  </si>
  <si>
    <t>Celkem 2025</t>
  </si>
  <si>
    <t>Odečet vodárny 12.12.2025</t>
  </si>
  <si>
    <t>vč. Dopočtu</t>
  </si>
  <si>
    <t>1.-11.12.</t>
  </si>
  <si>
    <t>12.-31.12.</t>
  </si>
  <si>
    <t>Starý</t>
  </si>
  <si>
    <t>Nový</t>
  </si>
  <si>
    <t>Nový - od 1.12.</t>
  </si>
  <si>
    <t xml:space="preserve">vodoměr č.          </t>
  </si>
  <si>
    <t xml:space="preserve">kalorimetr č.       </t>
  </si>
  <si>
    <t xml:space="preserve">elektroměr č.     </t>
  </si>
  <si>
    <t xml:space="preserve">patní vodoměr č. </t>
  </si>
  <si>
    <t xml:space="preserve">vodoměr  SV č.   </t>
  </si>
  <si>
    <t xml:space="preserve">elektroměr č.    </t>
  </si>
  <si>
    <t xml:space="preserve">fakturační vodoměr č.         </t>
  </si>
  <si>
    <t xml:space="preserve">vodoměr  SV č.     </t>
  </si>
  <si>
    <t xml:space="preserve">vodoměr  SV č.      </t>
  </si>
  <si>
    <t xml:space="preserve">vodoměr  TUV č.  </t>
  </si>
  <si>
    <t xml:space="preserve">elektroměr č.      </t>
  </si>
  <si>
    <t>elektroměr č. dům</t>
  </si>
  <si>
    <t>elektroměr č.  VO</t>
  </si>
  <si>
    <t>vodoměr areál  č.</t>
  </si>
  <si>
    <t xml:space="preserve">vodoměr SV  č.      </t>
  </si>
  <si>
    <t xml:space="preserve">vodoměr TV  č.      </t>
  </si>
  <si>
    <t>SN</t>
  </si>
  <si>
    <t>datum</t>
  </si>
  <si>
    <t>Stav</t>
  </si>
  <si>
    <t>do 25.3.2025</t>
  </si>
  <si>
    <t>od 25.3.2025</t>
  </si>
  <si>
    <t xml:space="preserve">vodoměr č.             </t>
  </si>
  <si>
    <t xml:space="preserve">Fakturační vodoměr:      </t>
  </si>
  <si>
    <t xml:space="preserve">patní vodoměr č.  </t>
  </si>
  <si>
    <t>patní kalorimetr č./GJ</t>
  </si>
  <si>
    <t>SUMA HODNOT</t>
  </si>
  <si>
    <t>spotřeba 2025</t>
  </si>
  <si>
    <t>GRAF z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</si>
</sst>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"/>
    <numFmt numFmtId="165" formatCode="0.0"/>
    <numFmt numFmtId="166" formatCode="0.0%"/>
    <numFmt numFmtId="167" formatCode="#,##0.0"/>
    <numFmt numFmtId="168" formatCode="#,##0.000"/>
    <numFmt numFmtId="169" formatCode="#,##0.0\ _K_č"/>
    <numFmt numFmtId="170" formatCode="d/m/yyyy;@"/>
  </numFmts>
  <fonts count="51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</font>
    <font>
      <sz val="11"/>
      <color theme="0" tint="-0.34998626667073579"/>
      <name val="Calibri"/>
      <family val="2"/>
      <charset val="238"/>
    </font>
    <font>
      <sz val="11"/>
      <color indexed="8"/>
      <name val="Arial"/>
      <family val="2"/>
      <charset val="238"/>
    </font>
    <font>
      <sz val="12"/>
      <color indexed="8"/>
      <name val="Calibri"/>
      <family val="2"/>
      <charset val="238"/>
      <scheme val="minor"/>
    </font>
    <font>
      <u/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9"/>
      <color rgb="FF00B050"/>
      <name val="Arial"/>
      <family val="2"/>
      <charset val="238"/>
    </font>
    <font>
      <sz val="11"/>
      <color rgb="FF00B050"/>
      <name val="Calibri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9" tint="-0.499984740745262"/>
      <name val="Calibri"/>
      <family val="2"/>
      <charset val="238"/>
    </font>
    <font>
      <sz val="14"/>
      <color theme="8" tint="0.39997558519241921"/>
      <name val="Arial"/>
      <family val="2"/>
      <charset val="238"/>
    </font>
    <font>
      <b/>
      <sz val="11"/>
      <color rgb="FFFFC000"/>
      <name val="Calibri"/>
      <family val="2"/>
      <charset val="238"/>
    </font>
    <font>
      <u/>
      <sz val="11"/>
      <color rgb="FF000000"/>
      <name val="Calibri"/>
      <family val="2"/>
      <charset val="238"/>
    </font>
    <font>
      <sz val="12"/>
      <color rgb="FFFF0000"/>
      <name val="Arial"/>
      <family val="2"/>
      <charset val="238"/>
    </font>
    <font>
      <sz val="14"/>
      <color rgb="FF00B050"/>
      <name val="Arial"/>
      <family val="2"/>
      <charset val="238"/>
    </font>
    <font>
      <b/>
      <sz val="11"/>
      <color rgb="FFFF0000"/>
      <name val="Calibri"/>
      <family val="2"/>
      <charset val="238"/>
    </font>
    <font>
      <sz val="14"/>
      <name val="Arial"/>
      <family val="2"/>
      <charset val="238"/>
    </font>
    <font>
      <sz val="14"/>
      <color theme="5" tint="-0.249977111117893"/>
      <name val="Arial"/>
      <family val="2"/>
      <charset val="238"/>
    </font>
    <font>
      <sz val="8"/>
      <name val="Calibri"/>
      <family val="2"/>
      <charset val="238"/>
    </font>
  </fonts>
  <fills count="18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49"/>
      </patternFill>
    </fill>
  </fills>
  <borders count="10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5" fillId="0" borderId="0"/>
  </cellStyleXfs>
  <cellXfs count="417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5" xfId="0" applyFon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11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1" fontId="0" fillId="0" borderId="0" xfId="0" applyNumberFormat="1"/>
    <xf numFmtId="0" fontId="11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0" fontId="11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11" fillId="0" borderId="0" xfId="0" applyFont="1"/>
    <xf numFmtId="0" fontId="12" fillId="0" borderId="0" xfId="0" applyFont="1"/>
    <xf numFmtId="0" fontId="11" fillId="0" borderId="17" xfId="0" applyFont="1" applyBorder="1"/>
    <xf numFmtId="3" fontId="0" fillId="0" borderId="0" xfId="0" applyNumberFormat="1"/>
    <xf numFmtId="0" fontId="11" fillId="0" borderId="18" xfId="0" applyFont="1" applyBorder="1"/>
    <xf numFmtId="1" fontId="0" fillId="0" borderId="3" xfId="0" applyNumberFormat="1" applyBorder="1"/>
    <xf numFmtId="0" fontId="11" fillId="0" borderId="2" xfId="0" applyFont="1" applyBorder="1"/>
    <xf numFmtId="0" fontId="0" fillId="0" borderId="10" xfId="0" applyBorder="1"/>
    <xf numFmtId="165" fontId="0" fillId="0" borderId="0" xfId="0" applyNumberFormat="1"/>
    <xf numFmtId="0" fontId="14" fillId="0" borderId="0" xfId="0" applyFont="1"/>
    <xf numFmtId="0" fontId="15" fillId="0" borderId="0" xfId="0" applyFont="1" applyAlignment="1">
      <alignment horizontal="right"/>
    </xf>
    <xf numFmtId="0" fontId="15" fillId="0" borderId="0" xfId="0" applyFont="1" applyAlignment="1">
      <alignment horizontal="left"/>
    </xf>
    <xf numFmtId="0" fontId="14" fillId="0" borderId="19" xfId="0" applyFont="1" applyBorder="1"/>
    <xf numFmtId="165" fontId="14" fillId="0" borderId="19" xfId="0" applyNumberFormat="1" applyFont="1" applyBorder="1"/>
    <xf numFmtId="164" fontId="14" fillId="0" borderId="19" xfId="0" applyNumberFormat="1" applyFont="1" applyBorder="1"/>
    <xf numFmtId="1" fontId="14" fillId="0" borderId="19" xfId="0" applyNumberFormat="1" applyFont="1" applyBorder="1"/>
    <xf numFmtId="1" fontId="14" fillId="0" borderId="0" xfId="0" applyNumberFormat="1" applyFont="1"/>
    <xf numFmtId="164" fontId="14" fillId="0" borderId="0" xfId="0" applyNumberFormat="1" applyFont="1"/>
    <xf numFmtId="0" fontId="14" fillId="0" borderId="20" xfId="0" applyFont="1" applyBorder="1"/>
    <xf numFmtId="2" fontId="14" fillId="0" borderId="19" xfId="0" applyNumberFormat="1" applyFont="1" applyBorder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0" borderId="19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0" borderId="19" xfId="0" applyBorder="1" applyAlignment="1">
      <alignment vertical="center"/>
    </xf>
    <xf numFmtId="2" fontId="0" fillId="0" borderId="19" xfId="0" applyNumberFormat="1" applyBorder="1" applyAlignment="1">
      <alignment vertical="center"/>
    </xf>
    <xf numFmtId="164" fontId="0" fillId="0" borderId="19" xfId="0" applyNumberFormat="1" applyBorder="1" applyAlignment="1">
      <alignment vertical="center"/>
    </xf>
    <xf numFmtId="0" fontId="19" fillId="0" borderId="0" xfId="0" applyFont="1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1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66" fontId="11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5" fillId="0" borderId="0" xfId="0" applyFont="1" applyAlignment="1">
      <alignment horizontal="center"/>
    </xf>
    <xf numFmtId="164" fontId="21" fillId="3" borderId="0" xfId="0" applyNumberFormat="1" applyFont="1" applyFill="1"/>
    <xf numFmtId="164" fontId="14" fillId="3" borderId="19" xfId="0" applyNumberFormat="1" applyFont="1" applyFill="1" applyBorder="1"/>
    <xf numFmtId="0" fontId="21" fillId="3" borderId="19" xfId="0" applyFont="1" applyFill="1" applyBorder="1"/>
    <xf numFmtId="0" fontId="21" fillId="0" borderId="0" xfId="0" applyFont="1"/>
    <xf numFmtId="0" fontId="14" fillId="0" borderId="0" xfId="0" applyFont="1" applyAlignment="1">
      <alignment horizontal="center"/>
    </xf>
    <xf numFmtId="0" fontId="21" fillId="0" borderId="23" xfId="0" applyFont="1" applyBorder="1"/>
    <xf numFmtId="164" fontId="21" fillId="4" borderId="0" xfId="0" applyNumberFormat="1" applyFont="1" applyFill="1"/>
    <xf numFmtId="164" fontId="14" fillId="4" borderId="19" xfId="0" applyNumberFormat="1" applyFont="1" applyFill="1" applyBorder="1"/>
    <xf numFmtId="0" fontId="21" fillId="4" borderId="19" xfId="0" applyFont="1" applyFill="1" applyBorder="1"/>
    <xf numFmtId="164" fontId="21" fillId="2" borderId="0" xfId="0" applyNumberFormat="1" applyFont="1" applyFill="1"/>
    <xf numFmtId="164" fontId="14" fillId="2" borderId="0" xfId="0" applyNumberFormat="1" applyFont="1" applyFill="1"/>
    <xf numFmtId="0" fontId="25" fillId="0" borderId="0" xfId="1"/>
    <xf numFmtId="0" fontId="25" fillId="0" borderId="0" xfId="1" applyAlignment="1">
      <alignment horizontal="right"/>
    </xf>
    <xf numFmtId="164" fontId="22" fillId="0" borderId="1" xfId="0" applyNumberFormat="1" applyFont="1" applyBorder="1"/>
    <xf numFmtId="164" fontId="22" fillId="0" borderId="8" xfId="0" applyNumberFormat="1" applyFont="1" applyBorder="1"/>
    <xf numFmtId="1" fontId="22" fillId="0" borderId="8" xfId="0" applyNumberFormat="1" applyFont="1" applyBorder="1"/>
    <xf numFmtId="165" fontId="22" fillId="0" borderId="8" xfId="0" applyNumberFormat="1" applyFont="1" applyBorder="1"/>
    <xf numFmtId="2" fontId="22" fillId="0" borderId="8" xfId="0" applyNumberFormat="1" applyFont="1" applyBorder="1"/>
    <xf numFmtId="1" fontId="22" fillId="0" borderId="12" xfId="0" applyNumberFormat="1" applyFont="1" applyBorder="1"/>
    <xf numFmtId="0" fontId="22" fillId="0" borderId="15" xfId="0" applyFont="1" applyBorder="1"/>
    <xf numFmtId="0" fontId="0" fillId="0" borderId="19" xfId="0" applyBorder="1" applyAlignment="1">
      <alignment horizontal="center"/>
    </xf>
    <xf numFmtId="0" fontId="0" fillId="0" borderId="26" xfId="0" applyBorder="1" applyAlignment="1">
      <alignment horizontal="center"/>
    </xf>
    <xf numFmtId="164" fontId="0" fillId="0" borderId="27" xfId="0" applyNumberFormat="1" applyBorder="1"/>
    <xf numFmtId="0" fontId="25" fillId="0" borderId="0" xfId="1" applyAlignment="1">
      <alignment horizont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26" fillId="0" borderId="0" xfId="0" applyFont="1"/>
    <xf numFmtId="164" fontId="26" fillId="0" borderId="0" xfId="0" applyNumberFormat="1" applyFont="1"/>
    <xf numFmtId="0" fontId="26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164" fontId="26" fillId="0" borderId="0" xfId="0" applyNumberFormat="1" applyFont="1" applyAlignment="1">
      <alignment vertical="center"/>
    </xf>
    <xf numFmtId="164" fontId="26" fillId="5" borderId="0" xfId="0" applyNumberFormat="1" applyFont="1" applyFill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31" xfId="0" applyNumberFormat="1" applyBorder="1"/>
    <xf numFmtId="2" fontId="27" fillId="0" borderId="0" xfId="0" applyNumberFormat="1" applyFont="1" applyAlignment="1">
      <alignment horizontal="left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3" fontId="14" fillId="0" borderId="19" xfId="0" applyNumberFormat="1" applyFont="1" applyBorder="1"/>
    <xf numFmtId="3" fontId="14" fillId="0" borderId="0" xfId="0" applyNumberFormat="1" applyFont="1"/>
    <xf numFmtId="165" fontId="14" fillId="3" borderId="19" xfId="0" applyNumberFormat="1" applyFont="1" applyFill="1" applyBorder="1"/>
    <xf numFmtId="0" fontId="0" fillId="0" borderId="0" xfId="0" applyAlignment="1">
      <alignment horizontal="right"/>
    </xf>
    <xf numFmtId="2" fontId="27" fillId="0" borderId="0" xfId="0" applyNumberFormat="1" applyFont="1" applyAlignment="1">
      <alignment vertical="center"/>
    </xf>
    <xf numFmtId="0" fontId="0" fillId="0" borderId="26" xfId="0" applyBorder="1"/>
    <xf numFmtId="0" fontId="0" fillId="0" borderId="26" xfId="0" applyBorder="1" applyAlignment="1">
      <alignment horizontal="center" vertical="center"/>
    </xf>
    <xf numFmtId="1" fontId="0" fillId="0" borderId="26" xfId="0" applyNumberFormat="1" applyBorder="1"/>
    <xf numFmtId="164" fontId="0" fillId="0" borderId="26" xfId="0" applyNumberFormat="1" applyBorder="1"/>
    <xf numFmtId="0" fontId="0" fillId="0" borderId="19" xfId="0" quotePrefix="1" applyBorder="1" applyAlignment="1">
      <alignment vertical="center"/>
    </xf>
    <xf numFmtId="164" fontId="0" fillId="0" borderId="19" xfId="0" quotePrefix="1" applyNumberFormat="1" applyBorder="1" applyAlignment="1">
      <alignment vertical="center"/>
    </xf>
    <xf numFmtId="0" fontId="10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3" xfId="0" applyFont="1" applyBorder="1" applyAlignment="1">
      <alignment horizontal="left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13" xfId="0" applyFont="1" applyBorder="1"/>
    <xf numFmtId="14" fontId="0" fillId="0" borderId="0" xfId="0" applyNumberFormat="1"/>
    <xf numFmtId="0" fontId="15" fillId="7" borderId="19" xfId="0" applyFont="1" applyFill="1" applyBorder="1"/>
    <xf numFmtId="0" fontId="15" fillId="7" borderId="19" xfId="0" applyFont="1" applyFill="1" applyBorder="1" applyAlignment="1">
      <alignment horizontal="center"/>
    </xf>
    <xf numFmtId="0" fontId="15" fillId="7" borderId="20" xfId="0" applyFont="1" applyFill="1" applyBorder="1"/>
    <xf numFmtId="0" fontId="14" fillId="7" borderId="21" xfId="0" applyFont="1" applyFill="1" applyBorder="1"/>
    <xf numFmtId="0" fontId="14" fillId="7" borderId="22" xfId="0" applyFont="1" applyFill="1" applyBorder="1"/>
    <xf numFmtId="0" fontId="14" fillId="7" borderId="20" xfId="0" applyFont="1" applyFill="1" applyBorder="1"/>
    <xf numFmtId="164" fontId="14" fillId="7" borderId="21" xfId="0" applyNumberFormat="1" applyFont="1" applyFill="1" applyBorder="1"/>
    <xf numFmtId="164" fontId="14" fillId="7" borderId="22" xfId="0" applyNumberFormat="1" applyFont="1" applyFill="1" applyBorder="1"/>
    <xf numFmtId="1" fontId="15" fillId="7" borderId="19" xfId="0" applyNumberFormat="1" applyFont="1" applyFill="1" applyBorder="1" applyAlignment="1">
      <alignment horizontal="center"/>
    </xf>
    <xf numFmtId="0" fontId="29" fillId="0" borderId="0" xfId="0" applyFont="1" applyAlignment="1">
      <alignment horizontal="center"/>
    </xf>
    <xf numFmtId="166" fontId="14" fillId="0" borderId="0" xfId="0" applyNumberFormat="1" applyFont="1"/>
    <xf numFmtId="0" fontId="28" fillId="0" borderId="0" xfId="0" applyFont="1" applyAlignment="1">
      <alignment horizontal="left" vertical="center" indent="1"/>
    </xf>
    <xf numFmtId="1" fontId="28" fillId="0" borderId="0" xfId="0" applyNumberFormat="1" applyFont="1"/>
    <xf numFmtId="0" fontId="13" fillId="0" borderId="0" xfId="0" applyFont="1"/>
    <xf numFmtId="0" fontId="9" fillId="0" borderId="0" xfId="1" applyFont="1"/>
    <xf numFmtId="0" fontId="9" fillId="0" borderId="0" xfId="1" applyFont="1" applyAlignment="1">
      <alignment horizontal="right"/>
    </xf>
    <xf numFmtId="0" fontId="9" fillId="0" borderId="0" xfId="1" applyFont="1" applyAlignment="1">
      <alignment horizontal="center"/>
    </xf>
    <xf numFmtId="0" fontId="8" fillId="0" borderId="0" xfId="1" applyFont="1"/>
    <xf numFmtId="0" fontId="7" fillId="0" borderId="0" xfId="1" applyFont="1"/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64" fontId="0" fillId="0" borderId="42" xfId="0" applyNumberFormat="1" applyBorder="1"/>
    <xf numFmtId="0" fontId="0" fillId="0" borderId="43" xfId="0" applyBorder="1"/>
    <xf numFmtId="164" fontId="0" fillId="0" borderId="44" xfId="0" applyNumberFormat="1" applyBorder="1"/>
    <xf numFmtId="0" fontId="0" fillId="0" borderId="41" xfId="0" applyBorder="1" applyAlignment="1">
      <alignment horizontal="center"/>
    </xf>
    <xf numFmtId="0" fontId="0" fillId="6" borderId="0" xfId="0" applyFill="1"/>
    <xf numFmtId="0" fontId="30" fillId="0" borderId="0" xfId="0" applyFont="1" applyAlignment="1">
      <alignment horizontal="right"/>
    </xf>
    <xf numFmtId="0" fontId="0" fillId="0" borderId="45" xfId="0" applyBorder="1" applyAlignment="1">
      <alignment horizontal="center"/>
    </xf>
    <xf numFmtId="0" fontId="30" fillId="0" borderId="46" xfId="0" applyFont="1" applyBorder="1" applyAlignment="1">
      <alignment horizontal="center"/>
    </xf>
    <xf numFmtId="164" fontId="30" fillId="0" borderId="26" xfId="0" applyNumberFormat="1" applyFont="1" applyBorder="1"/>
    <xf numFmtId="164" fontId="30" fillId="0" borderId="43" xfId="0" applyNumberFormat="1" applyFont="1" applyBorder="1"/>
    <xf numFmtId="2" fontId="27" fillId="0" borderId="0" xfId="0" applyNumberFormat="1" applyFont="1" applyAlignment="1">
      <alignment horizontal="center" vertical="center"/>
    </xf>
    <xf numFmtId="164" fontId="31" fillId="0" borderId="43" xfId="0" applyNumberFormat="1" applyFont="1" applyBorder="1"/>
    <xf numFmtId="0" fontId="30" fillId="0" borderId="0" xfId="0" applyFont="1" applyAlignment="1">
      <alignment horizontal="center"/>
    </xf>
    <xf numFmtId="0" fontId="0" fillId="6" borderId="29" xfId="0" applyFill="1" applyBorder="1" applyAlignment="1">
      <alignment vertical="center"/>
    </xf>
    <xf numFmtId="0" fontId="0" fillId="6" borderId="30" xfId="0" applyFill="1" applyBorder="1" applyAlignment="1">
      <alignment horizontal="left" vertical="center" indent="1"/>
    </xf>
    <xf numFmtId="0" fontId="0" fillId="0" borderId="0" xfId="0" applyAlignment="1">
      <alignment horizontal="left"/>
    </xf>
    <xf numFmtId="14" fontId="0" fillId="0" borderId="26" xfId="0" applyNumberFormat="1" applyBorder="1" applyAlignment="1">
      <alignment horizontal="center" vertical="center"/>
    </xf>
    <xf numFmtId="0" fontId="11" fillId="0" borderId="52" xfId="0" applyFont="1" applyBorder="1"/>
    <xf numFmtId="164" fontId="0" fillId="0" borderId="53" xfId="0" applyNumberFormat="1" applyBorder="1"/>
    <xf numFmtId="164" fontId="0" fillId="0" borderId="54" xfId="0" applyNumberFormat="1" applyBorder="1"/>
    <xf numFmtId="0" fontId="11" fillId="0" borderId="55" xfId="0" applyFont="1" applyBorder="1"/>
    <xf numFmtId="164" fontId="0" fillId="0" borderId="56" xfId="0" applyNumberFormat="1" applyBorder="1"/>
    <xf numFmtId="164" fontId="0" fillId="0" borderId="57" xfId="0" applyNumberFormat="1" applyBorder="1"/>
    <xf numFmtId="2" fontId="0" fillId="0" borderId="26" xfId="0" applyNumberFormat="1" applyBorder="1"/>
    <xf numFmtId="14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horizontal="center"/>
    </xf>
    <xf numFmtId="1" fontId="0" fillId="0" borderId="58" xfId="0" applyNumberFormat="1" applyBorder="1" applyAlignment="1">
      <alignment horizontal="center"/>
    </xf>
    <xf numFmtId="2" fontId="0" fillId="6" borderId="58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2" fontId="0" fillId="9" borderId="26" xfId="0" applyNumberFormat="1" applyFill="1" applyBorder="1"/>
    <xf numFmtId="1" fontId="0" fillId="9" borderId="26" xfId="0" applyNumberFormat="1" applyFill="1" applyBorder="1"/>
    <xf numFmtId="0" fontId="0" fillId="10" borderId="0" xfId="0" applyFill="1" applyAlignment="1">
      <alignment horizontal="center"/>
    </xf>
    <xf numFmtId="0" fontId="0" fillId="10" borderId="0" xfId="0" applyFill="1"/>
    <xf numFmtId="14" fontId="0" fillId="0" borderId="26" xfId="0" applyNumberFormat="1" applyBorder="1"/>
    <xf numFmtId="167" fontId="0" fillId="0" borderId="26" xfId="0" applyNumberFormat="1" applyBorder="1"/>
    <xf numFmtId="167" fontId="0" fillId="10" borderId="0" xfId="0" applyNumberFormat="1" applyFill="1"/>
    <xf numFmtId="168" fontId="0" fillId="0" borderId="26" xfId="0" applyNumberFormat="1" applyBorder="1"/>
    <xf numFmtId="168" fontId="0" fillId="10" borderId="0" xfId="0" applyNumberFormat="1" applyFill="1"/>
    <xf numFmtId="0" fontId="14" fillId="5" borderId="0" xfId="0" applyFont="1" applyFill="1"/>
    <xf numFmtId="0" fontId="0" fillId="5" borderId="32" xfId="0" applyFill="1" applyBorder="1" applyAlignment="1">
      <alignment vertical="center"/>
    </xf>
    <xf numFmtId="0" fontId="0" fillId="6" borderId="28" xfId="0" applyFill="1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58" xfId="0" applyFill="1" applyBorder="1" applyAlignment="1">
      <alignment vertical="center"/>
    </xf>
    <xf numFmtId="0" fontId="0" fillId="6" borderId="60" xfId="0" applyFill="1" applyBorder="1" applyAlignment="1">
      <alignment horizontal="left" vertical="center" indent="1"/>
    </xf>
    <xf numFmtId="14" fontId="0" fillId="6" borderId="59" xfId="0" applyNumberFormat="1" applyFill="1" applyBorder="1" applyAlignment="1">
      <alignment vertical="center"/>
    </xf>
    <xf numFmtId="0" fontId="0" fillId="6" borderId="58" xfId="0" applyFill="1" applyBorder="1" applyAlignment="1">
      <alignment horizontal="right" vertical="center"/>
    </xf>
    <xf numFmtId="0" fontId="21" fillId="5" borderId="0" xfId="0" applyFont="1" applyFill="1"/>
    <xf numFmtId="0" fontId="0" fillId="11" borderId="33" xfId="0" applyFill="1" applyBorder="1" applyAlignment="1">
      <alignment vertical="center"/>
    </xf>
    <xf numFmtId="0" fontId="0" fillId="11" borderId="34" xfId="0" applyFill="1" applyBorder="1" applyAlignment="1">
      <alignment horizontal="left" vertical="center" indent="1"/>
    </xf>
    <xf numFmtId="0" fontId="21" fillId="5" borderId="33" xfId="0" applyFont="1" applyFill="1" applyBorder="1"/>
    <xf numFmtId="14" fontId="0" fillId="6" borderId="61" xfId="0" applyNumberFormat="1" applyFill="1" applyBorder="1" applyAlignment="1">
      <alignment vertical="center"/>
    </xf>
    <xf numFmtId="0" fontId="0" fillId="6" borderId="62" xfId="0" applyFill="1" applyBorder="1" applyAlignment="1">
      <alignment vertical="center"/>
    </xf>
    <xf numFmtId="0" fontId="0" fillId="6" borderId="63" xfId="0" applyFill="1" applyBorder="1" applyAlignment="1">
      <alignment horizontal="left" vertical="center" indent="1"/>
    </xf>
    <xf numFmtId="164" fontId="26" fillId="5" borderId="33" xfId="0" applyNumberFormat="1" applyFont="1" applyFill="1" applyBorder="1" applyAlignment="1">
      <alignment vertical="center"/>
    </xf>
    <xf numFmtId="0" fontId="29" fillId="5" borderId="0" xfId="0" applyFont="1" applyFill="1" applyAlignment="1">
      <alignment horizontal="center"/>
    </xf>
    <xf numFmtId="0" fontId="33" fillId="0" borderId="0" xfId="0" applyFont="1"/>
    <xf numFmtId="0" fontId="34" fillId="0" borderId="0" xfId="0" applyFont="1"/>
    <xf numFmtId="165" fontId="14" fillId="0" borderId="0" xfId="0" applyNumberFormat="1" applyFont="1"/>
    <xf numFmtId="0" fontId="35" fillId="0" borderId="0" xfId="0" applyFont="1" applyAlignment="1">
      <alignment horizontal="right"/>
    </xf>
    <xf numFmtId="164" fontId="35" fillId="0" borderId="0" xfId="0" applyNumberFormat="1" applyFont="1"/>
    <xf numFmtId="0" fontId="0" fillId="6" borderId="31" xfId="0" applyFill="1" applyBorder="1" applyAlignment="1">
      <alignment vertical="center"/>
    </xf>
    <xf numFmtId="0" fontId="11" fillId="0" borderId="7" xfId="0" applyFont="1" applyBorder="1" applyAlignment="1">
      <alignment horizontal="right"/>
    </xf>
    <xf numFmtId="0" fontId="6" fillId="0" borderId="0" xfId="1" applyFont="1" applyAlignment="1">
      <alignment horizontal="right"/>
    </xf>
    <xf numFmtId="164" fontId="21" fillId="0" borderId="0" xfId="0" applyNumberFormat="1" applyFont="1"/>
    <xf numFmtId="164" fontId="14" fillId="3" borderId="38" xfId="0" applyNumberFormat="1" applyFont="1" applyFill="1" applyBorder="1"/>
    <xf numFmtId="0" fontId="21" fillId="3" borderId="38" xfId="0" applyFont="1" applyFill="1" applyBorder="1"/>
    <xf numFmtId="0" fontId="36" fillId="0" borderId="0" xfId="0" applyFont="1"/>
    <xf numFmtId="164" fontId="36" fillId="0" borderId="0" xfId="0" applyNumberFormat="1" applyFont="1" applyAlignment="1">
      <alignment horizontal="center"/>
    </xf>
    <xf numFmtId="16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164" fontId="14" fillId="10" borderId="19" xfId="0" applyNumberFormat="1" applyFont="1" applyFill="1" applyBorder="1"/>
    <xf numFmtId="164" fontId="35" fillId="10" borderId="31" xfId="0" applyNumberFormat="1" applyFont="1" applyFill="1" applyBorder="1" applyAlignment="1">
      <alignment horizontal="right" vertical="center" indent="1"/>
    </xf>
    <xf numFmtId="0" fontId="35" fillId="10" borderId="31" xfId="0" applyFont="1" applyFill="1" applyBorder="1" applyAlignment="1">
      <alignment vertical="center"/>
    </xf>
    <xf numFmtId="0" fontId="21" fillId="10" borderId="31" xfId="0" applyFont="1" applyFill="1" applyBorder="1"/>
    <xf numFmtId="0" fontId="32" fillId="0" borderId="0" xfId="0" applyFont="1" applyAlignment="1">
      <alignment horizontal="center"/>
    </xf>
    <xf numFmtId="166" fontId="14" fillId="0" borderId="0" xfId="0" applyNumberFormat="1" applyFont="1" applyAlignment="1">
      <alignment horizontal="center"/>
    </xf>
    <xf numFmtId="164" fontId="38" fillId="0" borderId="0" xfId="0" applyNumberFormat="1" applyFont="1"/>
    <xf numFmtId="0" fontId="38" fillId="0" borderId="0" xfId="0" applyFont="1"/>
    <xf numFmtId="165" fontId="37" fillId="0" borderId="0" xfId="0" applyNumberFormat="1" applyFont="1" applyAlignment="1">
      <alignment horizontal="center"/>
    </xf>
    <xf numFmtId="0" fontId="37" fillId="0" borderId="0" xfId="0" applyFont="1"/>
    <xf numFmtId="0" fontId="5" fillId="0" borderId="0" xfId="1" applyFont="1" applyAlignment="1">
      <alignment horizontal="right"/>
    </xf>
    <xf numFmtId="0" fontId="5" fillId="0" borderId="0" xfId="1" applyFont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8" fillId="0" borderId="0" xfId="0" applyFont="1" applyAlignment="1">
      <alignment horizontal="right"/>
    </xf>
    <xf numFmtId="0" fontId="28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0" fillId="6" borderId="64" xfId="0" applyFill="1" applyBorder="1" applyAlignment="1">
      <alignment vertical="center"/>
    </xf>
    <xf numFmtId="10" fontId="28" fillId="0" borderId="0" xfId="0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0" fillId="0" borderId="31" xfId="0" applyBorder="1"/>
    <xf numFmtId="0" fontId="0" fillId="0" borderId="31" xfId="0" applyBorder="1" applyAlignment="1">
      <alignment horizontal="right"/>
    </xf>
    <xf numFmtId="164" fontId="27" fillId="0" borderId="26" xfId="0" applyNumberFormat="1" applyFont="1" applyBorder="1"/>
    <xf numFmtId="0" fontId="27" fillId="0" borderId="0" xfId="0" applyFont="1"/>
    <xf numFmtId="0" fontId="39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166" fontId="39" fillId="0" borderId="0" xfId="0" applyNumberFormat="1" applyFont="1" applyAlignment="1">
      <alignment horizontal="center"/>
    </xf>
    <xf numFmtId="166" fontId="27" fillId="0" borderId="0" xfId="0" applyNumberFormat="1" applyFont="1"/>
    <xf numFmtId="0" fontId="27" fillId="0" borderId="0" xfId="0" applyFont="1" applyAlignment="1">
      <alignment horizontal="right"/>
    </xf>
    <xf numFmtId="0" fontId="40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0" fontId="39" fillId="0" borderId="0" xfId="0" applyFont="1"/>
    <xf numFmtId="164" fontId="41" fillId="0" borderId="0" xfId="0" applyNumberFormat="1" applyFont="1"/>
    <xf numFmtId="166" fontId="42" fillId="0" borderId="0" xfId="0" applyNumberFormat="1" applyFont="1"/>
    <xf numFmtId="0" fontId="42" fillId="0" borderId="0" xfId="0" applyFont="1"/>
    <xf numFmtId="0" fontId="43" fillId="0" borderId="0" xfId="0" applyFont="1" applyAlignment="1">
      <alignment horizontal="center"/>
    </xf>
    <xf numFmtId="164" fontId="27" fillId="6" borderId="26" xfId="0" applyNumberFormat="1" applyFont="1" applyFill="1" applyBorder="1"/>
    <xf numFmtId="164" fontId="0" fillId="12" borderId="8" xfId="0" applyNumberFormat="1" applyFill="1" applyBorder="1"/>
    <xf numFmtId="0" fontId="14" fillId="12" borderId="19" xfId="0" applyFont="1" applyFill="1" applyBorder="1"/>
    <xf numFmtId="0" fontId="3" fillId="0" borderId="0" xfId="1" applyFont="1"/>
    <xf numFmtId="0" fontId="5" fillId="0" borderId="0" xfId="1" applyFont="1" applyAlignment="1">
      <alignment horizontal="center"/>
    </xf>
    <xf numFmtId="164" fontId="0" fillId="0" borderId="8" xfId="0" applyNumberFormat="1" applyBorder="1" applyAlignment="1">
      <alignment horizontal="right"/>
    </xf>
    <xf numFmtId="0" fontId="45" fillId="0" borderId="0" xfId="0" applyFont="1"/>
    <xf numFmtId="49" fontId="21" fillId="0" borderId="0" xfId="0" applyNumberFormat="1" applyFont="1"/>
    <xf numFmtId="0" fontId="46" fillId="0" borderId="0" xfId="0" applyFont="1"/>
    <xf numFmtId="166" fontId="46" fillId="0" borderId="0" xfId="0" applyNumberFormat="1" applyFont="1"/>
    <xf numFmtId="1" fontId="46" fillId="0" borderId="0" xfId="0" applyNumberFormat="1" applyFont="1"/>
    <xf numFmtId="0" fontId="47" fillId="0" borderId="0" xfId="0" applyFont="1"/>
    <xf numFmtId="165" fontId="0" fillId="0" borderId="15" xfId="0" applyNumberFormat="1" applyBorder="1"/>
    <xf numFmtId="164" fontId="31" fillId="0" borderId="0" xfId="0" applyNumberFormat="1" applyFont="1"/>
    <xf numFmtId="0" fontId="0" fillId="13" borderId="0" xfId="0" applyFill="1"/>
    <xf numFmtId="0" fontId="27" fillId="13" borderId="0" xfId="0" applyFont="1" applyFill="1" applyAlignment="1">
      <alignment horizontal="center"/>
    </xf>
    <xf numFmtId="0" fontId="0" fillId="13" borderId="0" xfId="0" applyFill="1" applyAlignment="1">
      <alignment horizontal="center"/>
    </xf>
    <xf numFmtId="169" fontId="0" fillId="13" borderId="0" xfId="0" applyNumberFormat="1" applyFill="1"/>
    <xf numFmtId="165" fontId="0" fillId="13" borderId="0" xfId="0" applyNumberFormat="1" applyFill="1" applyAlignment="1">
      <alignment horizontal="center"/>
    </xf>
    <xf numFmtId="0" fontId="0" fillId="13" borderId="31" xfId="0" applyFill="1" applyBorder="1" applyAlignment="1">
      <alignment horizontal="center"/>
    </xf>
    <xf numFmtId="169" fontId="0" fillId="13" borderId="31" xfId="0" applyNumberFormat="1" applyFill="1" applyBorder="1"/>
    <xf numFmtId="165" fontId="0" fillId="13" borderId="31" xfId="0" applyNumberFormat="1" applyFill="1" applyBorder="1" applyAlignment="1">
      <alignment horizontal="center"/>
    </xf>
    <xf numFmtId="0" fontId="0" fillId="13" borderId="0" xfId="0" applyFill="1" applyAlignment="1">
      <alignment horizontal="right"/>
    </xf>
    <xf numFmtId="166" fontId="0" fillId="13" borderId="0" xfId="0" applyNumberFormat="1" applyFill="1" applyAlignment="1">
      <alignment horizontal="center"/>
    </xf>
    <xf numFmtId="0" fontId="27" fillId="13" borderId="0" xfId="0" applyFont="1" applyFill="1" applyAlignment="1">
      <alignment horizontal="right"/>
    </xf>
    <xf numFmtId="165" fontId="0" fillId="5" borderId="0" xfId="0" applyNumberFormat="1" applyFill="1" applyAlignment="1">
      <alignment horizontal="center"/>
    </xf>
    <xf numFmtId="0" fontId="0" fillId="5" borderId="0" xfId="0" applyFill="1"/>
    <xf numFmtId="0" fontId="14" fillId="6" borderId="0" xfId="0" applyFont="1" applyFill="1"/>
    <xf numFmtId="14" fontId="0" fillId="0" borderId="26" xfId="0" applyNumberFormat="1" applyBorder="1" applyAlignment="1">
      <alignment horizontal="center"/>
    </xf>
    <xf numFmtId="0" fontId="2" fillId="0" borderId="0" xfId="1" applyFont="1" applyAlignment="1">
      <alignment horizontal="right"/>
    </xf>
    <xf numFmtId="0" fontId="11" fillId="0" borderId="56" xfId="0" applyFont="1" applyBorder="1"/>
    <xf numFmtId="0" fontId="11" fillId="0" borderId="65" xfId="0" applyFont="1" applyBorder="1"/>
    <xf numFmtId="1" fontId="21" fillId="0" borderId="0" xfId="0" applyNumberFormat="1" applyFont="1"/>
    <xf numFmtId="1" fontId="48" fillId="0" borderId="19" xfId="0" applyNumberFormat="1" applyFont="1" applyBorder="1"/>
    <xf numFmtId="0" fontId="49" fillId="0" borderId="0" xfId="0" applyFont="1"/>
    <xf numFmtId="166" fontId="49" fillId="0" borderId="0" xfId="0" applyNumberFormat="1" applyFont="1"/>
    <xf numFmtId="1" fontId="49" fillId="0" borderId="0" xfId="0" applyNumberFormat="1" applyFont="1"/>
    <xf numFmtId="0" fontId="11" fillId="0" borderId="0" xfId="0" applyFont="1" applyAlignment="1">
      <alignment horizontal="right"/>
    </xf>
    <xf numFmtId="164" fontId="0" fillId="14" borderId="26" xfId="0" applyNumberFormat="1" applyFill="1" applyBorder="1"/>
    <xf numFmtId="166" fontId="27" fillId="6" borderId="0" xfId="0" applyNumberFormat="1" applyFont="1" applyFill="1"/>
    <xf numFmtId="166" fontId="27" fillId="5" borderId="0" xfId="0" applyNumberFormat="1" applyFont="1" applyFill="1"/>
    <xf numFmtId="166" fontId="14" fillId="6" borderId="0" xfId="0" applyNumberFormat="1" applyFont="1" applyFill="1"/>
    <xf numFmtId="166" fontId="14" fillId="12" borderId="0" xfId="0" applyNumberFormat="1" applyFont="1" applyFill="1"/>
    <xf numFmtId="164" fontId="30" fillId="0" borderId="0" xfId="0" applyNumberFormat="1" applyFont="1"/>
    <xf numFmtId="0" fontId="14" fillId="13" borderId="0" xfId="0" applyFont="1" applyFill="1"/>
    <xf numFmtId="166" fontId="14" fillId="13" borderId="0" xfId="0" applyNumberFormat="1" applyFont="1" applyFill="1"/>
    <xf numFmtId="0" fontId="0" fillId="0" borderId="26" xfId="0" applyBorder="1" applyAlignment="1">
      <alignment horizontal="center" shrinkToFit="1"/>
    </xf>
    <xf numFmtId="0" fontId="0" fillId="15" borderId="0" xfId="0" applyFill="1"/>
    <xf numFmtId="0" fontId="1" fillId="0" borderId="0" xfId="1" applyFont="1" applyAlignment="1">
      <alignment horizontal="right"/>
    </xf>
    <xf numFmtId="0" fontId="14" fillId="16" borderId="0" xfId="0" applyFont="1" applyFill="1"/>
    <xf numFmtId="166" fontId="14" fillId="16" borderId="0" xfId="0" applyNumberFormat="1" applyFont="1" applyFill="1"/>
    <xf numFmtId="0" fontId="21" fillId="16" borderId="0" xfId="0" applyFont="1" applyFill="1" applyAlignment="1">
      <alignment horizontal="center"/>
    </xf>
    <xf numFmtId="0" fontId="21" fillId="13" borderId="0" xfId="0" applyFont="1" applyFill="1" applyAlignment="1">
      <alignment horizontal="center"/>
    </xf>
    <xf numFmtId="0" fontId="14" fillId="13" borderId="0" xfId="0" applyFont="1" applyFill="1" applyAlignment="1">
      <alignment horizontal="center"/>
    </xf>
    <xf numFmtId="0" fontId="14" fillId="16" borderId="0" xfId="0" applyFon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0" fillId="0" borderId="14" xfId="0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69" xfId="0" applyFont="1" applyBorder="1" applyAlignment="1">
      <alignment horizontal="left" indent="1"/>
    </xf>
    <xf numFmtId="0" fontId="11" fillId="0" borderId="7" xfId="0" applyFont="1" applyBorder="1" applyAlignment="1">
      <alignment horizontal="left" indent="1"/>
    </xf>
    <xf numFmtId="0" fontId="11" fillId="0" borderId="70" xfId="0" applyFont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4" xfId="0" applyBorder="1" applyAlignment="1">
      <alignment horizontal="left" indent="1"/>
    </xf>
    <xf numFmtId="0" fontId="11" fillId="0" borderId="18" xfId="0" applyFont="1" applyBorder="1" applyAlignment="1">
      <alignment horizontal="left" indent="1"/>
    </xf>
    <xf numFmtId="0" fontId="11" fillId="0" borderId="17" xfId="0" applyFont="1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11" fillId="0" borderId="72" xfId="0" applyFont="1" applyBorder="1"/>
    <xf numFmtId="164" fontId="0" fillId="0" borderId="73" xfId="0" applyNumberFormat="1" applyBorder="1"/>
    <xf numFmtId="164" fontId="0" fillId="0" borderId="66" xfId="0" applyNumberFormat="1" applyBorder="1"/>
    <xf numFmtId="0" fontId="11" fillId="0" borderId="50" xfId="0" applyFont="1" applyBorder="1" applyAlignment="1">
      <alignment horizontal="left" indent="1"/>
    </xf>
    <xf numFmtId="0" fontId="11" fillId="0" borderId="74" xfId="0" applyFont="1" applyBorder="1" applyAlignment="1">
      <alignment horizontal="left" indent="1"/>
    </xf>
    <xf numFmtId="0" fontId="11" fillId="0" borderId="75" xfId="0" applyFont="1" applyBorder="1" applyAlignment="1">
      <alignment horizontal="left" indent="1"/>
    </xf>
    <xf numFmtId="0" fontId="11" fillId="0" borderId="76" xfId="0" applyFont="1" applyBorder="1"/>
    <xf numFmtId="0" fontId="11" fillId="0" borderId="21" xfId="0" applyFont="1" applyBorder="1"/>
    <xf numFmtId="0" fontId="11" fillId="0" borderId="77" xfId="0" applyFont="1" applyBorder="1"/>
    <xf numFmtId="164" fontId="0" fillId="0" borderId="78" xfId="0" applyNumberFormat="1" applyBorder="1"/>
    <xf numFmtId="0" fontId="11" fillId="0" borderId="79" xfId="0" applyFont="1" applyBorder="1" applyAlignment="1">
      <alignment horizontal="left" indent="1"/>
    </xf>
    <xf numFmtId="0" fontId="11" fillId="0" borderId="0" xfId="0" applyFont="1" applyAlignment="1">
      <alignment horizontal="left" indent="1"/>
    </xf>
    <xf numFmtId="0" fontId="0" fillId="0" borderId="49" xfId="0" applyBorder="1" applyAlignment="1">
      <alignment vertical="center"/>
    </xf>
    <xf numFmtId="0" fontId="11" fillId="0" borderId="76" xfId="0" applyFont="1" applyBorder="1" applyAlignment="1">
      <alignment horizontal="left" indent="1"/>
    </xf>
    <xf numFmtId="0" fontId="11" fillId="0" borderId="77" xfId="0" applyFont="1" applyBorder="1" applyAlignment="1">
      <alignment horizontal="left" indent="1"/>
    </xf>
    <xf numFmtId="164" fontId="0" fillId="0" borderId="82" xfId="0" applyNumberFormat="1" applyBorder="1"/>
    <xf numFmtId="164" fontId="0" fillId="0" borderId="84" xfId="0" applyNumberFormat="1" applyBorder="1"/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164" fontId="0" fillId="0" borderId="81" xfId="0" applyNumberFormat="1" applyBorder="1"/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11" fillId="0" borderId="71" xfId="0" applyFont="1" applyBorder="1" applyAlignment="1">
      <alignment horizontal="left" indent="1"/>
    </xf>
    <xf numFmtId="0" fontId="0" fillId="0" borderId="52" xfId="0" applyBorder="1" applyAlignment="1">
      <alignment horizontal="center" vertical="center"/>
    </xf>
    <xf numFmtId="164" fontId="0" fillId="0" borderId="89" xfId="0" applyNumberFormat="1" applyBorder="1"/>
    <xf numFmtId="0" fontId="0" fillId="0" borderId="55" xfId="0" applyBorder="1" applyAlignment="1">
      <alignment horizontal="center" vertical="center"/>
    </xf>
    <xf numFmtId="0" fontId="0" fillId="0" borderId="90" xfId="0" applyBorder="1" applyAlignment="1">
      <alignment horizontal="center"/>
    </xf>
    <xf numFmtId="0" fontId="10" fillId="0" borderId="90" xfId="0" applyFont="1" applyBorder="1" applyAlignment="1">
      <alignment horizontal="center"/>
    </xf>
    <xf numFmtId="0" fontId="0" fillId="0" borderId="29" xfId="0" applyBorder="1" applyAlignment="1">
      <alignment horizontal="center"/>
    </xf>
    <xf numFmtId="14" fontId="0" fillId="0" borderId="91" xfId="0" applyNumberFormat="1" applyBorder="1" applyAlignment="1">
      <alignment horizontal="center"/>
    </xf>
    <xf numFmtId="14" fontId="0" fillId="0" borderId="92" xfId="0" applyNumberFormat="1" applyBorder="1" applyAlignment="1">
      <alignment horizontal="center"/>
    </xf>
    <xf numFmtId="0" fontId="11" fillId="0" borderId="94" xfId="0" applyFont="1" applyBorder="1"/>
    <xf numFmtId="0" fontId="11" fillId="0" borderId="94" xfId="0" applyFont="1" applyBorder="1" applyAlignment="1">
      <alignment horizontal="left" indent="1"/>
    </xf>
    <xf numFmtId="164" fontId="0" fillId="0" borderId="96" xfId="0" applyNumberFormat="1" applyBorder="1"/>
    <xf numFmtId="0" fontId="0" fillId="0" borderId="59" xfId="0" applyBorder="1" applyAlignment="1">
      <alignment horizontal="center" vertical="center"/>
    </xf>
    <xf numFmtId="0" fontId="11" fillId="0" borderId="98" xfId="0" applyFont="1" applyBorder="1"/>
    <xf numFmtId="0" fontId="11" fillId="0" borderId="98" xfId="0" applyFont="1" applyBorder="1" applyAlignment="1">
      <alignment horizontal="left" indent="1"/>
    </xf>
    <xf numFmtId="164" fontId="0" fillId="0" borderId="100" xfId="0" applyNumberFormat="1" applyBorder="1"/>
    <xf numFmtId="0" fontId="11" fillId="6" borderId="94" xfId="0" applyFont="1" applyFill="1" applyBorder="1"/>
    <xf numFmtId="0" fontId="11" fillId="6" borderId="94" xfId="0" applyFont="1" applyFill="1" applyBorder="1" applyAlignment="1">
      <alignment horizontal="left" indent="1"/>
    </xf>
    <xf numFmtId="164" fontId="0" fillId="6" borderId="96" xfId="0" applyNumberFormat="1" applyFill="1" applyBorder="1"/>
    <xf numFmtId="170" fontId="0" fillId="0" borderId="95" xfId="0" applyNumberFormat="1" applyBorder="1" applyAlignment="1">
      <alignment horizontal="center"/>
    </xf>
    <xf numFmtId="170" fontId="0" fillId="0" borderId="99" xfId="0" applyNumberFormat="1" applyBorder="1" applyAlignment="1">
      <alignment horizontal="center"/>
    </xf>
    <xf numFmtId="170" fontId="0" fillId="0" borderId="80" xfId="0" applyNumberFormat="1" applyBorder="1" applyAlignment="1">
      <alignment horizontal="center"/>
    </xf>
    <xf numFmtId="170" fontId="0" fillId="0" borderId="1" xfId="0" applyNumberFormat="1" applyBorder="1" applyAlignment="1">
      <alignment horizontal="center"/>
    </xf>
    <xf numFmtId="170" fontId="0" fillId="0" borderId="83" xfId="0" applyNumberFormat="1" applyBorder="1" applyAlignment="1">
      <alignment horizontal="center"/>
    </xf>
    <xf numFmtId="170" fontId="0" fillId="6" borderId="95" xfId="0" applyNumberFormat="1" applyFill="1" applyBorder="1" applyAlignment="1">
      <alignment horizontal="center"/>
    </xf>
    <xf numFmtId="0" fontId="14" fillId="6" borderId="20" xfId="0" applyFont="1" applyFill="1" applyBorder="1"/>
    <xf numFmtId="0" fontId="14" fillId="0" borderId="19" xfId="0" applyFont="1" applyBorder="1" applyAlignment="1">
      <alignment horizontal="center"/>
    </xf>
    <xf numFmtId="0" fontId="0" fillId="0" borderId="93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0" fontId="0" fillId="0" borderId="49" xfId="0" applyBorder="1" applyAlignment="1">
      <alignment horizontal="right" vertical="center" indent="2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/>
    </xf>
    <xf numFmtId="3" fontId="0" fillId="0" borderId="26" xfId="0" applyNumberFormat="1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7" fillId="13" borderId="0" xfId="0" applyFont="1" applyFill="1" applyAlignment="1">
      <alignment horizontal="center"/>
    </xf>
    <xf numFmtId="0" fontId="14" fillId="6" borderId="19" xfId="0" applyFont="1" applyFill="1" applyBorder="1" applyAlignment="1">
      <alignment horizontal="center"/>
    </xf>
    <xf numFmtId="166" fontId="0" fillId="0" borderId="19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0" fontId="19" fillId="0" borderId="19" xfId="0" applyFont="1" applyBorder="1" applyAlignment="1">
      <alignment horizontal="left" vertical="center"/>
    </xf>
    <xf numFmtId="166" fontId="0" fillId="0" borderId="37" xfId="0" applyNumberFormat="1" applyBorder="1" applyAlignment="1">
      <alignment horizontal="center" vertical="center"/>
    </xf>
    <xf numFmtId="166" fontId="0" fillId="0" borderId="38" xfId="0" applyNumberFormat="1" applyBorder="1" applyAlignment="1">
      <alignment horizontal="center" vertical="center"/>
    </xf>
    <xf numFmtId="0" fontId="19" fillId="0" borderId="37" xfId="0" applyFont="1" applyBorder="1" applyAlignment="1">
      <alignment horizontal="left" vertical="center"/>
    </xf>
    <xf numFmtId="0" fontId="19" fillId="0" borderId="38" xfId="0" applyFont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165" fontId="14" fillId="0" borderId="20" xfId="0" applyNumberFormat="1" applyFont="1" applyBorder="1" applyAlignment="1">
      <alignment horizontal="center"/>
    </xf>
    <xf numFmtId="165" fontId="14" fillId="0" borderId="21" xfId="0" applyNumberFormat="1" applyFont="1" applyBorder="1" applyAlignment="1">
      <alignment horizontal="center"/>
    </xf>
    <xf numFmtId="165" fontId="14" fillId="0" borderId="22" xfId="0" applyNumberFormat="1" applyFont="1" applyBorder="1" applyAlignment="1">
      <alignment horizontal="center"/>
    </xf>
    <xf numFmtId="165" fontId="14" fillId="4" borderId="20" xfId="0" applyNumberFormat="1" applyFont="1" applyFill="1" applyBorder="1" applyAlignment="1">
      <alignment horizontal="center"/>
    </xf>
    <xf numFmtId="165" fontId="14" fillId="4" borderId="21" xfId="0" applyNumberFormat="1" applyFont="1" applyFill="1" applyBorder="1" applyAlignment="1">
      <alignment horizontal="center"/>
    </xf>
    <xf numFmtId="165" fontId="14" fillId="4" borderId="22" xfId="0" applyNumberFormat="1" applyFont="1" applyFill="1" applyBorder="1" applyAlignment="1">
      <alignment horizontal="center"/>
    </xf>
    <xf numFmtId="165" fontId="14" fillId="6" borderId="20" xfId="0" applyNumberFormat="1" applyFont="1" applyFill="1" applyBorder="1" applyAlignment="1">
      <alignment horizontal="center"/>
    </xf>
    <xf numFmtId="165" fontId="14" fillId="6" borderId="21" xfId="0" applyNumberFormat="1" applyFont="1" applyFill="1" applyBorder="1" applyAlignment="1">
      <alignment horizontal="center"/>
    </xf>
    <xf numFmtId="165" fontId="14" fillId="6" borderId="22" xfId="0" applyNumberFormat="1" applyFont="1" applyFill="1" applyBorder="1" applyAlignment="1">
      <alignment horizontal="center"/>
    </xf>
    <xf numFmtId="165" fontId="14" fillId="17" borderId="20" xfId="0" applyNumberFormat="1" applyFont="1" applyFill="1" applyBorder="1" applyAlignment="1">
      <alignment horizontal="center"/>
    </xf>
    <xf numFmtId="165" fontId="14" fillId="17" borderId="21" xfId="0" applyNumberFormat="1" applyFont="1" applyFill="1" applyBorder="1" applyAlignment="1">
      <alignment horizontal="center"/>
    </xf>
    <xf numFmtId="165" fontId="14" fillId="17" borderId="22" xfId="0" applyNumberFormat="1" applyFont="1" applyFill="1" applyBorder="1" applyAlignment="1">
      <alignment horizontal="center"/>
    </xf>
    <xf numFmtId="2" fontId="0" fillId="0" borderId="37" xfId="0" applyNumberFormat="1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</cellXfs>
  <cellStyles count="2">
    <cellStyle name="Normální" xfId="0" builtinId="0"/>
    <cellStyle name="normální 2" xfId="1" xr:uid="{00000000-0005-0000-0000-000001000000}"/>
  </cellStyles>
  <dxfs count="489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cs-CZ"/>
              <a:t>Celkový </a:t>
            </a:r>
            <a:r>
              <a:rPr lang="en-US"/>
              <a:t>Průměr po měsících</a:t>
            </a:r>
          </a:p>
        </c:rich>
      </c:tx>
      <c:layout>
        <c:manualLayout>
          <c:xMode val="edge"/>
          <c:yMode val="edge"/>
          <c:x val="0.20602777777777778"/>
          <c:y val="3.240740740740746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'1851'!$AK$26</c:f>
              <c:strCache>
                <c:ptCount val="1"/>
                <c:pt idx="0">
                  <c:v>Průměr po měsících</c:v>
                </c:pt>
              </c:strCache>
            </c:strRef>
          </c:tx>
          <c:invertIfNegative val="0"/>
          <c:cat>
            <c:strRef>
              <c:f>'1851'!$AL$25:$AW$25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'1851'!$AL$26:$AW$26</c:f>
              <c:numCache>
                <c:formatCode>0.0%</c:formatCode>
                <c:ptCount val="12"/>
                <c:pt idx="0">
                  <c:v>0.32294621570820509</c:v>
                </c:pt>
                <c:pt idx="1">
                  <c:v>0.32407051362014777</c:v>
                </c:pt>
                <c:pt idx="2">
                  <c:v>0.31092872038904651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C-423F-B401-34E9886F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47936"/>
        <c:axId val="86649472"/>
      </c:barChart>
      <c:catAx>
        <c:axId val="8664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649472"/>
        <c:crosses val="autoZero"/>
        <c:auto val="1"/>
        <c:lblAlgn val="ctr"/>
        <c:lblOffset val="100"/>
        <c:noMultiLvlLbl val="0"/>
      </c:catAx>
      <c:valAx>
        <c:axId val="866494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664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633569680194641E-2"/>
          <c:y val="2.633233952552055E-2"/>
          <c:w val="0.74233894920438315"/>
          <c:h val="0.85508787129764119"/>
        </c:manualLayout>
      </c:layout>
      <c:lineChart>
        <c:grouping val="standard"/>
        <c:varyColors val="0"/>
        <c:ser>
          <c:idx val="3"/>
          <c:order val="0"/>
          <c:tx>
            <c:strRef>
              <c:f>'1851'!$AK$6</c:f>
              <c:strCache>
                <c:ptCount val="1"/>
                <c:pt idx="0">
                  <c:v>byt 2</c:v>
                </c:pt>
              </c:strCache>
            </c:strRef>
          </c:tx>
          <c:marker>
            <c:symbol val="none"/>
          </c:marker>
          <c:val>
            <c:numRef>
              <c:f>'1851'!$AL$6:$AW$6</c:f>
              <c:numCache>
                <c:formatCode>0.0%</c:formatCode>
                <c:ptCount val="12"/>
                <c:pt idx="0">
                  <c:v>0.33983099673516431</c:v>
                </c:pt>
                <c:pt idx="1">
                  <c:v>0.35794542536115587</c:v>
                </c:pt>
                <c:pt idx="2">
                  <c:v>0.31298282407284506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4F1B-918F-5B66F3B589FF}"/>
            </c:ext>
          </c:extLst>
        </c:ser>
        <c:ser>
          <c:idx val="1"/>
          <c:order val="1"/>
          <c:tx>
            <c:strRef>
              <c:f>'1851'!$AK$12</c:f>
              <c:strCache>
                <c:ptCount val="1"/>
                <c:pt idx="0">
                  <c:v>byt 9</c:v>
                </c:pt>
              </c:strCache>
            </c:strRef>
          </c:tx>
          <c:marker>
            <c:symbol val="none"/>
          </c:marker>
          <c:val>
            <c:numRef>
              <c:f>'1851'!$AL$12:$AW$12</c:f>
              <c:numCache>
                <c:formatCode>0.0%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7-4F1B-918F-5B66F3B589FF}"/>
            </c:ext>
          </c:extLst>
        </c:ser>
        <c:ser>
          <c:idx val="2"/>
          <c:order val="2"/>
          <c:tx>
            <c:strRef>
              <c:f>'1851'!$AK$14</c:f>
              <c:strCache>
                <c:ptCount val="1"/>
                <c:pt idx="0">
                  <c:v>byt 15</c:v>
                </c:pt>
              </c:strCache>
            </c:strRef>
          </c:tx>
          <c:marker>
            <c:symbol val="none"/>
          </c:marker>
          <c:val>
            <c:numRef>
              <c:f>'1851'!$AL$14:$AW$14</c:f>
              <c:numCache>
                <c:formatCode>0.0%</c:formatCode>
                <c:ptCount val="12"/>
                <c:pt idx="0">
                  <c:v>0.38800205973223478</c:v>
                </c:pt>
                <c:pt idx="1">
                  <c:v>0.36659589525831526</c:v>
                </c:pt>
                <c:pt idx="2">
                  <c:v>0.39182372169982643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7-4F1B-918F-5B66F3B589FF}"/>
            </c:ext>
          </c:extLst>
        </c:ser>
        <c:ser>
          <c:idx val="4"/>
          <c:order val="3"/>
          <c:tx>
            <c:strRef>
              <c:f>'1851'!$AK$18</c:f>
              <c:strCache>
                <c:ptCount val="1"/>
                <c:pt idx="0">
                  <c:v>byt 13</c:v>
                </c:pt>
              </c:strCache>
            </c:strRef>
          </c:tx>
          <c:marker>
            <c:symbol val="none"/>
          </c:marker>
          <c:val>
            <c:numRef>
              <c:f>'1851'!$AL$18:$AW$18</c:f>
              <c:numCache>
                <c:formatCode>0.0%</c:formatCode>
                <c:ptCount val="12"/>
                <c:pt idx="0">
                  <c:v>0.47777529595711438</c:v>
                </c:pt>
                <c:pt idx="1">
                  <c:v>0.45326086956521722</c:v>
                </c:pt>
                <c:pt idx="2">
                  <c:v>0.41641130405175347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7-4F1B-918F-5B66F3B589FF}"/>
            </c:ext>
          </c:extLst>
        </c:ser>
        <c:ser>
          <c:idx val="5"/>
          <c:order val="4"/>
          <c:tx>
            <c:strRef>
              <c:f>'1851'!$AK$54</c:f>
              <c:strCache>
                <c:ptCount val="1"/>
                <c:pt idx="0">
                  <c:v>byt 3</c:v>
                </c:pt>
              </c:strCache>
            </c:strRef>
          </c:tx>
          <c:marker>
            <c:symbol val="none"/>
          </c:marker>
          <c:val>
            <c:numRef>
              <c:f>'1851'!$AL$54:$AW$54</c:f>
              <c:numCache>
                <c:formatCode>0.0%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7-4F1B-918F-5B66F3B589FF}"/>
            </c:ext>
          </c:extLst>
        </c:ser>
        <c:ser>
          <c:idx val="6"/>
          <c:order val="5"/>
          <c:tx>
            <c:strRef>
              <c:f>'1851'!$AK$56</c:f>
              <c:strCache>
                <c:ptCount val="1"/>
                <c:pt idx="0">
                  <c:v>byt 6</c:v>
                </c:pt>
              </c:strCache>
            </c:strRef>
          </c:tx>
          <c:marker>
            <c:symbol val="none"/>
          </c:marker>
          <c:val>
            <c:numRef>
              <c:f>'1851'!$AL$56:$AW$56</c:f>
              <c:numCache>
                <c:formatCode>0.0%</c:formatCode>
                <c:ptCount val="12"/>
                <c:pt idx="0">
                  <c:v>0.50147991543340409</c:v>
                </c:pt>
                <c:pt idx="1">
                  <c:v>0.52604166666666674</c:v>
                </c:pt>
                <c:pt idx="2">
                  <c:v>0.42404193597638556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7-4F1B-918F-5B66F3B589FF}"/>
            </c:ext>
          </c:extLst>
        </c:ser>
        <c:ser>
          <c:idx val="7"/>
          <c:order val="6"/>
          <c:tx>
            <c:strRef>
              <c:f>'1851'!$AK$58</c:f>
              <c:strCache>
                <c:ptCount val="1"/>
                <c:pt idx="0">
                  <c:v>byt 8</c:v>
                </c:pt>
              </c:strCache>
            </c:strRef>
          </c:tx>
          <c:marker>
            <c:symbol val="none"/>
          </c:marker>
          <c:val>
            <c:numRef>
              <c:f>'1851'!$AL$58:$AW$58</c:f>
              <c:numCache>
                <c:formatCode>0.0%</c:formatCode>
                <c:ptCount val="12"/>
                <c:pt idx="0">
                  <c:v>0.34240639928896777</c:v>
                </c:pt>
                <c:pt idx="1">
                  <c:v>0.35490009514747922</c:v>
                </c:pt>
                <c:pt idx="2">
                  <c:v>0.3252416816024814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7-4F1B-918F-5B66F3B589FF}"/>
            </c:ext>
          </c:extLst>
        </c:ser>
        <c:ser>
          <c:idx val="8"/>
          <c:order val="7"/>
          <c:tx>
            <c:strRef>
              <c:f>'1851'!$AK$60</c:f>
              <c:strCache>
                <c:ptCount val="1"/>
                <c:pt idx="0">
                  <c:v>byt 11</c:v>
                </c:pt>
              </c:strCache>
            </c:strRef>
          </c:tx>
          <c:marker>
            <c:symbol val="none"/>
          </c:marker>
          <c:val>
            <c:numRef>
              <c:f>'1851'!$AL$60:$AW$60</c:f>
              <c:numCache>
                <c:formatCode>0.0%</c:formatCode>
                <c:ptCount val="12"/>
                <c:pt idx="0">
                  <c:v>0.3446995273463877</c:v>
                </c:pt>
                <c:pt idx="1">
                  <c:v>0.37438118811881183</c:v>
                </c:pt>
                <c:pt idx="2">
                  <c:v>0.33138640568919009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7-4F1B-918F-5B66F3B589FF}"/>
            </c:ext>
          </c:extLst>
        </c:ser>
        <c:ser>
          <c:idx val="9"/>
          <c:order val="8"/>
          <c:tx>
            <c:strRef>
              <c:f>'1851'!$AK$62</c:f>
              <c:strCache>
                <c:ptCount val="1"/>
                <c:pt idx="0">
                  <c:v>byt 12</c:v>
                </c:pt>
              </c:strCache>
            </c:strRef>
          </c:tx>
          <c:marker>
            <c:symbol val="none"/>
          </c:marker>
          <c:val>
            <c:numRef>
              <c:f>'1851'!$AL$62:$AW$62</c:f>
              <c:numCache>
                <c:formatCode>0.0%</c:formatCode>
                <c:ptCount val="12"/>
                <c:pt idx="0">
                  <c:v>0.27254901960784544</c:v>
                </c:pt>
                <c:pt idx="1">
                  <c:v>0.25695581014729929</c:v>
                </c:pt>
                <c:pt idx="2">
                  <c:v>0.37090169418943875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F7-4F1B-918F-5B66F3B589FF}"/>
            </c:ext>
          </c:extLst>
        </c:ser>
        <c:ser>
          <c:idx val="0"/>
          <c:order val="9"/>
          <c:tx>
            <c:strRef>
              <c:f>'1851'!$AK$8</c:f>
              <c:strCache>
                <c:ptCount val="1"/>
                <c:pt idx="0">
                  <c:v>byt 5</c:v>
                </c:pt>
              </c:strCache>
            </c:strRef>
          </c:tx>
          <c:marker>
            <c:symbol val="none"/>
          </c:marker>
          <c:val>
            <c:numRef>
              <c:f>'1851'!$AL$8:$AW$8</c:f>
              <c:numCache>
                <c:formatCode>0.0%</c:formatCode>
                <c:ptCount val="12"/>
                <c:pt idx="0">
                  <c:v>0.2397727272727275</c:v>
                </c:pt>
                <c:pt idx="1">
                  <c:v>0.22655367231638451</c:v>
                </c:pt>
                <c:pt idx="2">
                  <c:v>0.2255689162194979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F7-4F1B-918F-5B66F3B58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9120"/>
        <c:axId val="133510656"/>
      </c:lineChart>
      <c:catAx>
        <c:axId val="13350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510656"/>
        <c:crosses val="autoZero"/>
        <c:auto val="1"/>
        <c:lblAlgn val="ctr"/>
        <c:lblOffset val="100"/>
        <c:noMultiLvlLbl val="0"/>
      </c:catAx>
      <c:valAx>
        <c:axId val="13351065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33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297222222222234"/>
          <c:y val="4.0706838728492303E-2"/>
          <c:w val="0.11884430176565018"/>
          <c:h val="0.78027673725250368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19781332364819E-2"/>
          <c:y val="8.363479988730238E-2"/>
          <c:w val="0.88423248980669689"/>
          <c:h val="0.83273040022539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'1851'!$AK$46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'1851'!$AL$46:$AW$46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'1851'!$AL$46:$AX$46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9-4B69-B319-6912289E94D6}"/>
            </c:ext>
          </c:extLst>
        </c:ser>
        <c:ser>
          <c:idx val="1"/>
          <c:order val="1"/>
          <c:tx>
            <c:strRef>
              <c:f>'1851'!$AK$47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'1851'!$AL$46:$AW$46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'1851'!$AL$47:$AW$47</c:f>
              <c:numCache>
                <c:formatCode>0.000</c:formatCode>
                <c:ptCount val="12"/>
                <c:pt idx="0">
                  <c:v>14.083000000000009</c:v>
                </c:pt>
                <c:pt idx="1">
                  <c:v>12.070000000000002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9-4B69-B319-6912289E94D6}"/>
            </c:ext>
          </c:extLst>
        </c:ser>
        <c:ser>
          <c:idx val="2"/>
          <c:order val="2"/>
          <c:tx>
            <c:v>SV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'1851'!$AL$46:$AW$46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'1851'!$AL$48:$AW$48</c:f>
              <c:numCache>
                <c:formatCode>0.000</c:formatCode>
                <c:ptCount val="12"/>
                <c:pt idx="0">
                  <c:v>24.318000000000001</c:v>
                </c:pt>
                <c:pt idx="1">
                  <c:v>20.077999999999989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9-4B69-B319-6912289E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34199552"/>
        <c:axId val="134216320"/>
      </c:barChart>
      <c:catAx>
        <c:axId val="1341995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4216320"/>
        <c:crosses val="autoZero"/>
        <c:auto val="1"/>
        <c:lblAlgn val="ctr"/>
        <c:lblOffset val="100"/>
        <c:noMultiLvlLbl val="0"/>
      </c:catAx>
      <c:valAx>
        <c:axId val="134216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419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'1851'!$AK$46</c:f>
              <c:strCache>
                <c:ptCount val="1"/>
                <c:pt idx="0">
                  <c:v>CELKEM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'1851'!$AL$46:$AW$46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'1851'!$AL$46:$AX$46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E-40E4-BD36-7FF879027D5C}"/>
            </c:ext>
          </c:extLst>
        </c:ser>
        <c:ser>
          <c:idx val="1"/>
          <c:order val="1"/>
          <c:tx>
            <c:strRef>
              <c:f>'1851'!$AK$47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'1851'!$AL$47:$AW$47</c:f>
              <c:numCache>
                <c:formatCode>0.000</c:formatCode>
                <c:ptCount val="12"/>
                <c:pt idx="0">
                  <c:v>14.083000000000009</c:v>
                </c:pt>
                <c:pt idx="1">
                  <c:v>12.070000000000002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E-40E4-BD36-7FF879027D5C}"/>
            </c:ext>
          </c:extLst>
        </c:ser>
        <c:ser>
          <c:idx val="2"/>
          <c:order val="2"/>
          <c:tx>
            <c:v>SV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'1851'!$AL$48:$AW$48</c:f>
              <c:numCache>
                <c:formatCode>0.000</c:formatCode>
                <c:ptCount val="12"/>
                <c:pt idx="0">
                  <c:v>24.318000000000001</c:v>
                </c:pt>
                <c:pt idx="1">
                  <c:v>20.077999999999989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5E-40E4-BD36-7FF87902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623808"/>
        <c:axId val="141513472"/>
      </c:barChart>
      <c:catAx>
        <c:axId val="139623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1513472"/>
        <c:crosses val="autoZero"/>
        <c:auto val="1"/>
        <c:lblAlgn val="ctr"/>
        <c:lblOffset val="100"/>
        <c:noMultiLvlLbl val="0"/>
      </c:catAx>
      <c:valAx>
        <c:axId val="14151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396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230857713771141E-2"/>
          <c:y val="0.28908637849828461"/>
          <c:w val="0.87500082162789083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351.66700000000014</c:v>
                </c:pt>
                <c:pt idx="1">
                  <c:v>378.339</c:v>
                </c:pt>
                <c:pt idx="2">
                  <c:v>423.89000000000004</c:v>
                </c:pt>
                <c:pt idx="3">
                  <c:v>323.221</c:v>
                </c:pt>
                <c:pt idx="4">
                  <c:v>-309.38299999999992</c:v>
                </c:pt>
                <c:pt idx="5">
                  <c:v>-382.71200000000005</c:v>
                </c:pt>
                <c:pt idx="6">
                  <c:v>-626.30500000000006</c:v>
                </c:pt>
                <c:pt idx="7">
                  <c:v>-319.67699999999979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89A-B6C3-D76949C70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4885632"/>
        <c:axId val="146176640"/>
      </c:barChart>
      <c:catAx>
        <c:axId val="1448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61766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61766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488563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-0.87954130505464867</c:v>
                </c:pt>
                <c:pt idx="1">
                  <c:v>-0.66358964464868275</c:v>
                </c:pt>
                <c:pt idx="2">
                  <c:v>-0.93404874179190001</c:v>
                </c:pt>
                <c:pt idx="3">
                  <c:v>-0.7754450362266686</c:v>
                </c:pt>
                <c:pt idx="4">
                  <c:v>0.28785704981484578</c:v>
                </c:pt>
                <c:pt idx="5">
                  <c:v>0.31961917487890429</c:v>
                </c:pt>
                <c:pt idx="6">
                  <c:v>0.61017799557690244</c:v>
                </c:pt>
                <c:pt idx="7">
                  <c:v>0.28816604317843764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D-4468-8154-D6D6038C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680704"/>
        <c:axId val="170682240"/>
      </c:barChart>
      <c:catAx>
        <c:axId val="17068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22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070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1.9790000000000418</c:v>
                </c:pt>
                <c:pt idx="1">
                  <c:v>5.3140000000000214</c:v>
                </c:pt>
                <c:pt idx="2">
                  <c:v>2.6420000000000954</c:v>
                </c:pt>
                <c:pt idx="3">
                  <c:v>3.3289999999999793</c:v>
                </c:pt>
                <c:pt idx="4">
                  <c:v>6.2500000000000924</c:v>
                </c:pt>
                <c:pt idx="5">
                  <c:v>7.4719999999999374</c:v>
                </c:pt>
                <c:pt idx="6">
                  <c:v>4.1149999999998883</c:v>
                </c:pt>
                <c:pt idx="7">
                  <c:v>7.1120000000001937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A-466F-B286-0DF790C3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10528"/>
        <c:axId val="170712064"/>
      </c:barChart>
      <c:catAx>
        <c:axId val="1707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206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1206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052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85271317829467E-2"/>
          <c:y val="0.28908554572271788"/>
          <c:w val="0.89341085271318565"/>
          <c:h val="0.607669616519207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2.5476313079300227E-2</c:v>
                </c:pt>
                <c:pt idx="1">
                  <c:v>6.1999766654999643E-2</c:v>
                </c:pt>
                <c:pt idx="2">
                  <c:v>3.3337539432177835E-2</c:v>
                </c:pt>
                <c:pt idx="3">
                  <c:v>4.2657611481291366E-2</c:v>
                </c:pt>
                <c:pt idx="4">
                  <c:v>7.7418555679426376E-2</c:v>
                </c:pt>
                <c:pt idx="5">
                  <c:v>8.9646070785842177E-2</c:v>
                </c:pt>
                <c:pt idx="6">
                  <c:v>5.3685583822568765E-2</c:v>
                </c:pt>
                <c:pt idx="7">
                  <c:v>8.3848149021459331E-2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4-4997-B1B9-45572CC3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56736"/>
        <c:axId val="170758528"/>
      </c:barChart>
      <c:catAx>
        <c:axId val="1707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85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585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673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870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1.9790000000000418</c:v>
                </c:pt>
                <c:pt idx="1">
                  <c:v>5.3140000000000214</c:v>
                </c:pt>
                <c:pt idx="2">
                  <c:v>2.6420000000000954</c:v>
                </c:pt>
                <c:pt idx="3">
                  <c:v>3.3289999999999793</c:v>
                </c:pt>
                <c:pt idx="4">
                  <c:v>6.2500000000000924</c:v>
                </c:pt>
                <c:pt idx="5">
                  <c:v>7.4719999999999374</c:v>
                </c:pt>
                <c:pt idx="6">
                  <c:v>4.1149999999998883</c:v>
                </c:pt>
                <c:pt idx="7">
                  <c:v>7.1120000000001937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4E83-829A-FDC5E6DA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2147968"/>
        <c:axId val="142149504"/>
      </c:barChart>
      <c:catAx>
        <c:axId val="1421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95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214950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796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2.5476313079300227E-2</c:v>
                </c:pt>
                <c:pt idx="1">
                  <c:v>6.1999766654999643E-2</c:v>
                </c:pt>
                <c:pt idx="2">
                  <c:v>3.3337539432177835E-2</c:v>
                </c:pt>
                <c:pt idx="3">
                  <c:v>4.2657611481291366E-2</c:v>
                </c:pt>
                <c:pt idx="4">
                  <c:v>7.7418555679426376E-2</c:v>
                </c:pt>
                <c:pt idx="5">
                  <c:v>8.9646070785842177E-2</c:v>
                </c:pt>
                <c:pt idx="6">
                  <c:v>5.3685583822568765E-2</c:v>
                </c:pt>
                <c:pt idx="7">
                  <c:v>8.3848149021459331E-2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F-43F5-9B36-CAEAE8CA4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3367552"/>
        <c:axId val="143811328"/>
      </c:barChart>
      <c:catAx>
        <c:axId val="1433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8113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38113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36755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Leden</c:v>
          </c:tx>
          <c:spPr>
            <a:solidFill>
              <a:schemeClr val="tx2"/>
            </a:solidFill>
          </c:spPr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'Teplo-Paty'!$C$6:$C$27</c:f>
              <c:numCache>
                <c:formatCode>0.000</c:formatCode>
                <c:ptCount val="8"/>
                <c:pt idx="0">
                  <c:v>144.71124620060795</c:v>
                </c:pt>
                <c:pt idx="1">
                  <c:v>108.97703549060553</c:v>
                </c:pt>
                <c:pt idx="2">
                  <c:v>170.10238907849839</c:v>
                </c:pt>
                <c:pt idx="3">
                  <c:v>157.37012987012997</c:v>
                </c:pt>
                <c:pt idx="4">
                  <c:v>162.35099337748335</c:v>
                </c:pt>
                <c:pt idx="5">
                  <c:v>122.15130023640626</c:v>
                </c:pt>
                <c:pt idx="6">
                  <c:v>157.12460063897711</c:v>
                </c:pt>
                <c:pt idx="7">
                  <c:v>127.62254901960823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5-41F7-BAEA-9226FDD923CC}"/>
            </c:ext>
          </c:extLst>
        </c:ser>
        <c:ser>
          <c:idx val="0"/>
          <c:order val="1"/>
          <c:tx>
            <c:v>Únor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'Teplo-Paty'!$D$6:$D$27</c:f>
              <c:numCache>
                <c:formatCode>0.000</c:formatCode>
                <c:ptCount val="8"/>
                <c:pt idx="0">
                  <c:v>147.4019607843137</c:v>
                </c:pt>
                <c:pt idx="1">
                  <c:v>107.74919614147908</c:v>
                </c:pt>
                <c:pt idx="2">
                  <c:v>183.81250000000017</c:v>
                </c:pt>
                <c:pt idx="3">
                  <c:v>166.12359550561794</c:v>
                </c:pt>
                <c:pt idx="4">
                  <c:v>166.84210526315812</c:v>
                </c:pt>
                <c:pt idx="5">
                  <c:v>145.32110091743147</c:v>
                </c:pt>
                <c:pt idx="6">
                  <c:v>159.70930232558155</c:v>
                </c:pt>
                <c:pt idx="7">
                  <c:v>137.60504201680672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5-41F7-BAEA-9226FDD923CC}"/>
            </c:ext>
          </c:extLst>
        </c:ser>
        <c:ser>
          <c:idx val="2"/>
          <c:order val="2"/>
          <c:tx>
            <c:v>Březen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'Teplo-Paty'!$E$6:$E$27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BB35-41F7-BAEA-9226FDD923CC}"/>
            </c:ext>
          </c:extLst>
        </c:ser>
        <c:ser>
          <c:idx val="3"/>
          <c:order val="3"/>
          <c:tx>
            <c:v>Duben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'Teplo-Paty'!$F$6:$F$27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BB35-41F7-BAEA-9226FDD923CC}"/>
            </c:ext>
          </c:extLst>
        </c:ser>
        <c:ser>
          <c:idx val="4"/>
          <c:order val="4"/>
          <c:tx>
            <c:v>Květen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'Teplo-Paty'!$G$6:$G$27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BB35-41F7-BAEA-9226FDD923CC}"/>
            </c:ext>
          </c:extLst>
        </c:ser>
        <c:ser>
          <c:idx val="5"/>
          <c:order val="5"/>
          <c:tx>
            <c:v>Červen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'Teplo-Paty'!$H$6:$H$27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5-BB35-41F7-BAEA-9226FDD923CC}"/>
            </c:ext>
          </c:extLst>
        </c:ser>
        <c:ser>
          <c:idx val="6"/>
          <c:order val="6"/>
          <c:tx>
            <c:v>Červenec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'Teplo-Paty'!$I$6:$I$27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BB35-41F7-BAEA-9226FDD923CC}"/>
            </c:ext>
          </c:extLst>
        </c:ser>
        <c:ser>
          <c:idx val="7"/>
          <c:order val="7"/>
          <c:tx>
            <c:v>Srpen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'Teplo-Paty'!$J$6:$J$27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7-BB35-41F7-BAEA-9226FDD923CC}"/>
            </c:ext>
          </c:extLst>
        </c:ser>
        <c:ser>
          <c:idx val="8"/>
          <c:order val="8"/>
          <c:tx>
            <c:v>Září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'Teplo-Paty'!$K$6:$K$27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BB35-41F7-BAEA-9226FDD923CC}"/>
            </c:ext>
          </c:extLst>
        </c:ser>
        <c:ser>
          <c:idx val="9"/>
          <c:order val="9"/>
          <c:tx>
            <c:v>Říjen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'Teplo-Paty'!$L$6:$L$27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BB35-41F7-BAEA-9226FDD923CC}"/>
            </c:ext>
          </c:extLst>
        </c:ser>
        <c:ser>
          <c:idx val="10"/>
          <c:order val="10"/>
          <c:tx>
            <c:v>Listopad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'Teplo-Paty'!$M$6:$M$27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A-BB35-41F7-BAEA-9226FDD923CC}"/>
            </c:ext>
          </c:extLst>
        </c:ser>
        <c:ser>
          <c:idx val="11"/>
          <c:order val="11"/>
          <c:tx>
            <c:v>Prosinec</c:v>
          </c:tx>
          <c:invertIfNegative val="0"/>
          <c:cat>
            <c:numRef>
              <c:f>'Teplo-Paty'!$A$6:$A$27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'Teplo-Paty'!$N$6:$N$27</c:f>
              <c:numCache>
                <c:formatCode>0.000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B-BB35-41F7-BAEA-9226FDD92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3664"/>
        <c:axId val="174275200"/>
      </c:barChart>
      <c:catAx>
        <c:axId val="17427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5200"/>
        <c:crosses val="autoZero"/>
        <c:auto val="1"/>
        <c:lblAlgn val="ctr"/>
        <c:lblOffset val="100"/>
        <c:noMultiLvlLbl val="0"/>
      </c:catAx>
      <c:valAx>
        <c:axId val="1742752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26115239831933E-2"/>
          <c:y val="3.4477512344855202E-2"/>
          <c:w val="0.84771471885062233"/>
          <c:h val="0.804613639396777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('Voda-Paty'!$C$4:$C$11,'Voda-Paty'!$C$14)</c:f>
              <c:numCache>
                <c:formatCode>#\ ##0.0</c:formatCode>
                <c:ptCount val="9"/>
                <c:pt idx="0">
                  <c:v>95.199999999999932</c:v>
                </c:pt>
                <c:pt idx="1">
                  <c:v>95</c:v>
                </c:pt>
                <c:pt idx="2">
                  <c:v>77.400000000000091</c:v>
                </c:pt>
                <c:pt idx="3">
                  <c:v>112.60000000000014</c:v>
                </c:pt>
                <c:pt idx="4">
                  <c:v>64.199999999999932</c:v>
                </c:pt>
                <c:pt idx="5">
                  <c:v>86.600000000000136</c:v>
                </c:pt>
                <c:pt idx="6">
                  <c:v>75.300000000000068</c:v>
                </c:pt>
                <c:pt idx="7">
                  <c:v>102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C20-B3B9-E83C105E3A3B}"/>
            </c:ext>
          </c:extLst>
        </c:ser>
        <c:ser>
          <c:idx val="0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('Voda-Paty'!$D$4:$D$11,'Voda-Paty'!$D$14)</c:f>
              <c:numCache>
                <c:formatCode>#\ ##0.0</c:formatCode>
                <c:ptCount val="9"/>
                <c:pt idx="0">
                  <c:v>83.5</c:v>
                </c:pt>
                <c:pt idx="1">
                  <c:v>79.600000000000136</c:v>
                </c:pt>
                <c:pt idx="2">
                  <c:v>75.5</c:v>
                </c:pt>
                <c:pt idx="3">
                  <c:v>94.399999999999864</c:v>
                </c:pt>
                <c:pt idx="4">
                  <c:v>58.200000000000045</c:v>
                </c:pt>
                <c:pt idx="5">
                  <c:v>72.199999999999818</c:v>
                </c:pt>
                <c:pt idx="6">
                  <c:v>62.899999999999864</c:v>
                </c:pt>
                <c:pt idx="7">
                  <c:v>82.299999999999955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C20-B3B9-E83C105E3A3B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('Voda-Paty'!$E$4:$E$11,'Voda-Paty'!$E$14)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2-AC4A-4C20-B3B9-E83C105E3A3B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('Voda-Paty'!$F$4:$F$11,'Voda-Paty'!$F$14)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AC4A-4C20-B3B9-E83C105E3A3B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('Voda-Paty'!$G$4:$G$11,'Voda-Paty'!$G$14)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AC4A-4C20-B3B9-E83C105E3A3B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('Voda-Paty'!$H$4:$H$11,'Voda-Paty'!$H$14)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AC4A-4C20-B3B9-E83C105E3A3B}"/>
            </c:ext>
          </c:extLst>
        </c:ser>
        <c:ser>
          <c:idx val="10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('Voda-Paty'!$I$4:$I$11,'Voda-Paty'!$I$14)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AC4A-4C20-B3B9-E83C105E3A3B}"/>
            </c:ext>
          </c:extLst>
        </c:ser>
        <c:ser>
          <c:idx val="12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('Voda-Paty'!$J$4:$J$11,'Voda-Paty'!$J$14)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AC4A-4C20-B3B9-E83C105E3A3B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('Voda-Paty'!$K$4:$K$11,'Voda-Paty'!$K$14)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8-AC4A-4C20-B3B9-E83C105E3A3B}"/>
            </c:ext>
          </c:extLst>
        </c:ser>
        <c:ser>
          <c:idx val="6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('Voda-Paty'!$L$4:$L$11,'Voda-Paty'!$L$14)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9-AC4A-4C20-B3B9-E83C105E3A3B}"/>
            </c:ext>
          </c:extLst>
        </c:ser>
        <c:ser>
          <c:idx val="7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('Voda-Paty'!$M$4:$M$11,'Voda-Paty'!$M$14)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A-AC4A-4C20-B3B9-E83C105E3A3B}"/>
            </c:ext>
          </c:extLst>
        </c:ser>
        <c:ser>
          <c:idx val="9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('Voda-Paty'!$N$4:$N$11,'Voda-Paty'!$N$14)</c:f>
              <c:numCache>
                <c:formatCode>#\ ##0.0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B-AC4A-4C20-B3B9-E83C105E3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86176"/>
        <c:axId val="174392064"/>
      </c:barChart>
      <c:catAx>
        <c:axId val="1743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92064"/>
        <c:crosses val="autoZero"/>
        <c:auto val="1"/>
        <c:lblAlgn val="ctr"/>
        <c:lblOffset val="100"/>
        <c:noMultiLvlLbl val="0"/>
      </c:catAx>
      <c:valAx>
        <c:axId val="17439206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64883235749835"/>
          <c:y val="4.4543622918504513E-2"/>
          <c:w val="0.54653711555285756"/>
          <c:h val="0.87943738360505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#\ ##0.0</c:formatCode>
                <c:ptCount val="2"/>
                <c:pt idx="0">
                  <c:v>394.89999999999418</c:v>
                </c:pt>
                <c:pt idx="1">
                  <c:v>326.60000000000002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8-4079-81C9-40D38B82ABBF}"/>
            </c:ext>
          </c:extLst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#\ ##0.0</c:formatCode>
                <c:ptCount val="2"/>
                <c:pt idx="0">
                  <c:v>344.80000000000291</c:v>
                </c:pt>
                <c:pt idx="1">
                  <c:v>276.79999999999995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8-4079-81C9-40D38B82ABBF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2-C7A8-4079-81C9-40D38B82ABBF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3-C7A8-4079-81C9-40D38B82ABBF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C7A8-4079-81C9-40D38B82ABBF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5-C7A8-4079-81C9-40D38B82ABBF}"/>
            </c:ext>
          </c:extLst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6-C7A8-4079-81C9-40D38B82ABBF}"/>
            </c:ext>
          </c:extLst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7-C7A8-4079-81C9-40D38B82ABBF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8-C7A8-4079-81C9-40D38B82ABBF}"/>
            </c:ext>
          </c:extLst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C7A8-4079-81C9-40D38B82ABBF}"/>
            </c:ext>
          </c:extLst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A-C7A8-4079-81C9-40D38B82ABBF}"/>
            </c:ext>
          </c:extLst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#\ ##0.0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B-C7A8-4079-81C9-40D38B82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35712"/>
        <c:axId val="174453888"/>
      </c:barChart>
      <c:catAx>
        <c:axId val="17443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453888"/>
        <c:crosses val="autoZero"/>
        <c:auto val="1"/>
        <c:lblAlgn val="ctr"/>
        <c:lblOffset val="100"/>
        <c:noMultiLvlLbl val="0"/>
      </c:catAx>
      <c:valAx>
        <c:axId val="174453888"/>
        <c:scaling>
          <c:orientation val="minMax"/>
        </c:scaling>
        <c:delete val="0"/>
        <c:axPos val="l"/>
        <c:majorGridlines/>
        <c:numFmt formatCode="#\ ##0.0" sourceLinked="1"/>
        <c:majorTickMark val="out"/>
        <c:minorTickMark val="none"/>
        <c:tickLblPos val="nextTo"/>
        <c:crossAx val="17443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26115239831933E-2"/>
          <c:y val="3.4477512344855202E-2"/>
          <c:w val="0.84771471885062233"/>
          <c:h val="0.804613639396777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'[1]Voda-Paty'!$C$3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('[1]Voda-Paty'!$C$4:$C$11,'[1]Voda-Paty'!$C$14)</c:f>
              <c:numCache>
                <c:formatCode>General</c:formatCode>
                <c:ptCount val="9"/>
                <c:pt idx="0">
                  <c:v>73.5</c:v>
                </c:pt>
                <c:pt idx="1">
                  <c:v>80.500000000000014</c:v>
                </c:pt>
                <c:pt idx="2">
                  <c:v>87.699999999999989</c:v>
                </c:pt>
                <c:pt idx="3">
                  <c:v>79.899999999999977</c:v>
                </c:pt>
                <c:pt idx="4">
                  <c:v>57.900000000000006</c:v>
                </c:pt>
                <c:pt idx="5">
                  <c:v>72.8</c:v>
                </c:pt>
                <c:pt idx="6">
                  <c:v>75.899999999999991</c:v>
                </c:pt>
                <c:pt idx="7">
                  <c:v>86.6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7-46F6-BFC9-D83CE41E5A4D}"/>
            </c:ext>
          </c:extLst>
        </c:ser>
        <c:ser>
          <c:idx val="0"/>
          <c:order val="1"/>
          <c:tx>
            <c:strRef>
              <c:f>'[1]Voda-Paty'!$D$3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('[1]Voda-Paty'!$D$4:$D$11,'[1]Voda-Paty'!$D$14)</c:f>
              <c:numCache>
                <c:formatCode>General</c:formatCode>
                <c:ptCount val="9"/>
                <c:pt idx="0">
                  <c:v>68.300000000000011</c:v>
                </c:pt>
                <c:pt idx="1">
                  <c:v>81.5</c:v>
                </c:pt>
                <c:pt idx="2">
                  <c:v>80.400000000000006</c:v>
                </c:pt>
                <c:pt idx="3">
                  <c:v>76.100000000000023</c:v>
                </c:pt>
                <c:pt idx="4">
                  <c:v>58.600000000000009</c:v>
                </c:pt>
                <c:pt idx="5">
                  <c:v>67.300000000000011</c:v>
                </c:pt>
                <c:pt idx="6">
                  <c:v>63.099999999999994</c:v>
                </c:pt>
                <c:pt idx="7">
                  <c:v>78.5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7-46F6-BFC9-D83CE41E5A4D}"/>
            </c:ext>
          </c:extLst>
        </c:ser>
        <c:ser>
          <c:idx val="2"/>
          <c:order val="2"/>
          <c:tx>
            <c:strRef>
              <c:f>'[1]Voda-Paty'!$E$3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('[1]Voda-Paty'!$E$4:$E$11,'[1]Voda-Paty'!$E$14)</c:f>
              <c:numCache>
                <c:formatCode>General</c:formatCode>
                <c:ptCount val="9"/>
                <c:pt idx="0">
                  <c:v>81.599999999999994</c:v>
                </c:pt>
                <c:pt idx="1">
                  <c:v>94.599999999999966</c:v>
                </c:pt>
                <c:pt idx="2">
                  <c:v>87.9</c:v>
                </c:pt>
                <c:pt idx="3">
                  <c:v>96.5</c:v>
                </c:pt>
                <c:pt idx="4">
                  <c:v>62.099999999999994</c:v>
                </c:pt>
                <c:pt idx="5">
                  <c:v>81.400000000000006</c:v>
                </c:pt>
                <c:pt idx="6">
                  <c:v>71.900000000000034</c:v>
                </c:pt>
                <c:pt idx="7">
                  <c:v>78.300000000000011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7-46F6-BFC9-D83CE41E5A4D}"/>
            </c:ext>
          </c:extLst>
        </c:ser>
        <c:ser>
          <c:idx val="3"/>
          <c:order val="3"/>
          <c:tx>
            <c:strRef>
              <c:f>'[1]Voda-Paty'!$F$3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('[1]Voda-Paty'!$F$4:$F$11,'[1]Voda-Paty'!$F$14)</c:f>
              <c:numCache>
                <c:formatCode>General</c:formatCode>
                <c:ptCount val="9"/>
                <c:pt idx="0">
                  <c:v>87.899999999999977</c:v>
                </c:pt>
                <c:pt idx="1">
                  <c:v>91.800000000000011</c:v>
                </c:pt>
                <c:pt idx="2">
                  <c:v>88.899999999999977</c:v>
                </c:pt>
                <c:pt idx="3">
                  <c:v>86.433999999999969</c:v>
                </c:pt>
                <c:pt idx="4">
                  <c:v>66.299999999999983</c:v>
                </c:pt>
                <c:pt idx="5">
                  <c:v>78.300000000000011</c:v>
                </c:pt>
                <c:pt idx="6">
                  <c:v>75.599999999999966</c:v>
                </c:pt>
                <c:pt idx="7">
                  <c:v>79.399999999999977</c:v>
                </c:pt>
                <c:pt idx="8">
                  <c:v>8.5660000000000309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7-46F6-BFC9-D83CE41E5A4D}"/>
            </c:ext>
          </c:extLst>
        </c:ser>
        <c:ser>
          <c:idx val="4"/>
          <c:order val="4"/>
          <c:tx>
            <c:strRef>
              <c:f>'[1]Voda-Paty'!$G$3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('[1]Voda-Paty'!$G$4:$G$11,'[1]Voda-Paty'!$G$14)</c:f>
              <c:numCache>
                <c:formatCode>General</c:formatCode>
                <c:ptCount val="9"/>
                <c:pt idx="0">
                  <c:v>79.200000000000045</c:v>
                </c:pt>
                <c:pt idx="1">
                  <c:v>88.699999999999989</c:v>
                </c:pt>
                <c:pt idx="2">
                  <c:v>86.899999999999977</c:v>
                </c:pt>
                <c:pt idx="3">
                  <c:v>82.38799999999992</c:v>
                </c:pt>
                <c:pt idx="4">
                  <c:v>56.600000000000023</c:v>
                </c:pt>
                <c:pt idx="5">
                  <c:v>73</c:v>
                </c:pt>
                <c:pt idx="6">
                  <c:v>74</c:v>
                </c:pt>
                <c:pt idx="7">
                  <c:v>80.300000000000011</c:v>
                </c:pt>
                <c:pt idx="8">
                  <c:v>15.412000000000035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7-46F6-BFC9-D83CE41E5A4D}"/>
            </c:ext>
          </c:extLst>
        </c:ser>
        <c:ser>
          <c:idx val="5"/>
          <c:order val="5"/>
          <c:tx>
            <c:strRef>
              <c:f>'[1]Voda-Paty'!$H$3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('[1]Voda-Paty'!$H$4:$H$11,'[1]Voda-Paty'!$H$14)</c:f>
              <c:numCache>
                <c:formatCode>General</c:formatCode>
                <c:ptCount val="9"/>
                <c:pt idx="0">
                  <c:v>76</c:v>
                </c:pt>
                <c:pt idx="1">
                  <c:v>80.399999999999977</c:v>
                </c:pt>
                <c:pt idx="2">
                  <c:v>72.800000000000068</c:v>
                </c:pt>
                <c:pt idx="3">
                  <c:v>71.399999999999977</c:v>
                </c:pt>
                <c:pt idx="4">
                  <c:v>50.699999999999989</c:v>
                </c:pt>
                <c:pt idx="5">
                  <c:v>64.899999999999977</c:v>
                </c:pt>
                <c:pt idx="6">
                  <c:v>61.5</c:v>
                </c:pt>
                <c:pt idx="7">
                  <c:v>69.5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17-46F6-BFC9-D83CE41E5A4D}"/>
            </c:ext>
          </c:extLst>
        </c:ser>
        <c:ser>
          <c:idx val="10"/>
          <c:order val="6"/>
          <c:tx>
            <c:strRef>
              <c:f>'[1]Voda-Paty'!$I$3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('[1]Voda-Paty'!$I$4:$I$11,'[1]Voda-Paty'!$I$14)</c:f>
              <c:numCache>
                <c:formatCode>General</c:formatCode>
                <c:ptCount val="9"/>
                <c:pt idx="0">
                  <c:v>66.299999999999955</c:v>
                </c:pt>
                <c:pt idx="1">
                  <c:v>86.200000000000045</c:v>
                </c:pt>
                <c:pt idx="2">
                  <c:v>76.199999999999932</c:v>
                </c:pt>
                <c:pt idx="3">
                  <c:v>65.33400000000006</c:v>
                </c:pt>
                <c:pt idx="4">
                  <c:v>59.899999999999977</c:v>
                </c:pt>
                <c:pt idx="5">
                  <c:v>66.799999999999955</c:v>
                </c:pt>
                <c:pt idx="6">
                  <c:v>54.300000000000011</c:v>
                </c:pt>
                <c:pt idx="7">
                  <c:v>67.399999999999977</c:v>
                </c:pt>
                <c:pt idx="8">
                  <c:v>19.966000000000008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D17-46F6-BFC9-D83CE41E5A4D}"/>
            </c:ext>
          </c:extLst>
        </c:ser>
        <c:ser>
          <c:idx val="12"/>
          <c:order val="7"/>
          <c:tx>
            <c:strRef>
              <c:f>'[1]Voda-Paty'!$J$3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('[1]Voda-Paty'!$J$4:$J$11,'[1]Voda-Paty'!$J$14)</c:f>
              <c:numCache>
                <c:formatCode>General</c:formatCode>
                <c:ptCount val="9"/>
                <c:pt idx="0">
                  <c:v>75.700000000000045</c:v>
                </c:pt>
                <c:pt idx="1">
                  <c:v>90.399999999999977</c:v>
                </c:pt>
                <c:pt idx="2">
                  <c:v>78.600000000000023</c:v>
                </c:pt>
                <c:pt idx="3">
                  <c:v>80.094000000000051</c:v>
                </c:pt>
                <c:pt idx="4">
                  <c:v>63.300000000000068</c:v>
                </c:pt>
                <c:pt idx="5">
                  <c:v>76.300000000000068</c:v>
                </c:pt>
                <c:pt idx="6">
                  <c:v>62.5</c:v>
                </c:pt>
                <c:pt idx="7">
                  <c:v>70.899999999999977</c:v>
                </c:pt>
                <c:pt idx="8">
                  <c:v>23.905999999999949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17-46F6-BFC9-D83CE41E5A4D}"/>
            </c:ext>
          </c:extLst>
        </c:ser>
        <c:ser>
          <c:idx val="8"/>
          <c:order val="8"/>
          <c:tx>
            <c:strRef>
              <c:f>'[1]Voda-Paty'!$K$3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('[1]Voda-Paty'!$K$4:$K$11,'[1]Voda-Paty'!$K$14)</c:f>
              <c:numCache>
                <c:formatCode>General</c:formatCode>
                <c:ptCount val="9"/>
                <c:pt idx="0">
                  <c:v>69.799999999999955</c:v>
                </c:pt>
                <c:pt idx="1">
                  <c:v>85.399999999999977</c:v>
                </c:pt>
                <c:pt idx="2">
                  <c:v>89.100000000000023</c:v>
                </c:pt>
                <c:pt idx="3">
                  <c:v>85.071000000000026</c:v>
                </c:pt>
                <c:pt idx="4">
                  <c:v>60.199999999999932</c:v>
                </c:pt>
                <c:pt idx="5">
                  <c:v>75.799999999999955</c:v>
                </c:pt>
                <c:pt idx="6">
                  <c:v>66.200000000000045</c:v>
                </c:pt>
                <c:pt idx="7">
                  <c:v>79.300000000000068</c:v>
                </c:pt>
                <c:pt idx="8">
                  <c:v>10.828999999999951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D17-46F6-BFC9-D83CE41E5A4D}"/>
            </c:ext>
          </c:extLst>
        </c:ser>
        <c:ser>
          <c:idx val="6"/>
          <c:order val="9"/>
          <c:tx>
            <c:strRef>
              <c:f>'[1]Voda-Paty'!$L$3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('[1]Voda-Paty'!$L$4:$L$11,'[1]Voda-Paty'!$L$14)</c:f>
              <c:numCache>
                <c:formatCode>General</c:formatCode>
                <c:ptCount val="9"/>
                <c:pt idx="0">
                  <c:v>65.800000000000068</c:v>
                </c:pt>
                <c:pt idx="1">
                  <c:v>83.600000000000023</c:v>
                </c:pt>
                <c:pt idx="2">
                  <c:v>86.200000000000045</c:v>
                </c:pt>
                <c:pt idx="3">
                  <c:v>82.002999999999929</c:v>
                </c:pt>
                <c:pt idx="4">
                  <c:v>56.700000000000045</c:v>
                </c:pt>
                <c:pt idx="5">
                  <c:v>75.700000000000045</c:v>
                </c:pt>
                <c:pt idx="6">
                  <c:v>72.599999999999909</c:v>
                </c:pt>
                <c:pt idx="7">
                  <c:v>82</c:v>
                </c:pt>
                <c:pt idx="8">
                  <c:v>1.1970000000000027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D17-46F6-BFC9-D83CE41E5A4D}"/>
            </c:ext>
          </c:extLst>
        </c:ser>
        <c:ser>
          <c:idx val="7"/>
          <c:order val="10"/>
          <c:tx>
            <c:strRef>
              <c:f>'[1]Voda-Paty'!$M$3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('[1]Voda-Paty'!$M$4:$M$11,'[1]Voda-Paty'!$M$14)</c:f>
              <c:numCache>
                <c:formatCode>General</c:formatCode>
                <c:ptCount val="9"/>
                <c:pt idx="0">
                  <c:v>88</c:v>
                </c:pt>
                <c:pt idx="1">
                  <c:v>92.000000000000114</c:v>
                </c:pt>
                <c:pt idx="2">
                  <c:v>86.799999999999955</c:v>
                </c:pt>
                <c:pt idx="3">
                  <c:v>84.726999999999975</c:v>
                </c:pt>
                <c:pt idx="4">
                  <c:v>65.299999999999955</c:v>
                </c:pt>
                <c:pt idx="5">
                  <c:v>79.600000000000023</c:v>
                </c:pt>
                <c:pt idx="6">
                  <c:v>70.5</c:v>
                </c:pt>
                <c:pt idx="7">
                  <c:v>88.699999999999932</c:v>
                </c:pt>
                <c:pt idx="8">
                  <c:v>1.7730000000000246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D17-46F6-BFC9-D83CE41E5A4D}"/>
            </c:ext>
          </c:extLst>
        </c:ser>
        <c:ser>
          <c:idx val="9"/>
          <c:order val="11"/>
          <c:tx>
            <c:strRef>
              <c:f>'[1]Voda-Paty'!$N$3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('[1]Voda-Paty'!$A$4:$A$11,'[1]Voda-Paty'!$A$14)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('[1]Voda-Paty'!$N$4:$N$11,'[1]Voda-Paty'!$N$14)</c:f>
              <c:numCache>
                <c:formatCode>General</c:formatCode>
                <c:ptCount val="9"/>
                <c:pt idx="0">
                  <c:v>85.399999999999977</c:v>
                </c:pt>
                <c:pt idx="1">
                  <c:v>83.699999999999818</c:v>
                </c:pt>
                <c:pt idx="2">
                  <c:v>72.299999999999955</c:v>
                </c:pt>
                <c:pt idx="3">
                  <c:v>86.799999999999955</c:v>
                </c:pt>
                <c:pt idx="4">
                  <c:v>59.800000000000068</c:v>
                </c:pt>
                <c:pt idx="5">
                  <c:v>89.599999999999909</c:v>
                </c:pt>
                <c:pt idx="6">
                  <c:v>74.600000000000023</c:v>
                </c:pt>
                <c:pt idx="7">
                  <c:v>87.400000000000091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D17-46F6-BFC9-D83CE41E5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86176"/>
        <c:axId val="174392064"/>
      </c:barChart>
      <c:catAx>
        <c:axId val="1743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92064"/>
        <c:crosses val="autoZero"/>
        <c:auto val="1"/>
        <c:lblAlgn val="ctr"/>
        <c:lblOffset val="100"/>
        <c:noMultiLvlLbl val="0"/>
      </c:catAx>
      <c:valAx>
        <c:axId val="17439206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238125</xdr:colOff>
      <xdr:row>26</xdr:row>
      <xdr:rowOff>114300</xdr:rowOff>
    </xdr:from>
    <xdr:to>
      <xdr:col>46</xdr:col>
      <xdr:colOff>352425</xdr:colOff>
      <xdr:row>43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47</xdr:col>
      <xdr:colOff>85725</xdr:colOff>
      <xdr:row>26</xdr:row>
      <xdr:rowOff>114300</xdr:rowOff>
    </xdr:from>
    <xdr:to>
      <xdr:col>57</xdr:col>
      <xdr:colOff>266700</xdr:colOff>
      <xdr:row>42</xdr:row>
      <xdr:rowOff>190500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50</xdr:col>
      <xdr:colOff>161925</xdr:colOff>
      <xdr:row>43</xdr:row>
      <xdr:rowOff>180974</xdr:rowOff>
    </xdr:from>
    <xdr:to>
      <xdr:col>57</xdr:col>
      <xdr:colOff>438150</xdr:colOff>
      <xdr:row>52</xdr:row>
      <xdr:rowOff>165099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171450</xdr:colOff>
      <xdr:row>52</xdr:row>
      <xdr:rowOff>171449</xdr:rowOff>
    </xdr:from>
    <xdr:to>
      <xdr:col>57</xdr:col>
      <xdr:colOff>457200</xdr:colOff>
      <xdr:row>62</xdr:row>
      <xdr:rowOff>139700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352425</xdr:colOff>
      <xdr:row>27</xdr:row>
      <xdr:rowOff>104775</xdr:rowOff>
    </xdr:from>
    <xdr:to>
      <xdr:col>20</xdr:col>
      <xdr:colOff>523875</xdr:colOff>
      <xdr:row>27</xdr:row>
      <xdr:rowOff>104776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 bwMode="auto">
        <a:xfrm flipV="1">
          <a:off x="12715875" y="53530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18</xdr:col>
      <xdr:colOff>352425</xdr:colOff>
      <xdr:row>26</xdr:row>
      <xdr:rowOff>104775</xdr:rowOff>
    </xdr:from>
    <xdr:to>
      <xdr:col>20</xdr:col>
      <xdr:colOff>523875</xdr:colOff>
      <xdr:row>26</xdr:row>
      <xdr:rowOff>104776</xdr:rowOff>
    </xdr:to>
    <xdr:cxnSp macro="">
      <xdr:nvCxnSpPr>
        <xdr:cNvPr id="8" name="Přímá spojovací šipka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 bwMode="auto">
        <a:xfrm flipV="1">
          <a:off x="12715875" y="51625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>
          <a:extLst>
            <a:ext uri="{FF2B5EF4-FFF2-40B4-BE49-F238E27FC236}">
              <a16:creationId xmlns:a16="http://schemas.microsoft.com/office/drawing/2014/main" id="{00000000-0008-0000-1500-00000D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>
          <a:extLst>
            <a:ext uri="{FF2B5EF4-FFF2-40B4-BE49-F238E27FC236}">
              <a16:creationId xmlns:a16="http://schemas.microsoft.com/office/drawing/2014/main" id="{00000000-0008-0000-1500-00000E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>
          <a:extLst>
            <a:ext uri="{FF2B5EF4-FFF2-40B4-BE49-F238E27FC236}">
              <a16:creationId xmlns:a16="http://schemas.microsoft.com/office/drawing/2014/main" id="{00000000-0008-0000-1500-00000F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>
          <a:extLst>
            <a:ext uri="{FF2B5EF4-FFF2-40B4-BE49-F238E27FC236}">
              <a16:creationId xmlns:a16="http://schemas.microsoft.com/office/drawing/2014/main" id="{00000000-0008-0000-1500-000010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14</xdr:row>
      <xdr:rowOff>133350</xdr:rowOff>
    </xdr:from>
    <xdr:to>
      <xdr:col>3</xdr:col>
      <xdr:colOff>828675</xdr:colOff>
      <xdr:row>14</xdr:row>
      <xdr:rowOff>134938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 bwMode="auto">
        <a:xfrm>
          <a:off x="4229100" y="3343275"/>
          <a:ext cx="771525" cy="158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>
          <a:extLst>
            <a:ext uri="{FF2B5EF4-FFF2-40B4-BE49-F238E27FC236}">
              <a16:creationId xmlns:a16="http://schemas.microsoft.com/office/drawing/2014/main" id="{00000000-0008-0000-1400-000087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>
          <a:extLst>
            <a:ext uri="{FF2B5EF4-FFF2-40B4-BE49-F238E27FC236}">
              <a16:creationId xmlns:a16="http://schemas.microsoft.com/office/drawing/2014/main" id="{00000000-0008-0000-1400-000088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>
          <a:extLst>
            <a:ext uri="{FF2B5EF4-FFF2-40B4-BE49-F238E27FC236}">
              <a16:creationId xmlns:a16="http://schemas.microsoft.com/office/drawing/2014/main" id="{00000000-0008-0000-1800-000015E0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6351</xdr:colOff>
      <xdr:row>14</xdr:row>
      <xdr:rowOff>95250</xdr:rowOff>
    </xdr:from>
    <xdr:to>
      <xdr:col>15</xdr:col>
      <xdr:colOff>19051</xdr:colOff>
      <xdr:row>30</xdr:row>
      <xdr:rowOff>133350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104774</xdr:rowOff>
    </xdr:from>
    <xdr:to>
      <xdr:col>20</xdr:col>
      <xdr:colOff>152400</xdr:colOff>
      <xdr:row>30</xdr:row>
      <xdr:rowOff>139699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412750</xdr:colOff>
      <xdr:row>14</xdr:row>
      <xdr:rowOff>120650</xdr:rowOff>
    </xdr:from>
    <xdr:to>
      <xdr:col>36</xdr:col>
      <xdr:colOff>412750</xdr:colOff>
      <xdr:row>30</xdr:row>
      <xdr:rowOff>158750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5BDCA76A-48D6-4392-9744-56B68B296D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Ivo%20Mraz\Documents\Z&#225;loha%20Ivo%202023_09_04\Osobn&#237;\Osobn&#237;\Kybalovka\Ode&#269;ty,%20faktury,%20objedn&#225;vky\Ode&#269;ty\Ode&#269;ty%202025\Ode&#269;ty%20-%20sum&#225;&#345;%20-%2012_25%20&#250;prava%20m&#283;&#345;idla.xlsx" TargetMode="External"/><Relationship Id="rId1" Type="http://schemas.openxmlformats.org/officeDocument/2006/relationships/externalLinkPath" Target="/Users/Ivo%20Mraz/Documents/Z&#225;loha%20Ivo%202023_09_04/Osobn&#237;/Osobn&#237;/Kybalovka/Ode&#269;ty,%20faktury,%20objedn&#225;vky/Ode&#269;ty/Ode&#269;ty%202025/Ode&#269;ty%20-%20sum&#225;&#345;%20-%2012_25%20&#250;prava%20m&#283;&#345;id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yty odkazy"/>
      <sheetName val="Byty hodnoty"/>
      <sheetName val="1850"/>
      <sheetName val="1851"/>
      <sheetName val="1852"/>
      <sheetName val="1853"/>
      <sheetName val="1854"/>
      <sheetName val="1855"/>
      <sheetName val="1856"/>
      <sheetName val="1857"/>
      <sheetName val="S1"/>
      <sheetName val="S2"/>
      <sheetName val="S3"/>
      <sheetName val="S4"/>
      <sheetName val="S5"/>
      <sheetName val="S6"/>
      <sheetName val="S7"/>
      <sheetName val="S8"/>
      <sheetName val="S9"/>
      <sheetName val="S10"/>
      <sheetName val="S11"/>
      <sheetName val="S12"/>
      <sheetName val="Rozdíly (2)"/>
      <sheetName val="S 2025"/>
      <sheetName val="S 2024 %"/>
      <sheetName val="Rozdíly"/>
      <sheetName val="Teplo-Paty"/>
      <sheetName val="Voda-Pa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3">
          <cell r="C3" t="str">
            <v>leden</v>
          </cell>
          <cell r="D3" t="str">
            <v>únor</v>
          </cell>
          <cell r="E3" t="str">
            <v>březen</v>
          </cell>
          <cell r="F3" t="str">
            <v>duben</v>
          </cell>
          <cell r="G3" t="str">
            <v>květen</v>
          </cell>
          <cell r="H3" t="str">
            <v>červen</v>
          </cell>
          <cell r="I3" t="str">
            <v>červenec</v>
          </cell>
          <cell r="J3" t="str">
            <v>srpen</v>
          </cell>
          <cell r="K3" t="str">
            <v>září</v>
          </cell>
          <cell r="L3" t="str">
            <v>říjen</v>
          </cell>
          <cell r="M3" t="str">
            <v>listopad</v>
          </cell>
          <cell r="N3" t="str">
            <v>prosinec</v>
          </cell>
        </row>
        <row r="4">
          <cell r="A4">
            <v>1850</v>
          </cell>
          <cell r="C4">
            <v>73.5</v>
          </cell>
          <cell r="D4">
            <v>68.300000000000011</v>
          </cell>
          <cell r="E4">
            <v>81.599999999999994</v>
          </cell>
          <cell r="F4">
            <v>87.899999999999977</v>
          </cell>
          <cell r="G4">
            <v>79.200000000000045</v>
          </cell>
          <cell r="H4">
            <v>76</v>
          </cell>
          <cell r="I4">
            <v>66.299999999999955</v>
          </cell>
          <cell r="J4">
            <v>75.700000000000045</v>
          </cell>
          <cell r="K4">
            <v>69.799999999999955</v>
          </cell>
          <cell r="L4">
            <v>65.800000000000068</v>
          </cell>
          <cell r="M4">
            <v>88</v>
          </cell>
          <cell r="N4">
            <v>85.399999999999977</v>
          </cell>
        </row>
        <row r="5">
          <cell r="A5">
            <v>1851</v>
          </cell>
          <cell r="C5">
            <v>80.500000000000014</v>
          </cell>
          <cell r="D5">
            <v>81.5</v>
          </cell>
          <cell r="E5">
            <v>94.599999999999966</v>
          </cell>
          <cell r="F5">
            <v>91.800000000000011</v>
          </cell>
          <cell r="G5">
            <v>88.699999999999989</v>
          </cell>
          <cell r="H5">
            <v>80.399999999999977</v>
          </cell>
          <cell r="I5">
            <v>86.200000000000045</v>
          </cell>
          <cell r="J5">
            <v>90.399999999999977</v>
          </cell>
          <cell r="K5">
            <v>85.399999999999977</v>
          </cell>
          <cell r="L5">
            <v>83.600000000000023</v>
          </cell>
          <cell r="M5">
            <v>92.000000000000114</v>
          </cell>
          <cell r="N5">
            <v>83.699999999999818</v>
          </cell>
        </row>
        <row r="6">
          <cell r="A6">
            <v>1852</v>
          </cell>
          <cell r="C6">
            <v>87.699999999999989</v>
          </cell>
          <cell r="D6">
            <v>80.400000000000006</v>
          </cell>
          <cell r="E6">
            <v>87.9</v>
          </cell>
          <cell r="F6">
            <v>88.899999999999977</v>
          </cell>
          <cell r="G6">
            <v>86.899999999999977</v>
          </cell>
          <cell r="H6">
            <v>72.800000000000068</v>
          </cell>
          <cell r="I6">
            <v>76.199999999999932</v>
          </cell>
          <cell r="J6">
            <v>78.600000000000023</v>
          </cell>
          <cell r="K6">
            <v>89.100000000000023</v>
          </cell>
          <cell r="L6">
            <v>86.200000000000045</v>
          </cell>
          <cell r="M6">
            <v>86.799999999999955</v>
          </cell>
          <cell r="N6">
            <v>72.299999999999955</v>
          </cell>
        </row>
        <row r="7">
          <cell r="A7">
            <v>1853</v>
          </cell>
          <cell r="C7">
            <v>79.899999999999977</v>
          </cell>
          <cell r="D7">
            <v>76.100000000000023</v>
          </cell>
          <cell r="E7">
            <v>96.5</v>
          </cell>
          <cell r="F7">
            <v>86.433999999999969</v>
          </cell>
          <cell r="G7">
            <v>82.38799999999992</v>
          </cell>
          <cell r="H7">
            <v>71.399999999999977</v>
          </cell>
          <cell r="I7">
            <v>65.33400000000006</v>
          </cell>
          <cell r="J7">
            <v>80.094000000000051</v>
          </cell>
          <cell r="K7">
            <v>85.071000000000026</v>
          </cell>
          <cell r="L7">
            <v>82.002999999999929</v>
          </cell>
          <cell r="M7">
            <v>84.726999999999975</v>
          </cell>
          <cell r="N7">
            <v>86.799999999999955</v>
          </cell>
        </row>
        <row r="8">
          <cell r="A8">
            <v>1854</v>
          </cell>
          <cell r="C8">
            <v>57.900000000000006</v>
          </cell>
          <cell r="D8">
            <v>58.600000000000009</v>
          </cell>
          <cell r="E8">
            <v>62.099999999999994</v>
          </cell>
          <cell r="F8">
            <v>66.299999999999983</v>
          </cell>
          <cell r="G8">
            <v>56.600000000000023</v>
          </cell>
          <cell r="H8">
            <v>50.699999999999989</v>
          </cell>
          <cell r="I8">
            <v>59.899999999999977</v>
          </cell>
          <cell r="J8">
            <v>63.300000000000068</v>
          </cell>
          <cell r="K8">
            <v>60.199999999999932</v>
          </cell>
          <cell r="L8">
            <v>56.700000000000045</v>
          </cell>
          <cell r="M8">
            <v>65.299999999999955</v>
          </cell>
          <cell r="N8">
            <v>59.800000000000068</v>
          </cell>
        </row>
        <row r="9">
          <cell r="A9">
            <v>1855</v>
          </cell>
          <cell r="C9">
            <v>72.8</v>
          </cell>
          <cell r="D9">
            <v>67.300000000000011</v>
          </cell>
          <cell r="E9">
            <v>81.400000000000006</v>
          </cell>
          <cell r="F9">
            <v>78.300000000000011</v>
          </cell>
          <cell r="G9">
            <v>73</v>
          </cell>
          <cell r="H9">
            <v>64.899999999999977</v>
          </cell>
          <cell r="I9">
            <v>66.799999999999955</v>
          </cell>
          <cell r="J9">
            <v>76.300000000000068</v>
          </cell>
          <cell r="K9">
            <v>75.799999999999955</v>
          </cell>
          <cell r="L9">
            <v>75.700000000000045</v>
          </cell>
          <cell r="M9">
            <v>79.600000000000023</v>
          </cell>
          <cell r="N9">
            <v>89.599999999999909</v>
          </cell>
        </row>
        <row r="10">
          <cell r="A10">
            <v>1856</v>
          </cell>
          <cell r="C10">
            <v>75.899999999999991</v>
          </cell>
          <cell r="D10">
            <v>63.099999999999994</v>
          </cell>
          <cell r="E10">
            <v>71.900000000000034</v>
          </cell>
          <cell r="F10">
            <v>75.599999999999966</v>
          </cell>
          <cell r="G10">
            <v>74</v>
          </cell>
          <cell r="H10">
            <v>61.5</v>
          </cell>
          <cell r="I10">
            <v>54.300000000000011</v>
          </cell>
          <cell r="J10">
            <v>62.5</v>
          </cell>
          <cell r="K10">
            <v>66.200000000000045</v>
          </cell>
          <cell r="L10">
            <v>72.599999999999909</v>
          </cell>
          <cell r="M10">
            <v>70.5</v>
          </cell>
          <cell r="N10">
            <v>74.600000000000023</v>
          </cell>
        </row>
        <row r="11">
          <cell r="A11">
            <v>1857</v>
          </cell>
          <cell r="C11">
            <v>86.6</v>
          </cell>
          <cell r="D11">
            <v>78.5</v>
          </cell>
          <cell r="E11">
            <v>78.300000000000011</v>
          </cell>
          <cell r="F11">
            <v>79.399999999999977</v>
          </cell>
          <cell r="G11">
            <v>80.300000000000011</v>
          </cell>
          <cell r="H11">
            <v>69.5</v>
          </cell>
          <cell r="I11">
            <v>67.399999999999977</v>
          </cell>
          <cell r="J11">
            <v>70.899999999999977</v>
          </cell>
          <cell r="K11">
            <v>79.300000000000068</v>
          </cell>
          <cell r="L11">
            <v>82</v>
          </cell>
          <cell r="M11">
            <v>88.699999999999932</v>
          </cell>
          <cell r="N11">
            <v>87.400000000000091</v>
          </cell>
        </row>
        <row r="14">
          <cell r="A14" t="str">
            <v>Zahrada</v>
          </cell>
          <cell r="C14">
            <v>0</v>
          </cell>
          <cell r="D14">
            <v>0</v>
          </cell>
          <cell r="E14">
            <v>0</v>
          </cell>
          <cell r="F14">
            <v>8.5660000000000309</v>
          </cell>
          <cell r="G14">
            <v>15.412000000000035</v>
          </cell>
          <cell r="H14">
            <v>24</v>
          </cell>
          <cell r="I14">
            <v>19.966000000000008</v>
          </cell>
          <cell r="J14">
            <v>23.905999999999949</v>
          </cell>
          <cell r="K14">
            <v>10.828999999999951</v>
          </cell>
          <cell r="L14">
            <v>1.1970000000000027</v>
          </cell>
          <cell r="M14">
            <v>1.7730000000000246</v>
          </cell>
          <cell r="N1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A14C-F334-4187-B0B8-D51A38011903}">
  <dimension ref="A1:H195"/>
  <sheetViews>
    <sheetView workbookViewId="0">
      <selection activeCell="M14" sqref="M14"/>
    </sheetView>
  </sheetViews>
  <sheetFormatPr defaultRowHeight="14.5" x14ac:dyDescent="0.35"/>
  <cols>
    <col min="1" max="1" width="8.54296875" style="1" customWidth="1"/>
    <col min="2" max="2" width="15.54296875" customWidth="1"/>
    <col min="3" max="3" width="13.7265625" style="159" customWidth="1"/>
    <col min="4" max="4" width="11.90625" style="1" customWidth="1"/>
    <col min="5" max="5" width="10.1796875" customWidth="1"/>
  </cols>
  <sheetData>
    <row r="1" spans="1:5" s="1" customFormat="1" ht="21" customHeight="1" x14ac:dyDescent="0.5">
      <c r="A1" s="346" t="s">
        <v>2</v>
      </c>
      <c r="B1" s="347">
        <v>1850</v>
      </c>
      <c r="C1" s="348" t="s">
        <v>260</v>
      </c>
      <c r="D1" s="349" t="s">
        <v>261</v>
      </c>
      <c r="E1" s="350" t="s">
        <v>262</v>
      </c>
    </row>
    <row r="2" spans="1:5" s="1" customFormat="1" x14ac:dyDescent="0.35">
      <c r="A2" s="369">
        <v>1</v>
      </c>
      <c r="B2" s="351" t="s">
        <v>244</v>
      </c>
      <c r="C2" s="352">
        <f>'1850'!C4</f>
        <v>241345698</v>
      </c>
      <c r="D2" s="361">
        <f>'1850'!P2</f>
        <v>0</v>
      </c>
      <c r="E2" s="353">
        <f>'1850'!P4</f>
        <v>0</v>
      </c>
    </row>
    <row r="3" spans="1:5" x14ac:dyDescent="0.35">
      <c r="A3" s="369"/>
      <c r="B3" s="351" t="s">
        <v>245</v>
      </c>
      <c r="C3" s="352">
        <f>'1850'!C5</f>
        <v>71182278</v>
      </c>
      <c r="D3" s="361">
        <f>D2</f>
        <v>0</v>
      </c>
      <c r="E3" s="353">
        <f>'1850'!P5</f>
        <v>0</v>
      </c>
    </row>
    <row r="4" spans="1:5" x14ac:dyDescent="0.35">
      <c r="A4" s="369">
        <v>2</v>
      </c>
      <c r="B4" s="351" t="s">
        <v>244</v>
      </c>
      <c r="C4" s="352">
        <f>'1850'!C6</f>
        <v>241345701</v>
      </c>
      <c r="D4" s="361">
        <f t="shared" ref="D4:D21" si="0">D3</f>
        <v>0</v>
      </c>
      <c r="E4" s="353">
        <f>'1850'!P6</f>
        <v>0</v>
      </c>
    </row>
    <row r="5" spans="1:5" x14ac:dyDescent="0.35">
      <c r="A5" s="369"/>
      <c r="B5" s="351" t="s">
        <v>245</v>
      </c>
      <c r="C5" s="352">
        <f>'1850'!C7</f>
        <v>71182225</v>
      </c>
      <c r="D5" s="361">
        <f t="shared" si="0"/>
        <v>0</v>
      </c>
      <c r="E5" s="353">
        <f>'1850'!P7</f>
        <v>0</v>
      </c>
    </row>
    <row r="6" spans="1:5" x14ac:dyDescent="0.35">
      <c r="A6" s="369">
        <v>3</v>
      </c>
      <c r="B6" s="351" t="s">
        <v>244</v>
      </c>
      <c r="C6" s="352">
        <f>'1850'!C8</f>
        <v>241345691</v>
      </c>
      <c r="D6" s="361">
        <f t="shared" si="0"/>
        <v>0</v>
      </c>
      <c r="E6" s="353">
        <f>'1850'!P8</f>
        <v>0</v>
      </c>
    </row>
    <row r="7" spans="1:5" x14ac:dyDescent="0.35">
      <c r="A7" s="369"/>
      <c r="B7" s="351" t="s">
        <v>245</v>
      </c>
      <c r="C7" s="352">
        <f>'1850'!C9</f>
        <v>71182284</v>
      </c>
      <c r="D7" s="361">
        <f t="shared" si="0"/>
        <v>0</v>
      </c>
      <c r="E7" s="353">
        <f>'1850'!P9</f>
        <v>0</v>
      </c>
    </row>
    <row r="8" spans="1:5" x14ac:dyDescent="0.35">
      <c r="A8" s="369">
        <v>4</v>
      </c>
      <c r="B8" s="351" t="s">
        <v>244</v>
      </c>
      <c r="C8" s="352">
        <f>'1850'!C10</f>
        <v>241345696</v>
      </c>
      <c r="D8" s="361">
        <f t="shared" si="0"/>
        <v>0</v>
      </c>
      <c r="E8" s="353">
        <f>'1850'!P10</f>
        <v>0</v>
      </c>
    </row>
    <row r="9" spans="1:5" x14ac:dyDescent="0.35">
      <c r="A9" s="369"/>
      <c r="B9" s="351" t="s">
        <v>245</v>
      </c>
      <c r="C9" s="352">
        <f>'1850'!C11</f>
        <v>71182235</v>
      </c>
      <c r="D9" s="361">
        <f t="shared" si="0"/>
        <v>0</v>
      </c>
      <c r="E9" s="353">
        <f>'1850'!P11</f>
        <v>0</v>
      </c>
    </row>
    <row r="10" spans="1:5" x14ac:dyDescent="0.35">
      <c r="A10" s="369">
        <v>5</v>
      </c>
      <c r="B10" s="351" t="s">
        <v>244</v>
      </c>
      <c r="C10" s="352">
        <f>'1850'!C12</f>
        <v>241345690</v>
      </c>
      <c r="D10" s="361">
        <f t="shared" si="0"/>
        <v>0</v>
      </c>
      <c r="E10" s="353">
        <f>'1850'!P12</f>
        <v>0</v>
      </c>
    </row>
    <row r="11" spans="1:5" x14ac:dyDescent="0.35">
      <c r="A11" s="369"/>
      <c r="B11" s="351" t="s">
        <v>245</v>
      </c>
      <c r="C11" s="352">
        <f>'1850'!C13</f>
        <v>71182238</v>
      </c>
      <c r="D11" s="361">
        <f t="shared" si="0"/>
        <v>0</v>
      </c>
      <c r="E11" s="353">
        <f>'1850'!P13</f>
        <v>0</v>
      </c>
    </row>
    <row r="12" spans="1:5" x14ac:dyDescent="0.35">
      <c r="A12" s="369">
        <v>6</v>
      </c>
      <c r="B12" s="351" t="s">
        <v>244</v>
      </c>
      <c r="C12" s="352">
        <f>'1850'!C14</f>
        <v>241345700</v>
      </c>
      <c r="D12" s="361">
        <f t="shared" si="0"/>
        <v>0</v>
      </c>
      <c r="E12" s="353">
        <f>'1850'!P14</f>
        <v>0</v>
      </c>
    </row>
    <row r="13" spans="1:5" x14ac:dyDescent="0.35">
      <c r="A13" s="369"/>
      <c r="B13" s="351" t="s">
        <v>245</v>
      </c>
      <c r="C13" s="352">
        <f>'1850'!C15</f>
        <v>71182269</v>
      </c>
      <c r="D13" s="361">
        <f t="shared" si="0"/>
        <v>0</v>
      </c>
      <c r="E13" s="353">
        <f>'1850'!P15</f>
        <v>0</v>
      </c>
    </row>
    <row r="14" spans="1:5" x14ac:dyDescent="0.35">
      <c r="A14" s="369">
        <v>7</v>
      </c>
      <c r="B14" s="351" t="s">
        <v>244</v>
      </c>
      <c r="C14" s="352">
        <f>'1850'!C16</f>
        <v>241345702</v>
      </c>
      <c r="D14" s="361">
        <f t="shared" si="0"/>
        <v>0</v>
      </c>
      <c r="E14" s="353">
        <f>'1850'!P16</f>
        <v>0</v>
      </c>
    </row>
    <row r="15" spans="1:5" x14ac:dyDescent="0.35">
      <c r="A15" s="369"/>
      <c r="B15" s="351" t="s">
        <v>245</v>
      </c>
      <c r="C15" s="352">
        <f>'1850'!C17</f>
        <v>71182265</v>
      </c>
      <c r="D15" s="361">
        <f t="shared" si="0"/>
        <v>0</v>
      </c>
      <c r="E15" s="353">
        <f>'1850'!P17</f>
        <v>0</v>
      </c>
    </row>
    <row r="16" spans="1:5" x14ac:dyDescent="0.35">
      <c r="A16" s="369">
        <v>8</v>
      </c>
      <c r="B16" s="351" t="s">
        <v>244</v>
      </c>
      <c r="C16" s="352">
        <f>'1850'!C18</f>
        <v>241345699</v>
      </c>
      <c r="D16" s="361">
        <f t="shared" si="0"/>
        <v>0</v>
      </c>
      <c r="E16" s="353">
        <f>'1850'!P18</f>
        <v>0</v>
      </c>
    </row>
    <row r="17" spans="1:5" x14ac:dyDescent="0.35">
      <c r="A17" s="369"/>
      <c r="B17" s="351" t="s">
        <v>245</v>
      </c>
      <c r="C17" s="352">
        <f>'1850'!C19</f>
        <v>71182245</v>
      </c>
      <c r="D17" s="361">
        <f t="shared" si="0"/>
        <v>0</v>
      </c>
      <c r="E17" s="353">
        <f>'1850'!P19</f>
        <v>0</v>
      </c>
    </row>
    <row r="18" spans="1:5" x14ac:dyDescent="0.35">
      <c r="A18" s="369">
        <v>9</v>
      </c>
      <c r="B18" s="351" t="s">
        <v>244</v>
      </c>
      <c r="C18" s="352">
        <f>'1850'!C20</f>
        <v>241345692</v>
      </c>
      <c r="D18" s="361">
        <f t="shared" si="0"/>
        <v>0</v>
      </c>
      <c r="E18" s="353">
        <f>'1850'!P20</f>
        <v>0</v>
      </c>
    </row>
    <row r="19" spans="1:5" x14ac:dyDescent="0.35">
      <c r="A19" s="369"/>
      <c r="B19" s="351" t="s">
        <v>245</v>
      </c>
      <c r="C19" s="352">
        <f>'1850'!C21</f>
        <v>71182280</v>
      </c>
      <c r="D19" s="361">
        <f t="shared" si="0"/>
        <v>0</v>
      </c>
      <c r="E19" s="353">
        <f>'1850'!P21</f>
        <v>0</v>
      </c>
    </row>
    <row r="20" spans="1:5" x14ac:dyDescent="0.35">
      <c r="A20" s="369">
        <v>10</v>
      </c>
      <c r="B20" s="351" t="s">
        <v>244</v>
      </c>
      <c r="C20" s="352">
        <f>'1850'!C22</f>
        <v>241345695</v>
      </c>
      <c r="D20" s="361">
        <f t="shared" si="0"/>
        <v>0</v>
      </c>
      <c r="E20" s="353">
        <f>'1850'!P22</f>
        <v>0</v>
      </c>
    </row>
    <row r="21" spans="1:5" ht="15" thickBot="1" x14ac:dyDescent="0.4">
      <c r="A21" s="370"/>
      <c r="B21" s="355" t="s">
        <v>245</v>
      </c>
      <c r="C21" s="356">
        <f>'1850'!C23</f>
        <v>71182243</v>
      </c>
      <c r="D21" s="362">
        <f t="shared" si="0"/>
        <v>0</v>
      </c>
      <c r="E21" s="357">
        <f>'1850'!P23</f>
        <v>0</v>
      </c>
    </row>
    <row r="22" spans="1:5" ht="15" thickBot="1" x14ac:dyDescent="0.4"/>
    <row r="23" spans="1:5" ht="21" x14ac:dyDescent="0.5">
      <c r="A23" s="346" t="s">
        <v>2</v>
      </c>
      <c r="B23" s="347">
        <v>1851</v>
      </c>
      <c r="C23" s="348" t="s">
        <v>260</v>
      </c>
      <c r="D23" s="349" t="s">
        <v>261</v>
      </c>
      <c r="E23" s="350" t="s">
        <v>262</v>
      </c>
    </row>
    <row r="24" spans="1:5" s="1" customFormat="1" ht="21" customHeight="1" x14ac:dyDescent="0.35">
      <c r="A24" s="369">
        <v>1</v>
      </c>
      <c r="B24" s="351" t="s">
        <v>244</v>
      </c>
      <c r="C24" s="352">
        <f>'1851'!D4</f>
        <v>241010644</v>
      </c>
      <c r="D24" s="361">
        <f>D2</f>
        <v>0</v>
      </c>
      <c r="E24" s="353">
        <f>'1851'!Q4</f>
        <v>0</v>
      </c>
    </row>
    <row r="25" spans="1:5" s="1" customFormat="1" x14ac:dyDescent="0.35">
      <c r="A25" s="369"/>
      <c r="B25" s="351" t="s">
        <v>245</v>
      </c>
      <c r="C25" s="352">
        <f>'1851'!D5</f>
        <v>71182262</v>
      </c>
      <c r="D25" s="361">
        <f>D24</f>
        <v>0</v>
      </c>
      <c r="E25" s="353">
        <f>'1851'!Q5</f>
        <v>0</v>
      </c>
    </row>
    <row r="26" spans="1:5" x14ac:dyDescent="0.35">
      <c r="A26" s="354">
        <v>2</v>
      </c>
      <c r="B26" s="351" t="s">
        <v>244</v>
      </c>
      <c r="C26" s="352">
        <f>'1851'!D6</f>
        <v>241010636</v>
      </c>
      <c r="D26" s="361">
        <f t="shared" ref="D26:D43" si="1">D25</f>
        <v>0</v>
      </c>
      <c r="E26" s="353">
        <f>'1851'!Q6</f>
        <v>0</v>
      </c>
    </row>
    <row r="27" spans="1:5" x14ac:dyDescent="0.35">
      <c r="A27" s="354" t="s">
        <v>19</v>
      </c>
      <c r="B27" s="351" t="s">
        <v>245</v>
      </c>
      <c r="C27" s="352">
        <f>'1851'!D7</f>
        <v>71182271</v>
      </c>
      <c r="D27" s="361">
        <f t="shared" si="1"/>
        <v>0</v>
      </c>
      <c r="E27" s="353">
        <f>'1851'!Q7</f>
        <v>0</v>
      </c>
    </row>
    <row r="28" spans="1:5" x14ac:dyDescent="0.35">
      <c r="A28" s="354">
        <v>5</v>
      </c>
      <c r="B28" s="351" t="s">
        <v>244</v>
      </c>
      <c r="C28" s="352">
        <f>'1851'!D8</f>
        <v>241010648</v>
      </c>
      <c r="D28" s="361">
        <f t="shared" si="1"/>
        <v>0</v>
      </c>
      <c r="E28" s="353">
        <f>'1851'!Q8</f>
        <v>0</v>
      </c>
    </row>
    <row r="29" spans="1:5" x14ac:dyDescent="0.35">
      <c r="A29" s="354" t="s">
        <v>20</v>
      </c>
      <c r="B29" s="351" t="s">
        <v>245</v>
      </c>
      <c r="C29" s="352">
        <f>'1851'!D9</f>
        <v>71182241</v>
      </c>
      <c r="D29" s="361">
        <f t="shared" si="1"/>
        <v>0</v>
      </c>
      <c r="E29" s="353">
        <f>'1851'!Q9</f>
        <v>0</v>
      </c>
    </row>
    <row r="30" spans="1:5" x14ac:dyDescent="0.35">
      <c r="A30" s="369">
        <v>4</v>
      </c>
      <c r="B30" s="351" t="s">
        <v>244</v>
      </c>
      <c r="C30" s="352">
        <f>'1851'!D10</f>
        <v>241010642</v>
      </c>
      <c r="D30" s="361">
        <f t="shared" si="1"/>
        <v>0</v>
      </c>
      <c r="E30" s="353">
        <f>'1851'!Q10</f>
        <v>0</v>
      </c>
    </row>
    <row r="31" spans="1:5" x14ac:dyDescent="0.35">
      <c r="A31" s="369"/>
      <c r="B31" s="351" t="s">
        <v>245</v>
      </c>
      <c r="C31" s="352">
        <f>'1851'!D11</f>
        <v>71182237</v>
      </c>
      <c r="D31" s="361">
        <f t="shared" si="1"/>
        <v>0</v>
      </c>
      <c r="E31" s="353">
        <f>'1851'!Q11</f>
        <v>0</v>
      </c>
    </row>
    <row r="32" spans="1:5" x14ac:dyDescent="0.35">
      <c r="A32" s="354">
        <v>9</v>
      </c>
      <c r="B32" s="351" t="s">
        <v>244</v>
      </c>
      <c r="C32" s="352">
        <f>'1851'!D12</f>
        <v>241010637</v>
      </c>
      <c r="D32" s="361">
        <f t="shared" si="1"/>
        <v>0</v>
      </c>
      <c r="E32" s="353">
        <f>'1851'!Q12</f>
        <v>0</v>
      </c>
    </row>
    <row r="33" spans="1:5" x14ac:dyDescent="0.35">
      <c r="A33" s="354" t="s">
        <v>21</v>
      </c>
      <c r="B33" s="351" t="s">
        <v>245</v>
      </c>
      <c r="C33" s="352">
        <f>'1851'!D13</f>
        <v>71182221</v>
      </c>
      <c r="D33" s="361">
        <f t="shared" si="1"/>
        <v>0</v>
      </c>
      <c r="E33" s="353">
        <f>'1851'!Q13</f>
        <v>0</v>
      </c>
    </row>
    <row r="34" spans="1:5" x14ac:dyDescent="0.35">
      <c r="A34" s="354">
        <v>15</v>
      </c>
      <c r="B34" s="351" t="s">
        <v>244</v>
      </c>
      <c r="C34" s="352">
        <f>'1851'!D14</f>
        <v>241010633</v>
      </c>
      <c r="D34" s="361">
        <f t="shared" si="1"/>
        <v>0</v>
      </c>
      <c r="E34" s="353">
        <f>'1851'!Q14</f>
        <v>0</v>
      </c>
    </row>
    <row r="35" spans="1:5" x14ac:dyDescent="0.35">
      <c r="A35" s="354" t="s">
        <v>22</v>
      </c>
      <c r="B35" s="351" t="s">
        <v>245</v>
      </c>
      <c r="C35" s="352">
        <f>'1851'!D15</f>
        <v>71182276</v>
      </c>
      <c r="D35" s="361">
        <f t="shared" si="1"/>
        <v>0</v>
      </c>
      <c r="E35" s="353">
        <f>'1851'!Q15</f>
        <v>0</v>
      </c>
    </row>
    <row r="36" spans="1:5" x14ac:dyDescent="0.35">
      <c r="A36" s="369">
        <v>7</v>
      </c>
      <c r="B36" s="351" t="s">
        <v>244</v>
      </c>
      <c r="C36" s="352">
        <f>'1851'!D16</f>
        <v>241010643</v>
      </c>
      <c r="D36" s="361">
        <f t="shared" si="1"/>
        <v>0</v>
      </c>
      <c r="E36" s="353">
        <f>'1851'!Q16</f>
        <v>0</v>
      </c>
    </row>
    <row r="37" spans="1:5" x14ac:dyDescent="0.35">
      <c r="A37" s="369"/>
      <c r="B37" s="351" t="s">
        <v>245</v>
      </c>
      <c r="C37" s="352">
        <f>'1851'!D17</f>
        <v>71182256</v>
      </c>
      <c r="D37" s="361">
        <f t="shared" si="1"/>
        <v>0</v>
      </c>
      <c r="E37" s="353">
        <f>'1851'!Q17</f>
        <v>0</v>
      </c>
    </row>
    <row r="38" spans="1:5" x14ac:dyDescent="0.35">
      <c r="A38" s="354">
        <v>13</v>
      </c>
      <c r="B38" s="351" t="s">
        <v>244</v>
      </c>
      <c r="C38" s="352">
        <f>'1851'!D18</f>
        <v>241010631</v>
      </c>
      <c r="D38" s="361">
        <f t="shared" si="1"/>
        <v>0</v>
      </c>
      <c r="E38" s="353">
        <f>'1851'!Q18</f>
        <v>0</v>
      </c>
    </row>
    <row r="39" spans="1:5" x14ac:dyDescent="0.35">
      <c r="A39" s="354" t="s">
        <v>23</v>
      </c>
      <c r="B39" s="351" t="s">
        <v>245</v>
      </c>
      <c r="C39" s="352">
        <f>'1851'!D19</f>
        <v>71182279</v>
      </c>
      <c r="D39" s="361">
        <f t="shared" si="1"/>
        <v>0</v>
      </c>
      <c r="E39" s="353">
        <f>'1851'!Q19</f>
        <v>0</v>
      </c>
    </row>
    <row r="40" spans="1:5" x14ac:dyDescent="0.35">
      <c r="A40" s="369">
        <v>14</v>
      </c>
      <c r="B40" s="351" t="s">
        <v>244</v>
      </c>
      <c r="C40" s="352">
        <f>'1851'!D20</f>
        <v>241010632</v>
      </c>
      <c r="D40" s="361">
        <f t="shared" si="1"/>
        <v>0</v>
      </c>
      <c r="E40" s="353">
        <f>'1851'!Q20</f>
        <v>0</v>
      </c>
    </row>
    <row r="41" spans="1:5" x14ac:dyDescent="0.35">
      <c r="A41" s="369"/>
      <c r="B41" s="351" t="s">
        <v>245</v>
      </c>
      <c r="C41" s="352">
        <f>'1851'!D21</f>
        <v>71182252</v>
      </c>
      <c r="D41" s="361">
        <f t="shared" si="1"/>
        <v>0</v>
      </c>
      <c r="E41" s="353">
        <f>'1851'!Q21</f>
        <v>0</v>
      </c>
    </row>
    <row r="42" spans="1:5" x14ac:dyDescent="0.35">
      <c r="A42" s="369">
        <v>10</v>
      </c>
      <c r="B42" s="351" t="s">
        <v>244</v>
      </c>
      <c r="C42" s="352">
        <f>'1851'!D22</f>
        <v>241010635</v>
      </c>
      <c r="D42" s="361">
        <f t="shared" si="1"/>
        <v>0</v>
      </c>
      <c r="E42" s="353">
        <f>'1851'!Q22</f>
        <v>0</v>
      </c>
    </row>
    <row r="43" spans="1:5" ht="15" thickBot="1" x14ac:dyDescent="0.4">
      <c r="A43" s="370"/>
      <c r="B43" s="355" t="s">
        <v>245</v>
      </c>
      <c r="C43" s="356">
        <f>'1851'!D23</f>
        <v>71182234</v>
      </c>
      <c r="D43" s="362">
        <f t="shared" si="1"/>
        <v>0</v>
      </c>
      <c r="E43" s="357">
        <f>'1851'!Q23</f>
        <v>0</v>
      </c>
    </row>
    <row r="44" spans="1:5" ht="15" thickBot="1" x14ac:dyDescent="0.4"/>
    <row r="45" spans="1:5" ht="15" thickBot="1" x14ac:dyDescent="0.4">
      <c r="A45" s="338">
        <v>3</v>
      </c>
      <c r="B45" s="320" t="s">
        <v>251</v>
      </c>
      <c r="C45" s="323">
        <f>'1851'!D33</f>
        <v>241010630</v>
      </c>
      <c r="D45" s="363">
        <f>D43</f>
        <v>0</v>
      </c>
      <c r="E45" s="339">
        <f>'1851'!Q33</f>
        <v>0</v>
      </c>
    </row>
    <row r="46" spans="1:5" ht="15" thickBot="1" x14ac:dyDescent="0.4">
      <c r="A46" s="340">
        <v>6</v>
      </c>
      <c r="B46" s="10" t="s">
        <v>251</v>
      </c>
      <c r="C46" s="323">
        <f>'1851'!D34</f>
        <v>241010640</v>
      </c>
      <c r="D46" s="364">
        <f>D45</f>
        <v>0</v>
      </c>
      <c r="E46" s="335">
        <f>'1851'!Q34</f>
        <v>0</v>
      </c>
    </row>
    <row r="47" spans="1:5" ht="15" thickBot="1" x14ac:dyDescent="0.4">
      <c r="A47" s="340">
        <v>8</v>
      </c>
      <c r="B47" s="10" t="s">
        <v>251</v>
      </c>
      <c r="C47" s="323">
        <f>'1851'!D35</f>
        <v>241010650</v>
      </c>
      <c r="D47" s="364">
        <f>D46</f>
        <v>0</v>
      </c>
      <c r="E47" s="335">
        <f>'1851'!Q35</f>
        <v>0</v>
      </c>
    </row>
    <row r="48" spans="1:5" ht="15" thickBot="1" x14ac:dyDescent="0.4">
      <c r="A48" s="340">
        <v>11</v>
      </c>
      <c r="B48" s="10" t="s">
        <v>252</v>
      </c>
      <c r="C48" s="323">
        <f>'1851'!D36</f>
        <v>241010639</v>
      </c>
      <c r="D48" s="364">
        <f>D47</f>
        <v>0</v>
      </c>
      <c r="E48" s="335">
        <f>'1851'!Q36</f>
        <v>0</v>
      </c>
    </row>
    <row r="49" spans="1:8" ht="15" thickBot="1" x14ac:dyDescent="0.4">
      <c r="A49" s="341">
        <v>12</v>
      </c>
      <c r="B49" s="282" t="s">
        <v>251</v>
      </c>
      <c r="C49" s="342">
        <f>'1851'!D37</f>
        <v>241010641</v>
      </c>
      <c r="D49" s="365">
        <f>D48</f>
        <v>0</v>
      </c>
      <c r="E49" s="336">
        <f>'1851'!Q37</f>
        <v>0</v>
      </c>
    </row>
    <row r="50" spans="1:8" ht="15" thickBot="1" x14ac:dyDescent="0.4"/>
    <row r="51" spans="1:8" ht="15" thickBot="1" x14ac:dyDescent="0.4">
      <c r="A51" s="343">
        <v>2</v>
      </c>
      <c r="B51" s="326" t="s">
        <v>253</v>
      </c>
      <c r="C51" s="330">
        <f>'1851'!D40</f>
        <v>240093441</v>
      </c>
      <c r="D51" s="363">
        <f>D49</f>
        <v>0</v>
      </c>
      <c r="E51" s="163">
        <f>'1851'!Q40</f>
        <v>0</v>
      </c>
    </row>
    <row r="52" spans="1:8" ht="15" thickBot="1" x14ac:dyDescent="0.4">
      <c r="A52" s="337">
        <v>3</v>
      </c>
      <c r="B52" s="327" t="s">
        <v>253</v>
      </c>
      <c r="C52" s="330">
        <f>'1851'!D41</f>
        <v>240093452</v>
      </c>
      <c r="D52" s="364">
        <f t="shared" ref="D52:D60" si="2">D51</f>
        <v>0</v>
      </c>
      <c r="E52" s="344">
        <f>'1851'!Q41</f>
        <v>0</v>
      </c>
    </row>
    <row r="53" spans="1:8" ht="15" thickBot="1" x14ac:dyDescent="0.4">
      <c r="A53" s="337">
        <v>5</v>
      </c>
      <c r="B53" s="327" t="s">
        <v>253</v>
      </c>
      <c r="C53" s="330">
        <f>'1851'!D42</f>
        <v>240093448</v>
      </c>
      <c r="D53" s="364">
        <f t="shared" si="2"/>
        <v>0</v>
      </c>
      <c r="E53" s="344">
        <f>'1851'!Q42</f>
        <v>0</v>
      </c>
    </row>
    <row r="54" spans="1:8" ht="15" thickBot="1" x14ac:dyDescent="0.4">
      <c r="A54" s="337">
        <v>6</v>
      </c>
      <c r="B54" s="327" t="s">
        <v>253</v>
      </c>
      <c r="C54" s="330">
        <f>'1851'!D43</f>
        <v>240093431</v>
      </c>
      <c r="D54" s="364">
        <f t="shared" si="2"/>
        <v>0</v>
      </c>
      <c r="E54" s="344">
        <f>'1851'!Q43</f>
        <v>0</v>
      </c>
    </row>
    <row r="55" spans="1:8" ht="15" thickBot="1" x14ac:dyDescent="0.4">
      <c r="A55" s="337">
        <v>9</v>
      </c>
      <c r="B55" s="327" t="s">
        <v>253</v>
      </c>
      <c r="C55" s="330">
        <f>'1851'!D44</f>
        <v>240093433</v>
      </c>
      <c r="D55" s="364">
        <f t="shared" si="2"/>
        <v>0</v>
      </c>
      <c r="E55" s="344">
        <f>'1851'!Q44</f>
        <v>0</v>
      </c>
    </row>
    <row r="56" spans="1:8" ht="15" thickBot="1" x14ac:dyDescent="0.4">
      <c r="A56" s="337">
        <v>8</v>
      </c>
      <c r="B56" s="327" t="s">
        <v>253</v>
      </c>
      <c r="C56" s="330">
        <f>'1851'!D45</f>
        <v>240093446</v>
      </c>
      <c r="D56" s="364">
        <f t="shared" si="2"/>
        <v>0</v>
      </c>
      <c r="E56" s="344">
        <f>'1851'!Q45</f>
        <v>0</v>
      </c>
    </row>
    <row r="57" spans="1:8" ht="15" thickBot="1" x14ac:dyDescent="0.4">
      <c r="A57" s="337">
        <v>15</v>
      </c>
      <c r="B57" s="327" t="s">
        <v>253</v>
      </c>
      <c r="C57" s="330">
        <f>'1851'!D46</f>
        <v>240093449</v>
      </c>
      <c r="D57" s="364">
        <f t="shared" si="2"/>
        <v>0</v>
      </c>
      <c r="E57" s="344">
        <f>'1851'!Q46</f>
        <v>0</v>
      </c>
    </row>
    <row r="58" spans="1:8" ht="15" thickBot="1" x14ac:dyDescent="0.4">
      <c r="A58" s="337">
        <v>11</v>
      </c>
      <c r="B58" s="327" t="s">
        <v>253</v>
      </c>
      <c r="C58" s="330">
        <f>'1851'!D47</f>
        <v>240092369</v>
      </c>
      <c r="D58" s="364">
        <f t="shared" si="2"/>
        <v>0</v>
      </c>
      <c r="E58" s="344">
        <f>'1851'!Q47</f>
        <v>0</v>
      </c>
    </row>
    <row r="59" spans="1:8" ht="15" thickBot="1" x14ac:dyDescent="0.4">
      <c r="A59" s="337">
        <v>13</v>
      </c>
      <c r="B59" s="327" t="s">
        <v>253</v>
      </c>
      <c r="C59" s="330">
        <f>'1851'!D48</f>
        <v>240093432</v>
      </c>
      <c r="D59" s="364">
        <f t="shared" si="2"/>
        <v>0</v>
      </c>
      <c r="E59" s="344">
        <f>'1851'!Q48</f>
        <v>0</v>
      </c>
    </row>
    <row r="60" spans="1:8" ht="15" thickBot="1" x14ac:dyDescent="0.4">
      <c r="A60" s="345">
        <v>12</v>
      </c>
      <c r="B60" s="328" t="s">
        <v>253</v>
      </c>
      <c r="C60" s="342">
        <f>'1851'!D49</f>
        <v>240093416</v>
      </c>
      <c r="D60" s="365">
        <f t="shared" si="2"/>
        <v>0</v>
      </c>
      <c r="E60" s="336">
        <f>'1851'!Q49</f>
        <v>0</v>
      </c>
    </row>
    <row r="61" spans="1:8" ht="15" thickBot="1" x14ac:dyDescent="0.4">
      <c r="E61" s="9"/>
    </row>
    <row r="62" spans="1:8" ht="21" x14ac:dyDescent="0.5">
      <c r="A62" s="346" t="s">
        <v>2</v>
      </c>
      <c r="B62" s="347">
        <v>1852</v>
      </c>
      <c r="C62" s="348" t="s">
        <v>260</v>
      </c>
      <c r="D62" s="349" t="s">
        <v>261</v>
      </c>
      <c r="E62" s="350" t="s">
        <v>262</v>
      </c>
    </row>
    <row r="63" spans="1:8" ht="14.5" customHeight="1" x14ac:dyDescent="0.35">
      <c r="A63" s="369">
        <v>1</v>
      </c>
      <c r="B63" s="351" t="s">
        <v>244</v>
      </c>
      <c r="C63" s="352">
        <f>'1852'!C4</f>
        <v>241345697</v>
      </c>
      <c r="D63" s="361">
        <f>D2</f>
        <v>0</v>
      </c>
      <c r="E63" s="353">
        <f>'1852'!P4</f>
        <v>0</v>
      </c>
    </row>
    <row r="64" spans="1:8" s="1" customFormat="1" ht="14.5" customHeight="1" x14ac:dyDescent="0.35">
      <c r="A64" s="369"/>
      <c r="B64" s="351" t="s">
        <v>245</v>
      </c>
      <c r="C64" s="352">
        <f>'1852'!C5</f>
        <v>71182233</v>
      </c>
      <c r="D64" s="361">
        <f>D63</f>
        <v>0</v>
      </c>
      <c r="E64" s="353">
        <f>'1852'!P5</f>
        <v>0</v>
      </c>
      <c r="G64"/>
      <c r="H64"/>
    </row>
    <row r="65" spans="1:8" s="1" customFormat="1" x14ac:dyDescent="0.35">
      <c r="A65" s="369">
        <v>2</v>
      </c>
      <c r="B65" s="351" t="s">
        <v>244</v>
      </c>
      <c r="C65" s="352">
        <f>'1852'!C6</f>
        <v>241345687</v>
      </c>
      <c r="D65" s="361">
        <f>D64</f>
        <v>0</v>
      </c>
      <c r="E65" s="353">
        <f>'1852'!P6</f>
        <v>0</v>
      </c>
      <c r="G65"/>
      <c r="H65"/>
    </row>
    <row r="66" spans="1:8" x14ac:dyDescent="0.35">
      <c r="A66" s="369"/>
      <c r="B66" s="351" t="s">
        <v>245</v>
      </c>
      <c r="C66" s="352">
        <f>'1852'!C7</f>
        <v>71182270</v>
      </c>
      <c r="D66" s="361">
        <f>D65</f>
        <v>0</v>
      </c>
      <c r="E66" s="353">
        <f>'1852'!P7</f>
        <v>0</v>
      </c>
    </row>
    <row r="67" spans="1:8" x14ac:dyDescent="0.35">
      <c r="A67" s="369">
        <v>3</v>
      </c>
      <c r="B67" s="351" t="s">
        <v>244</v>
      </c>
      <c r="C67" s="352">
        <f>'1852'!C8</f>
        <v>241345688</v>
      </c>
      <c r="D67" s="361">
        <f>D66</f>
        <v>0</v>
      </c>
      <c r="E67" s="353">
        <f>'1852'!P8</f>
        <v>0</v>
      </c>
    </row>
    <row r="68" spans="1:8" x14ac:dyDescent="0.35">
      <c r="A68" s="369"/>
      <c r="B68" s="351" t="s">
        <v>245</v>
      </c>
      <c r="C68" s="352">
        <f>'1852'!C9</f>
        <v>71182274</v>
      </c>
      <c r="D68" s="361">
        <f>D67</f>
        <v>0</v>
      </c>
      <c r="E68" s="353">
        <f>'1852'!P9</f>
        <v>0</v>
      </c>
    </row>
    <row r="69" spans="1:8" x14ac:dyDescent="0.35">
      <c r="A69" s="369">
        <v>4</v>
      </c>
      <c r="B69" s="358" t="s">
        <v>244</v>
      </c>
      <c r="C69" s="359">
        <f>'1852'!G32</f>
        <v>241345693</v>
      </c>
      <c r="D69" s="366">
        <v>45741</v>
      </c>
      <c r="E69" s="360">
        <f>'1852'!H32</f>
        <v>29.795999999999999</v>
      </c>
      <c r="G69" s="148" t="s">
        <v>263</v>
      </c>
      <c r="H69" s="148"/>
    </row>
    <row r="70" spans="1:8" x14ac:dyDescent="0.35">
      <c r="A70" s="369"/>
      <c r="B70" s="351" t="s">
        <v>244</v>
      </c>
      <c r="C70" s="352">
        <f>'1852'!C10</f>
        <v>250434729</v>
      </c>
      <c r="D70" s="361">
        <f>D68</f>
        <v>0</v>
      </c>
      <c r="E70" s="353">
        <f>'1852'!P10</f>
        <v>0</v>
      </c>
      <c r="G70" t="s">
        <v>264</v>
      </c>
    </row>
    <row r="71" spans="1:8" x14ac:dyDescent="0.35">
      <c r="A71" s="369"/>
      <c r="B71" s="351" t="s">
        <v>245</v>
      </c>
      <c r="C71" s="352">
        <f>'1852'!C11</f>
        <v>71182244</v>
      </c>
      <c r="D71" s="361">
        <f>D70</f>
        <v>0</v>
      </c>
      <c r="E71" s="353">
        <f>'1852'!P11</f>
        <v>0</v>
      </c>
    </row>
    <row r="72" spans="1:8" x14ac:dyDescent="0.35">
      <c r="A72" s="369">
        <v>5</v>
      </c>
      <c r="B72" s="351" t="s">
        <v>244</v>
      </c>
      <c r="C72" s="352">
        <f>'1852'!C12</f>
        <v>241345689</v>
      </c>
      <c r="D72" s="361">
        <f t="shared" ref="D72:D83" si="3">D70</f>
        <v>0</v>
      </c>
      <c r="E72" s="353">
        <f>'1852'!P12</f>
        <v>0</v>
      </c>
    </row>
    <row r="73" spans="1:8" x14ac:dyDescent="0.35">
      <c r="A73" s="369"/>
      <c r="B73" s="351" t="s">
        <v>245</v>
      </c>
      <c r="C73" s="352">
        <f>'1852'!C13</f>
        <v>71182251</v>
      </c>
      <c r="D73" s="361">
        <f t="shared" si="3"/>
        <v>0</v>
      </c>
      <c r="E73" s="353">
        <f>'1852'!P13</f>
        <v>0</v>
      </c>
    </row>
    <row r="74" spans="1:8" x14ac:dyDescent="0.35">
      <c r="A74" s="369">
        <v>6</v>
      </c>
      <c r="B74" s="351" t="s">
        <v>244</v>
      </c>
      <c r="C74" s="352">
        <f>'1852'!C14</f>
        <v>241345694</v>
      </c>
      <c r="D74" s="361">
        <f t="shared" si="3"/>
        <v>0</v>
      </c>
      <c r="E74" s="353">
        <f>'1852'!P14</f>
        <v>0</v>
      </c>
    </row>
    <row r="75" spans="1:8" x14ac:dyDescent="0.35">
      <c r="A75" s="369"/>
      <c r="B75" s="351" t="s">
        <v>245</v>
      </c>
      <c r="C75" s="352">
        <f>'1852'!C15</f>
        <v>71182283</v>
      </c>
      <c r="D75" s="361">
        <f t="shared" si="3"/>
        <v>0</v>
      </c>
      <c r="E75" s="353">
        <f>'1852'!P15</f>
        <v>0</v>
      </c>
    </row>
    <row r="76" spans="1:8" x14ac:dyDescent="0.35">
      <c r="A76" s="369">
        <v>7</v>
      </c>
      <c r="B76" s="351" t="s">
        <v>244</v>
      </c>
      <c r="C76" s="352">
        <f>'1852'!C16</f>
        <v>241345686</v>
      </c>
      <c r="D76" s="361">
        <f t="shared" si="3"/>
        <v>0</v>
      </c>
      <c r="E76" s="353">
        <f>'1852'!P16</f>
        <v>0</v>
      </c>
    </row>
    <row r="77" spans="1:8" x14ac:dyDescent="0.35">
      <c r="A77" s="369"/>
      <c r="B77" s="351" t="s">
        <v>245</v>
      </c>
      <c r="C77" s="352">
        <f>'1852'!C17</f>
        <v>71182277</v>
      </c>
      <c r="D77" s="361">
        <f t="shared" si="3"/>
        <v>0</v>
      </c>
      <c r="E77" s="353">
        <f>'1852'!P17</f>
        <v>0</v>
      </c>
    </row>
    <row r="78" spans="1:8" x14ac:dyDescent="0.35">
      <c r="A78" s="369">
        <v>8</v>
      </c>
      <c r="B78" s="351" t="s">
        <v>244</v>
      </c>
      <c r="C78" s="352">
        <f>'1852'!C18</f>
        <v>241345685</v>
      </c>
      <c r="D78" s="361">
        <f t="shared" si="3"/>
        <v>0</v>
      </c>
      <c r="E78" s="353">
        <f>'1852'!P18</f>
        <v>0</v>
      </c>
    </row>
    <row r="79" spans="1:8" x14ac:dyDescent="0.35">
      <c r="A79" s="369"/>
      <c r="B79" s="351" t="s">
        <v>245</v>
      </c>
      <c r="C79" s="352">
        <f>'1852'!C19</f>
        <v>71182246</v>
      </c>
      <c r="D79" s="361">
        <f t="shared" si="3"/>
        <v>0</v>
      </c>
      <c r="E79" s="353">
        <f>'1852'!P19</f>
        <v>0</v>
      </c>
    </row>
    <row r="80" spans="1:8" x14ac:dyDescent="0.35">
      <c r="A80" s="369">
        <v>9</v>
      </c>
      <c r="B80" s="351" t="s">
        <v>244</v>
      </c>
      <c r="C80" s="352">
        <f>'1852'!C20</f>
        <v>241345704</v>
      </c>
      <c r="D80" s="361">
        <f t="shared" si="3"/>
        <v>0</v>
      </c>
      <c r="E80" s="353">
        <f>'1852'!P20</f>
        <v>0</v>
      </c>
    </row>
    <row r="81" spans="1:5" x14ac:dyDescent="0.35">
      <c r="A81" s="369"/>
      <c r="B81" s="351" t="s">
        <v>245</v>
      </c>
      <c r="C81" s="352">
        <f>'1852'!C21</f>
        <v>71182282</v>
      </c>
      <c r="D81" s="361">
        <f t="shared" si="3"/>
        <v>0</v>
      </c>
      <c r="E81" s="353">
        <f>'1852'!P21</f>
        <v>0</v>
      </c>
    </row>
    <row r="82" spans="1:5" x14ac:dyDescent="0.35">
      <c r="A82" s="369">
        <v>10</v>
      </c>
      <c r="B82" s="351" t="s">
        <v>244</v>
      </c>
      <c r="C82" s="352">
        <f>'1852'!C22</f>
        <v>241345703</v>
      </c>
      <c r="D82" s="361">
        <f t="shared" si="3"/>
        <v>0</v>
      </c>
      <c r="E82" s="353">
        <f>'1852'!P22</f>
        <v>0</v>
      </c>
    </row>
    <row r="83" spans="1:5" ht="15" thickBot="1" x14ac:dyDescent="0.4">
      <c r="A83" s="370"/>
      <c r="B83" s="355" t="s">
        <v>245</v>
      </c>
      <c r="C83" s="356">
        <f>'1852'!C23</f>
        <v>71182240</v>
      </c>
      <c r="D83" s="362">
        <f t="shared" si="3"/>
        <v>0</v>
      </c>
      <c r="E83" s="357">
        <f>'1852'!P23</f>
        <v>0</v>
      </c>
    </row>
    <row r="84" spans="1:5" ht="15" thickBot="1" x14ac:dyDescent="0.4"/>
    <row r="85" spans="1:5" s="1" customFormat="1" ht="21" customHeight="1" x14ac:dyDescent="0.5">
      <c r="A85" s="346" t="s">
        <v>2</v>
      </c>
      <c r="B85" s="347">
        <v>1853</v>
      </c>
      <c r="C85" s="348" t="s">
        <v>260</v>
      </c>
      <c r="D85" s="349" t="s">
        <v>261</v>
      </c>
      <c r="E85" s="350" t="s">
        <v>262</v>
      </c>
    </row>
    <row r="86" spans="1:5" s="1" customFormat="1" x14ac:dyDescent="0.35">
      <c r="A86" s="369">
        <v>1</v>
      </c>
      <c r="B86" s="351" t="s">
        <v>244</v>
      </c>
      <c r="C86" s="352">
        <f>'1853'!C4</f>
        <v>241010646</v>
      </c>
      <c r="D86" s="361">
        <f>D2</f>
        <v>0</v>
      </c>
      <c r="E86" s="353">
        <f>'1853'!P4</f>
        <v>0</v>
      </c>
    </row>
    <row r="87" spans="1:5" x14ac:dyDescent="0.35">
      <c r="A87" s="369"/>
      <c r="B87" s="351" t="s">
        <v>245</v>
      </c>
      <c r="C87" s="352">
        <f>'1853'!C5</f>
        <v>71182275</v>
      </c>
      <c r="D87" s="361">
        <f>D86</f>
        <v>0</v>
      </c>
      <c r="E87" s="353">
        <f>'1853'!P5</f>
        <v>0</v>
      </c>
    </row>
    <row r="88" spans="1:5" x14ac:dyDescent="0.35">
      <c r="A88" s="369">
        <v>2</v>
      </c>
      <c r="B88" s="351" t="s">
        <v>244</v>
      </c>
      <c r="C88" s="352">
        <f>'1853'!C6</f>
        <v>241010634</v>
      </c>
      <c r="D88" s="361">
        <f t="shared" ref="D88:D105" si="4">D87</f>
        <v>0</v>
      </c>
      <c r="E88" s="353">
        <f>'1853'!P6</f>
        <v>0</v>
      </c>
    </row>
    <row r="89" spans="1:5" x14ac:dyDescent="0.35">
      <c r="A89" s="369"/>
      <c r="B89" s="351" t="s">
        <v>245</v>
      </c>
      <c r="C89" s="352">
        <f>'1853'!C7</f>
        <v>71182253</v>
      </c>
      <c r="D89" s="361">
        <f t="shared" si="4"/>
        <v>0</v>
      </c>
      <c r="E89" s="353">
        <f>'1853'!P7</f>
        <v>0</v>
      </c>
    </row>
    <row r="90" spans="1:5" x14ac:dyDescent="0.35">
      <c r="A90" s="369">
        <v>3</v>
      </c>
      <c r="B90" s="351" t="s">
        <v>244</v>
      </c>
      <c r="C90" s="352">
        <f>'1853'!C8</f>
        <v>241010645</v>
      </c>
      <c r="D90" s="361">
        <f t="shared" si="4"/>
        <v>0</v>
      </c>
      <c r="E90" s="353">
        <f>'1853'!P8</f>
        <v>0</v>
      </c>
    </row>
    <row r="91" spans="1:5" x14ac:dyDescent="0.35">
      <c r="A91" s="369"/>
      <c r="B91" s="351" t="s">
        <v>245</v>
      </c>
      <c r="C91" s="352">
        <f>'1853'!C9</f>
        <v>71182217</v>
      </c>
      <c r="D91" s="361">
        <f t="shared" si="4"/>
        <v>0</v>
      </c>
      <c r="E91" s="353">
        <f>'1853'!P9</f>
        <v>0</v>
      </c>
    </row>
    <row r="92" spans="1:5" x14ac:dyDescent="0.35">
      <c r="A92" s="369">
        <v>4</v>
      </c>
      <c r="B92" s="351" t="s">
        <v>244</v>
      </c>
      <c r="C92" s="352">
        <f>'1853'!C10</f>
        <v>241010647</v>
      </c>
      <c r="D92" s="361">
        <f t="shared" si="4"/>
        <v>0</v>
      </c>
      <c r="E92" s="353">
        <f>'1853'!P10</f>
        <v>0</v>
      </c>
    </row>
    <row r="93" spans="1:5" x14ac:dyDescent="0.35">
      <c r="A93" s="369"/>
      <c r="B93" s="351" t="s">
        <v>245</v>
      </c>
      <c r="C93" s="352">
        <f>'1853'!C11</f>
        <v>71182254</v>
      </c>
      <c r="D93" s="361">
        <f t="shared" si="4"/>
        <v>0</v>
      </c>
      <c r="E93" s="353">
        <f>'1853'!P11</f>
        <v>0</v>
      </c>
    </row>
    <row r="94" spans="1:5" x14ac:dyDescent="0.35">
      <c r="A94" s="369">
        <v>5</v>
      </c>
      <c r="B94" s="351" t="s">
        <v>244</v>
      </c>
      <c r="C94" s="352">
        <f>'1853'!C12</f>
        <v>241010638</v>
      </c>
      <c r="D94" s="361">
        <f t="shared" si="4"/>
        <v>0</v>
      </c>
      <c r="E94" s="353">
        <f>'1853'!P12</f>
        <v>0</v>
      </c>
    </row>
    <row r="95" spans="1:5" x14ac:dyDescent="0.35">
      <c r="A95" s="369"/>
      <c r="B95" s="351" t="s">
        <v>245</v>
      </c>
      <c r="C95" s="352">
        <f>'1853'!C13</f>
        <v>71182267</v>
      </c>
      <c r="D95" s="361">
        <f t="shared" si="4"/>
        <v>0</v>
      </c>
      <c r="E95" s="353">
        <f>'1853'!P13</f>
        <v>0</v>
      </c>
    </row>
    <row r="96" spans="1:5" x14ac:dyDescent="0.35">
      <c r="A96" s="369">
        <v>6</v>
      </c>
      <c r="B96" s="351" t="s">
        <v>244</v>
      </c>
      <c r="C96" s="352">
        <f>'1853'!C14</f>
        <v>241010623</v>
      </c>
      <c r="D96" s="361">
        <f t="shared" si="4"/>
        <v>0</v>
      </c>
      <c r="E96" s="353">
        <f>'1853'!P14</f>
        <v>0</v>
      </c>
    </row>
    <row r="97" spans="1:5" x14ac:dyDescent="0.35">
      <c r="A97" s="369"/>
      <c r="B97" s="351" t="s">
        <v>245</v>
      </c>
      <c r="C97" s="352">
        <f>'1853'!C15</f>
        <v>71182261</v>
      </c>
      <c r="D97" s="361">
        <f t="shared" si="4"/>
        <v>0</v>
      </c>
      <c r="E97" s="353">
        <f>'1853'!P15</f>
        <v>0</v>
      </c>
    </row>
    <row r="98" spans="1:5" x14ac:dyDescent="0.35">
      <c r="A98" s="369">
        <v>7</v>
      </c>
      <c r="B98" s="351" t="s">
        <v>244</v>
      </c>
      <c r="C98" s="352">
        <f>'1853'!C16</f>
        <v>241010627</v>
      </c>
      <c r="D98" s="361">
        <f t="shared" si="4"/>
        <v>0</v>
      </c>
      <c r="E98" s="353">
        <f>'1853'!P16</f>
        <v>0</v>
      </c>
    </row>
    <row r="99" spans="1:5" x14ac:dyDescent="0.35">
      <c r="A99" s="369"/>
      <c r="B99" s="351" t="s">
        <v>245</v>
      </c>
      <c r="C99" s="352">
        <f>'1853'!C17</f>
        <v>71182272</v>
      </c>
      <c r="D99" s="361">
        <f t="shared" si="4"/>
        <v>0</v>
      </c>
      <c r="E99" s="353">
        <f>'1853'!P17</f>
        <v>0</v>
      </c>
    </row>
    <row r="100" spans="1:5" x14ac:dyDescent="0.35">
      <c r="A100" s="369">
        <v>8</v>
      </c>
      <c r="B100" s="351" t="s">
        <v>244</v>
      </c>
      <c r="C100" s="352">
        <f>'1853'!C18</f>
        <v>241010626</v>
      </c>
      <c r="D100" s="361">
        <f t="shared" si="4"/>
        <v>0</v>
      </c>
      <c r="E100" s="353">
        <f>'1853'!P18</f>
        <v>0</v>
      </c>
    </row>
    <row r="101" spans="1:5" x14ac:dyDescent="0.35">
      <c r="A101" s="369"/>
      <c r="B101" s="351" t="s">
        <v>245</v>
      </c>
      <c r="C101" s="352">
        <f>'1853'!C19</f>
        <v>71182249</v>
      </c>
      <c r="D101" s="361">
        <f t="shared" si="4"/>
        <v>0</v>
      </c>
      <c r="E101" s="353">
        <f>'1853'!P19</f>
        <v>0</v>
      </c>
    </row>
    <row r="102" spans="1:5" x14ac:dyDescent="0.35">
      <c r="A102" s="369">
        <v>9</v>
      </c>
      <c r="B102" s="351" t="s">
        <v>244</v>
      </c>
      <c r="C102" s="352">
        <f>'1853'!C20</f>
        <v>241010624</v>
      </c>
      <c r="D102" s="361">
        <f t="shared" si="4"/>
        <v>0</v>
      </c>
      <c r="E102" s="353">
        <f>'1853'!P20</f>
        <v>0</v>
      </c>
    </row>
    <row r="103" spans="1:5" x14ac:dyDescent="0.35">
      <c r="A103" s="369"/>
      <c r="B103" s="351" t="s">
        <v>245</v>
      </c>
      <c r="C103" s="352">
        <f>'1853'!C21</f>
        <v>71182281</v>
      </c>
      <c r="D103" s="361">
        <f t="shared" si="4"/>
        <v>0</v>
      </c>
      <c r="E103" s="353">
        <f>'1853'!P21</f>
        <v>0</v>
      </c>
    </row>
    <row r="104" spans="1:5" x14ac:dyDescent="0.35">
      <c r="A104" s="369">
        <v>10</v>
      </c>
      <c r="B104" s="351" t="s">
        <v>244</v>
      </c>
      <c r="C104" s="352">
        <f>'1853'!C22</f>
        <v>241010628</v>
      </c>
      <c r="D104" s="361">
        <f t="shared" si="4"/>
        <v>0</v>
      </c>
      <c r="E104" s="353">
        <f>'1853'!P22</f>
        <v>0</v>
      </c>
    </row>
    <row r="105" spans="1:5" ht="15" thickBot="1" x14ac:dyDescent="0.4">
      <c r="A105" s="370"/>
      <c r="B105" s="355" t="s">
        <v>245</v>
      </c>
      <c r="C105" s="356">
        <f>'1853'!C23</f>
        <v>71182268</v>
      </c>
      <c r="D105" s="362">
        <f t="shared" si="4"/>
        <v>0</v>
      </c>
      <c r="E105" s="357">
        <f>'1853'!P23</f>
        <v>0</v>
      </c>
    </row>
    <row r="106" spans="1:5" ht="15" thickBot="1" x14ac:dyDescent="0.4"/>
    <row r="107" spans="1:5" s="1" customFormat="1" ht="21" customHeight="1" x14ac:dyDescent="0.5">
      <c r="A107" s="346" t="s">
        <v>2</v>
      </c>
      <c r="B107" s="347">
        <v>1854</v>
      </c>
      <c r="C107" s="348" t="s">
        <v>260</v>
      </c>
      <c r="D107" s="349" t="s">
        <v>261</v>
      </c>
      <c r="E107" s="350" t="s">
        <v>262</v>
      </c>
    </row>
    <row r="108" spans="1:5" s="1" customFormat="1" x14ac:dyDescent="0.35">
      <c r="A108" s="369">
        <v>1</v>
      </c>
      <c r="B108" s="351" t="s">
        <v>244</v>
      </c>
      <c r="C108" s="352">
        <f>'1854'!C4</f>
        <v>241010657</v>
      </c>
      <c r="D108" s="361">
        <f>D2</f>
        <v>0</v>
      </c>
      <c r="E108" s="353">
        <f>'1854'!P4</f>
        <v>0</v>
      </c>
    </row>
    <row r="109" spans="1:5" x14ac:dyDescent="0.35">
      <c r="A109" s="369"/>
      <c r="B109" s="351" t="s">
        <v>245</v>
      </c>
      <c r="C109" s="352">
        <f>'1854'!C5</f>
        <v>71182259</v>
      </c>
      <c r="D109" s="361">
        <f>D108</f>
        <v>0</v>
      </c>
      <c r="E109" s="353">
        <f>'1854'!P5</f>
        <v>0</v>
      </c>
    </row>
    <row r="110" spans="1:5" x14ac:dyDescent="0.35">
      <c r="A110" s="369">
        <v>2</v>
      </c>
      <c r="B110" s="351" t="s">
        <v>244</v>
      </c>
      <c r="C110" s="352">
        <f>'1854'!C6</f>
        <v>241010655</v>
      </c>
      <c r="D110" s="361">
        <f t="shared" ref="D110:D127" si="5">D109</f>
        <v>0</v>
      </c>
      <c r="E110" s="353">
        <f>'1854'!P6</f>
        <v>0</v>
      </c>
    </row>
    <row r="111" spans="1:5" x14ac:dyDescent="0.35">
      <c r="A111" s="369"/>
      <c r="B111" s="351" t="s">
        <v>245</v>
      </c>
      <c r="C111" s="352">
        <f>'1854'!C7</f>
        <v>71182248</v>
      </c>
      <c r="D111" s="361">
        <f t="shared" si="5"/>
        <v>0</v>
      </c>
      <c r="E111" s="353">
        <f>'1854'!P7</f>
        <v>0</v>
      </c>
    </row>
    <row r="112" spans="1:5" x14ac:dyDescent="0.35">
      <c r="A112" s="369">
        <v>3</v>
      </c>
      <c r="B112" s="351" t="s">
        <v>244</v>
      </c>
      <c r="C112" s="352">
        <f>'1854'!C8</f>
        <v>241345683</v>
      </c>
      <c r="D112" s="361">
        <f t="shared" si="5"/>
        <v>0</v>
      </c>
      <c r="E112" s="353">
        <f>'1854'!P8</f>
        <v>0</v>
      </c>
    </row>
    <row r="113" spans="1:5" x14ac:dyDescent="0.35">
      <c r="A113" s="369"/>
      <c r="B113" s="351" t="s">
        <v>245</v>
      </c>
      <c r="C113" s="352">
        <f>'1854'!C9</f>
        <v>71182258</v>
      </c>
      <c r="D113" s="361">
        <f t="shared" si="5"/>
        <v>0</v>
      </c>
      <c r="E113" s="353">
        <f>'1854'!P9</f>
        <v>0</v>
      </c>
    </row>
    <row r="114" spans="1:5" x14ac:dyDescent="0.35">
      <c r="A114" s="369">
        <v>4</v>
      </c>
      <c r="B114" s="351" t="s">
        <v>244</v>
      </c>
      <c r="C114" s="352">
        <f>'1854'!C10</f>
        <v>241010651</v>
      </c>
      <c r="D114" s="361">
        <f t="shared" si="5"/>
        <v>0</v>
      </c>
      <c r="E114" s="353">
        <f>'1854'!P10</f>
        <v>0</v>
      </c>
    </row>
    <row r="115" spans="1:5" x14ac:dyDescent="0.35">
      <c r="A115" s="369"/>
      <c r="B115" s="351" t="s">
        <v>245</v>
      </c>
      <c r="C115" s="352">
        <f>'1854'!C11</f>
        <v>71182242</v>
      </c>
      <c r="D115" s="361">
        <f t="shared" si="5"/>
        <v>0</v>
      </c>
      <c r="E115" s="353">
        <f>'1854'!P11</f>
        <v>0</v>
      </c>
    </row>
    <row r="116" spans="1:5" x14ac:dyDescent="0.35">
      <c r="A116" s="369">
        <v>5</v>
      </c>
      <c r="B116" s="351" t="s">
        <v>244</v>
      </c>
      <c r="C116" s="352">
        <f>'1854'!C12</f>
        <v>241345677</v>
      </c>
      <c r="D116" s="361">
        <f t="shared" si="5"/>
        <v>0</v>
      </c>
      <c r="E116" s="353">
        <f>'1854'!P12</f>
        <v>0</v>
      </c>
    </row>
    <row r="117" spans="1:5" x14ac:dyDescent="0.35">
      <c r="A117" s="369"/>
      <c r="B117" s="351" t="s">
        <v>245</v>
      </c>
      <c r="C117" s="352">
        <f>'1854'!C13</f>
        <v>71182255</v>
      </c>
      <c r="D117" s="361">
        <f t="shared" si="5"/>
        <v>0</v>
      </c>
      <c r="E117" s="353">
        <f>'1854'!P13</f>
        <v>0</v>
      </c>
    </row>
    <row r="118" spans="1:5" x14ac:dyDescent="0.35">
      <c r="A118" s="369">
        <v>6</v>
      </c>
      <c r="B118" s="351" t="s">
        <v>244</v>
      </c>
      <c r="C118" s="352">
        <f>'1854'!C14</f>
        <v>241010629</v>
      </c>
      <c r="D118" s="361">
        <f t="shared" si="5"/>
        <v>0</v>
      </c>
      <c r="E118" s="353">
        <f>'1854'!P14</f>
        <v>0</v>
      </c>
    </row>
    <row r="119" spans="1:5" x14ac:dyDescent="0.35">
      <c r="A119" s="369"/>
      <c r="B119" s="351" t="s">
        <v>245</v>
      </c>
      <c r="C119" s="352">
        <f>'1854'!C15</f>
        <v>71182230</v>
      </c>
      <c r="D119" s="361">
        <f t="shared" si="5"/>
        <v>0</v>
      </c>
      <c r="E119" s="353">
        <f>'1854'!P15</f>
        <v>0</v>
      </c>
    </row>
    <row r="120" spans="1:5" x14ac:dyDescent="0.35">
      <c r="A120" s="369">
        <v>7</v>
      </c>
      <c r="B120" s="351" t="s">
        <v>244</v>
      </c>
      <c r="C120" s="352">
        <f>'1854'!C16</f>
        <v>241010659</v>
      </c>
      <c r="D120" s="361">
        <f t="shared" si="5"/>
        <v>0</v>
      </c>
      <c r="E120" s="353">
        <f>'1854'!P16</f>
        <v>0</v>
      </c>
    </row>
    <row r="121" spans="1:5" x14ac:dyDescent="0.35">
      <c r="A121" s="369"/>
      <c r="B121" s="351" t="s">
        <v>245</v>
      </c>
      <c r="C121" s="352">
        <f>'1854'!C17</f>
        <v>71182247</v>
      </c>
      <c r="D121" s="361">
        <f t="shared" si="5"/>
        <v>0</v>
      </c>
      <c r="E121" s="353">
        <f>'1854'!P17</f>
        <v>0</v>
      </c>
    </row>
    <row r="122" spans="1:5" x14ac:dyDescent="0.35">
      <c r="A122" s="369">
        <v>8</v>
      </c>
      <c r="B122" s="351" t="s">
        <v>244</v>
      </c>
      <c r="C122" s="352">
        <f>'1854'!C18</f>
        <v>241010622</v>
      </c>
      <c r="D122" s="361">
        <f t="shared" si="5"/>
        <v>0</v>
      </c>
      <c r="E122" s="353">
        <f>'1854'!P18</f>
        <v>0</v>
      </c>
    </row>
    <row r="123" spans="1:5" x14ac:dyDescent="0.35">
      <c r="A123" s="369"/>
      <c r="B123" s="351" t="s">
        <v>245</v>
      </c>
      <c r="C123" s="352">
        <f>'1854'!C19</f>
        <v>71182232</v>
      </c>
      <c r="D123" s="361">
        <f t="shared" si="5"/>
        <v>0</v>
      </c>
      <c r="E123" s="353">
        <f>'1854'!P19</f>
        <v>0</v>
      </c>
    </row>
    <row r="124" spans="1:5" x14ac:dyDescent="0.35">
      <c r="A124" s="369">
        <v>9</v>
      </c>
      <c r="B124" s="351" t="s">
        <v>244</v>
      </c>
      <c r="C124" s="352">
        <f>'1854'!C20</f>
        <v>241010625</v>
      </c>
      <c r="D124" s="361">
        <f t="shared" si="5"/>
        <v>0</v>
      </c>
      <c r="E124" s="353">
        <f>'1854'!P20</f>
        <v>0</v>
      </c>
    </row>
    <row r="125" spans="1:5" x14ac:dyDescent="0.35">
      <c r="A125" s="369"/>
      <c r="B125" s="351" t="s">
        <v>245</v>
      </c>
      <c r="C125" s="352">
        <f>'1854'!C21</f>
        <v>71182228</v>
      </c>
      <c r="D125" s="361">
        <f t="shared" si="5"/>
        <v>0</v>
      </c>
      <c r="E125" s="353">
        <f>'1854'!P21</f>
        <v>0</v>
      </c>
    </row>
    <row r="126" spans="1:5" x14ac:dyDescent="0.35">
      <c r="A126" s="369">
        <v>10</v>
      </c>
      <c r="B126" s="351" t="s">
        <v>244</v>
      </c>
      <c r="C126" s="352">
        <f>'1854'!C22</f>
        <v>241010621</v>
      </c>
      <c r="D126" s="361">
        <f t="shared" si="5"/>
        <v>0</v>
      </c>
      <c r="E126" s="353">
        <f>'1854'!P22</f>
        <v>0</v>
      </c>
    </row>
    <row r="127" spans="1:5" ht="15" thickBot="1" x14ac:dyDescent="0.4">
      <c r="A127" s="370"/>
      <c r="B127" s="355" t="s">
        <v>245</v>
      </c>
      <c r="C127" s="356">
        <f>'1854'!C23</f>
        <v>71182263</v>
      </c>
      <c r="D127" s="362">
        <f t="shared" si="5"/>
        <v>0</v>
      </c>
      <c r="E127" s="357">
        <f>'1854'!P23</f>
        <v>0</v>
      </c>
    </row>
    <row r="128" spans="1:5" ht="15" thickBot="1" x14ac:dyDescent="0.4"/>
    <row r="129" spans="1:5" s="1" customFormat="1" ht="21" customHeight="1" x14ac:dyDescent="0.5">
      <c r="A129" s="346" t="s">
        <v>2</v>
      </c>
      <c r="B129" s="347">
        <v>1855</v>
      </c>
      <c r="C129" s="348" t="s">
        <v>260</v>
      </c>
      <c r="D129" s="349" t="s">
        <v>261</v>
      </c>
      <c r="E129" s="350" t="s">
        <v>262</v>
      </c>
    </row>
    <row r="130" spans="1:5" s="1" customFormat="1" x14ac:dyDescent="0.35">
      <c r="A130" s="369">
        <v>1</v>
      </c>
      <c r="B130" s="351" t="s">
        <v>244</v>
      </c>
      <c r="C130" s="352">
        <f>'1855'!C4</f>
        <v>241513388</v>
      </c>
      <c r="D130" s="361">
        <f>D2</f>
        <v>0</v>
      </c>
      <c r="E130" s="353">
        <f>'1855'!P4</f>
        <v>0</v>
      </c>
    </row>
    <row r="131" spans="1:5" x14ac:dyDescent="0.35">
      <c r="A131" s="369"/>
      <c r="B131" s="351" t="s">
        <v>245</v>
      </c>
      <c r="C131" s="352">
        <f>'1855'!C5</f>
        <v>71182223</v>
      </c>
      <c r="D131" s="361">
        <f>D130</f>
        <v>0</v>
      </c>
      <c r="E131" s="353">
        <f>'1855'!P5</f>
        <v>0</v>
      </c>
    </row>
    <row r="132" spans="1:5" x14ac:dyDescent="0.35">
      <c r="A132" s="369">
        <v>2</v>
      </c>
      <c r="B132" s="351" t="s">
        <v>244</v>
      </c>
      <c r="C132" s="352">
        <f>'1855'!C6</f>
        <v>241513401</v>
      </c>
      <c r="D132" s="361">
        <f t="shared" ref="D132:D149" si="6">D131</f>
        <v>0</v>
      </c>
      <c r="E132" s="353">
        <f>'1855'!P6</f>
        <v>0</v>
      </c>
    </row>
    <row r="133" spans="1:5" x14ac:dyDescent="0.35">
      <c r="A133" s="369"/>
      <c r="B133" s="351" t="s">
        <v>245</v>
      </c>
      <c r="C133" s="352">
        <f>'1855'!C7</f>
        <v>71182224</v>
      </c>
      <c r="D133" s="361">
        <f t="shared" si="6"/>
        <v>0</v>
      </c>
      <c r="E133" s="353">
        <f>'1855'!P7</f>
        <v>0</v>
      </c>
    </row>
    <row r="134" spans="1:5" x14ac:dyDescent="0.35">
      <c r="A134" s="369">
        <v>3</v>
      </c>
      <c r="B134" s="351" t="s">
        <v>244</v>
      </c>
      <c r="C134" s="352">
        <f>'1855'!C8</f>
        <v>241513408</v>
      </c>
      <c r="D134" s="361">
        <f t="shared" si="6"/>
        <v>0</v>
      </c>
      <c r="E134" s="353">
        <f>'1855'!P8</f>
        <v>0</v>
      </c>
    </row>
    <row r="135" spans="1:5" x14ac:dyDescent="0.35">
      <c r="A135" s="369"/>
      <c r="B135" s="351" t="s">
        <v>245</v>
      </c>
      <c r="C135" s="352">
        <f>'1855'!C9</f>
        <v>71182236</v>
      </c>
      <c r="D135" s="361">
        <f t="shared" si="6"/>
        <v>0</v>
      </c>
      <c r="E135" s="353">
        <f>'1855'!P9</f>
        <v>0</v>
      </c>
    </row>
    <row r="136" spans="1:5" x14ac:dyDescent="0.35">
      <c r="A136" s="369">
        <v>4</v>
      </c>
      <c r="B136" s="351" t="s">
        <v>244</v>
      </c>
      <c r="C136" s="352">
        <f>'1855'!C10</f>
        <v>241513380</v>
      </c>
      <c r="D136" s="361">
        <f t="shared" si="6"/>
        <v>0</v>
      </c>
      <c r="E136" s="353">
        <f>'1855'!P10</f>
        <v>0</v>
      </c>
    </row>
    <row r="137" spans="1:5" x14ac:dyDescent="0.35">
      <c r="A137" s="369"/>
      <c r="B137" s="351" t="s">
        <v>245</v>
      </c>
      <c r="C137" s="352">
        <f>'1855'!C11</f>
        <v>71182218</v>
      </c>
      <c r="D137" s="361">
        <f t="shared" si="6"/>
        <v>0</v>
      </c>
      <c r="E137" s="353">
        <f>'1855'!P11</f>
        <v>0</v>
      </c>
    </row>
    <row r="138" spans="1:5" x14ac:dyDescent="0.35">
      <c r="A138" s="369">
        <v>5</v>
      </c>
      <c r="B138" s="351" t="s">
        <v>244</v>
      </c>
      <c r="C138" s="352">
        <f>'1855'!C12</f>
        <v>241513406</v>
      </c>
      <c r="D138" s="361">
        <f t="shared" si="6"/>
        <v>0</v>
      </c>
      <c r="E138" s="353">
        <f>'1855'!P12</f>
        <v>0</v>
      </c>
    </row>
    <row r="139" spans="1:5" x14ac:dyDescent="0.35">
      <c r="A139" s="369"/>
      <c r="B139" s="351" t="s">
        <v>245</v>
      </c>
      <c r="C139" s="352">
        <f>'1855'!C13</f>
        <v>71182273</v>
      </c>
      <c r="D139" s="361">
        <f t="shared" si="6"/>
        <v>0</v>
      </c>
      <c r="E139" s="353">
        <f>'1855'!P13</f>
        <v>0</v>
      </c>
    </row>
    <row r="140" spans="1:5" x14ac:dyDescent="0.35">
      <c r="A140" s="369">
        <v>6</v>
      </c>
      <c r="B140" s="351" t="s">
        <v>244</v>
      </c>
      <c r="C140" s="352">
        <f>'1855'!C14</f>
        <v>241513382</v>
      </c>
      <c r="D140" s="361">
        <f t="shared" si="6"/>
        <v>0</v>
      </c>
      <c r="E140" s="353">
        <f>'1855'!P14</f>
        <v>0</v>
      </c>
    </row>
    <row r="141" spans="1:5" x14ac:dyDescent="0.35">
      <c r="A141" s="369"/>
      <c r="B141" s="351" t="s">
        <v>245</v>
      </c>
      <c r="C141" s="352">
        <f>'1855'!C15</f>
        <v>71182215</v>
      </c>
      <c r="D141" s="361">
        <f t="shared" si="6"/>
        <v>0</v>
      </c>
      <c r="E141" s="353">
        <f>'1855'!P15</f>
        <v>0</v>
      </c>
    </row>
    <row r="142" spans="1:5" x14ac:dyDescent="0.35">
      <c r="A142" s="369">
        <v>7</v>
      </c>
      <c r="B142" s="351" t="s">
        <v>244</v>
      </c>
      <c r="C142" s="352">
        <f>'1855'!C16</f>
        <v>241513386</v>
      </c>
      <c r="D142" s="361">
        <f t="shared" si="6"/>
        <v>0</v>
      </c>
      <c r="E142" s="353">
        <f>'1855'!P16</f>
        <v>0</v>
      </c>
    </row>
    <row r="143" spans="1:5" x14ac:dyDescent="0.35">
      <c r="A143" s="369"/>
      <c r="B143" s="351" t="s">
        <v>245</v>
      </c>
      <c r="C143" s="352">
        <f>'1855'!C17</f>
        <v>71182220</v>
      </c>
      <c r="D143" s="361">
        <f t="shared" si="6"/>
        <v>0</v>
      </c>
      <c r="E143" s="353">
        <f>'1855'!P17</f>
        <v>0</v>
      </c>
    </row>
    <row r="144" spans="1:5" x14ac:dyDescent="0.35">
      <c r="A144" s="369">
        <v>8</v>
      </c>
      <c r="B144" s="351" t="s">
        <v>244</v>
      </c>
      <c r="C144" s="352">
        <f>'1855'!C18</f>
        <v>241513387</v>
      </c>
      <c r="D144" s="361">
        <f t="shared" si="6"/>
        <v>0</v>
      </c>
      <c r="E144" s="353">
        <f>'1855'!P18</f>
        <v>0</v>
      </c>
    </row>
    <row r="145" spans="1:5" x14ac:dyDescent="0.35">
      <c r="A145" s="369"/>
      <c r="B145" s="351" t="s">
        <v>245</v>
      </c>
      <c r="C145" s="352">
        <f>'1855'!C19</f>
        <v>71182264</v>
      </c>
      <c r="D145" s="361">
        <f t="shared" si="6"/>
        <v>0</v>
      </c>
      <c r="E145" s="353">
        <f>'1855'!P19</f>
        <v>0</v>
      </c>
    </row>
    <row r="146" spans="1:5" x14ac:dyDescent="0.35">
      <c r="A146" s="369">
        <v>9</v>
      </c>
      <c r="B146" s="351" t="s">
        <v>244</v>
      </c>
      <c r="C146" s="352">
        <f>'1855'!C20</f>
        <v>241513383</v>
      </c>
      <c r="D146" s="361">
        <f t="shared" si="6"/>
        <v>0</v>
      </c>
      <c r="E146" s="353">
        <f>'1855'!P20</f>
        <v>0</v>
      </c>
    </row>
    <row r="147" spans="1:5" x14ac:dyDescent="0.35">
      <c r="A147" s="369"/>
      <c r="B147" s="351" t="s">
        <v>245</v>
      </c>
      <c r="C147" s="352">
        <f>'1855'!C21</f>
        <v>71182231</v>
      </c>
      <c r="D147" s="361">
        <f t="shared" si="6"/>
        <v>0</v>
      </c>
      <c r="E147" s="353">
        <f>'1855'!P21</f>
        <v>0</v>
      </c>
    </row>
    <row r="148" spans="1:5" x14ac:dyDescent="0.35">
      <c r="A148" s="369">
        <v>10</v>
      </c>
      <c r="B148" s="351" t="s">
        <v>244</v>
      </c>
      <c r="C148" s="352">
        <f>'1855'!C22</f>
        <v>241513399</v>
      </c>
      <c r="D148" s="361">
        <f t="shared" si="6"/>
        <v>0</v>
      </c>
      <c r="E148" s="353">
        <f>'1855'!P22</f>
        <v>0</v>
      </c>
    </row>
    <row r="149" spans="1:5" ht="15" thickBot="1" x14ac:dyDescent="0.4">
      <c r="A149" s="370"/>
      <c r="B149" s="355" t="s">
        <v>245</v>
      </c>
      <c r="C149" s="356">
        <f>'1855'!C23</f>
        <v>71182227</v>
      </c>
      <c r="D149" s="362">
        <f t="shared" si="6"/>
        <v>0</v>
      </c>
      <c r="E149" s="357">
        <f>'1855'!P23</f>
        <v>0</v>
      </c>
    </row>
    <row r="150" spans="1:5" ht="15" thickBot="1" x14ac:dyDescent="0.4"/>
    <row r="151" spans="1:5" s="1" customFormat="1" ht="21" customHeight="1" x14ac:dyDescent="0.5">
      <c r="A151" s="346" t="s">
        <v>2</v>
      </c>
      <c r="B151" s="347">
        <v>1856</v>
      </c>
      <c r="C151" s="348" t="s">
        <v>260</v>
      </c>
      <c r="D151" s="349" t="s">
        <v>261</v>
      </c>
      <c r="E151" s="350" t="s">
        <v>262</v>
      </c>
    </row>
    <row r="152" spans="1:5" s="1" customFormat="1" x14ac:dyDescent="0.35">
      <c r="A152" s="369">
        <v>1</v>
      </c>
      <c r="B152" s="351" t="s">
        <v>244</v>
      </c>
      <c r="C152" s="352">
        <f>'1856'!C4</f>
        <v>241345680</v>
      </c>
      <c r="D152" s="361">
        <f>D2</f>
        <v>0</v>
      </c>
      <c r="E152" s="353">
        <f>'1856'!P4</f>
        <v>0</v>
      </c>
    </row>
    <row r="153" spans="1:5" x14ac:dyDescent="0.35">
      <c r="A153" s="369"/>
      <c r="B153" s="351" t="s">
        <v>245</v>
      </c>
      <c r="C153" s="352">
        <f>'1856'!C5</f>
        <v>71869912</v>
      </c>
      <c r="D153" s="361">
        <f>D152</f>
        <v>0</v>
      </c>
      <c r="E153" s="353">
        <f>'1856'!P5</f>
        <v>0</v>
      </c>
    </row>
    <row r="154" spans="1:5" x14ac:dyDescent="0.35">
      <c r="A154" s="369">
        <v>2</v>
      </c>
      <c r="B154" s="351" t="s">
        <v>244</v>
      </c>
      <c r="C154" s="352">
        <f>'1856'!C6</f>
        <v>241345675</v>
      </c>
      <c r="D154" s="361">
        <f t="shared" ref="D154:D171" si="7">D153</f>
        <v>0</v>
      </c>
      <c r="E154" s="353">
        <f>'1856'!P6</f>
        <v>0</v>
      </c>
    </row>
    <row r="155" spans="1:5" x14ac:dyDescent="0.35">
      <c r="A155" s="369"/>
      <c r="B155" s="351" t="s">
        <v>245</v>
      </c>
      <c r="C155" s="352">
        <f>'1856'!C7</f>
        <v>71869914</v>
      </c>
      <c r="D155" s="361">
        <f t="shared" si="7"/>
        <v>0</v>
      </c>
      <c r="E155" s="353">
        <f>'1856'!P7</f>
        <v>0</v>
      </c>
    </row>
    <row r="156" spans="1:5" x14ac:dyDescent="0.35">
      <c r="A156" s="369">
        <v>3</v>
      </c>
      <c r="B156" s="351" t="s">
        <v>244</v>
      </c>
      <c r="C156" s="352">
        <f>'1856'!C8</f>
        <v>241345682</v>
      </c>
      <c r="D156" s="361">
        <f t="shared" si="7"/>
        <v>0</v>
      </c>
      <c r="E156" s="353">
        <f>'1856'!P8</f>
        <v>0</v>
      </c>
    </row>
    <row r="157" spans="1:5" x14ac:dyDescent="0.35">
      <c r="A157" s="369"/>
      <c r="B157" s="351" t="s">
        <v>245</v>
      </c>
      <c r="C157" s="352">
        <f>'1856'!C9</f>
        <v>71869911</v>
      </c>
      <c r="D157" s="361">
        <f t="shared" si="7"/>
        <v>0</v>
      </c>
      <c r="E157" s="353">
        <f>'1856'!P9</f>
        <v>0</v>
      </c>
    </row>
    <row r="158" spans="1:5" x14ac:dyDescent="0.35">
      <c r="A158" s="369">
        <v>4</v>
      </c>
      <c r="B158" s="351" t="s">
        <v>244</v>
      </c>
      <c r="C158" s="352">
        <f>'1856'!C10</f>
        <v>241345678</v>
      </c>
      <c r="D158" s="361">
        <f t="shared" si="7"/>
        <v>0</v>
      </c>
      <c r="E158" s="353">
        <f>'1856'!P10</f>
        <v>0</v>
      </c>
    </row>
    <row r="159" spans="1:5" x14ac:dyDescent="0.35">
      <c r="A159" s="369"/>
      <c r="B159" s="351" t="s">
        <v>245</v>
      </c>
      <c r="C159" s="352">
        <f>'1856'!C11</f>
        <v>71869913</v>
      </c>
      <c r="D159" s="361">
        <f t="shared" si="7"/>
        <v>0</v>
      </c>
      <c r="E159" s="353">
        <f>'1856'!P11</f>
        <v>0</v>
      </c>
    </row>
    <row r="160" spans="1:5" x14ac:dyDescent="0.35">
      <c r="A160" s="369">
        <v>5</v>
      </c>
      <c r="B160" s="351" t="s">
        <v>244</v>
      </c>
      <c r="C160" s="352">
        <f>'1856'!C12</f>
        <v>241345684</v>
      </c>
      <c r="D160" s="361">
        <f t="shared" si="7"/>
        <v>0</v>
      </c>
      <c r="E160" s="353">
        <f>'1856'!P12</f>
        <v>0</v>
      </c>
    </row>
    <row r="161" spans="1:5" x14ac:dyDescent="0.35">
      <c r="A161" s="369"/>
      <c r="B161" s="351" t="s">
        <v>245</v>
      </c>
      <c r="C161" s="352">
        <f>'1856'!C13</f>
        <v>71869909</v>
      </c>
      <c r="D161" s="361">
        <f t="shared" si="7"/>
        <v>0</v>
      </c>
      <c r="E161" s="353">
        <f>'1856'!P13</f>
        <v>0</v>
      </c>
    </row>
    <row r="162" spans="1:5" x14ac:dyDescent="0.35">
      <c r="A162" s="369">
        <v>6</v>
      </c>
      <c r="B162" s="351" t="s">
        <v>244</v>
      </c>
      <c r="C162" s="352">
        <f>'1856'!C14</f>
        <v>241345681</v>
      </c>
      <c r="D162" s="361">
        <f t="shared" si="7"/>
        <v>0</v>
      </c>
      <c r="E162" s="353">
        <f>'1856'!P14</f>
        <v>0</v>
      </c>
    </row>
    <row r="163" spans="1:5" x14ac:dyDescent="0.35">
      <c r="A163" s="369"/>
      <c r="B163" s="351" t="s">
        <v>245</v>
      </c>
      <c r="C163" s="352">
        <f>'1856'!C15</f>
        <v>71869918</v>
      </c>
      <c r="D163" s="361">
        <f t="shared" si="7"/>
        <v>0</v>
      </c>
      <c r="E163" s="353">
        <f>'1856'!P15</f>
        <v>0</v>
      </c>
    </row>
    <row r="164" spans="1:5" x14ac:dyDescent="0.35">
      <c r="A164" s="369">
        <v>7</v>
      </c>
      <c r="B164" s="351" t="s">
        <v>244</v>
      </c>
      <c r="C164" s="352">
        <f>'1856'!C16</f>
        <v>241345676</v>
      </c>
      <c r="D164" s="361">
        <f t="shared" si="7"/>
        <v>0</v>
      </c>
      <c r="E164" s="353">
        <f>'1856'!P16</f>
        <v>0</v>
      </c>
    </row>
    <row r="165" spans="1:5" x14ac:dyDescent="0.35">
      <c r="A165" s="369"/>
      <c r="B165" s="351" t="s">
        <v>245</v>
      </c>
      <c r="C165" s="352">
        <f>'1856'!C17</f>
        <v>71869916</v>
      </c>
      <c r="D165" s="361">
        <f t="shared" si="7"/>
        <v>0</v>
      </c>
      <c r="E165" s="353">
        <f>'1856'!P17</f>
        <v>0</v>
      </c>
    </row>
    <row r="166" spans="1:5" x14ac:dyDescent="0.35">
      <c r="A166" s="369">
        <v>8</v>
      </c>
      <c r="B166" s="351" t="s">
        <v>244</v>
      </c>
      <c r="C166" s="352">
        <f>'1856'!C18</f>
        <v>241345679</v>
      </c>
      <c r="D166" s="361">
        <f t="shared" si="7"/>
        <v>0</v>
      </c>
      <c r="E166" s="353">
        <f>'1856'!P18</f>
        <v>0</v>
      </c>
    </row>
    <row r="167" spans="1:5" x14ac:dyDescent="0.35">
      <c r="A167" s="369"/>
      <c r="B167" s="351" t="s">
        <v>245</v>
      </c>
      <c r="C167" s="352">
        <f>'1856'!C19</f>
        <v>71869910</v>
      </c>
      <c r="D167" s="361">
        <f t="shared" si="7"/>
        <v>0</v>
      </c>
      <c r="E167" s="353">
        <f>'1856'!P19</f>
        <v>0</v>
      </c>
    </row>
    <row r="168" spans="1:5" x14ac:dyDescent="0.35">
      <c r="A168" s="369">
        <v>9</v>
      </c>
      <c r="B168" s="351" t="s">
        <v>244</v>
      </c>
      <c r="C168" s="352">
        <f>'1856'!C20</f>
        <v>241345705</v>
      </c>
      <c r="D168" s="361">
        <f t="shared" si="7"/>
        <v>0</v>
      </c>
      <c r="E168" s="353">
        <f>'1856'!P20</f>
        <v>0</v>
      </c>
    </row>
    <row r="169" spans="1:5" x14ac:dyDescent="0.35">
      <c r="A169" s="369"/>
      <c r="B169" s="351" t="s">
        <v>245</v>
      </c>
      <c r="C169" s="352">
        <f>'1856'!C21</f>
        <v>71869917</v>
      </c>
      <c r="D169" s="361">
        <f t="shared" si="7"/>
        <v>0</v>
      </c>
      <c r="E169" s="353">
        <f>'1856'!P21</f>
        <v>0</v>
      </c>
    </row>
    <row r="170" spans="1:5" x14ac:dyDescent="0.35">
      <c r="A170" s="369">
        <v>10</v>
      </c>
      <c r="B170" s="351" t="s">
        <v>244</v>
      </c>
      <c r="C170" s="352">
        <f>'1856'!C22</f>
        <v>241345652</v>
      </c>
      <c r="D170" s="361">
        <f t="shared" si="7"/>
        <v>0</v>
      </c>
      <c r="E170" s="353">
        <f>'1856'!P22</f>
        <v>0</v>
      </c>
    </row>
    <row r="171" spans="1:5" ht="15" thickBot="1" x14ac:dyDescent="0.4">
      <c r="A171" s="370"/>
      <c r="B171" s="355" t="s">
        <v>245</v>
      </c>
      <c r="C171" s="356">
        <f>'1856'!C23</f>
        <v>71869915</v>
      </c>
      <c r="D171" s="362">
        <f t="shared" si="7"/>
        <v>0</v>
      </c>
      <c r="E171" s="357">
        <f>'1856'!P23</f>
        <v>0</v>
      </c>
    </row>
    <row r="172" spans="1:5" ht="15" thickBot="1" x14ac:dyDescent="0.4"/>
    <row r="173" spans="1:5" ht="21" x14ac:dyDescent="0.5">
      <c r="A173" s="346" t="s">
        <v>2</v>
      </c>
      <c r="B173" s="347">
        <v>1857</v>
      </c>
      <c r="C173" s="348" t="s">
        <v>260</v>
      </c>
      <c r="D173" s="349" t="s">
        <v>261</v>
      </c>
      <c r="E173" s="350" t="s">
        <v>262</v>
      </c>
    </row>
    <row r="174" spans="1:5" x14ac:dyDescent="0.35">
      <c r="A174" s="369">
        <v>1</v>
      </c>
      <c r="B174" s="351" t="s">
        <v>244</v>
      </c>
      <c r="C174" s="352">
        <f>'1857'!C4</f>
        <v>241345711</v>
      </c>
      <c r="D174" s="361">
        <f>D2</f>
        <v>0</v>
      </c>
      <c r="E174" s="353">
        <f>'1857'!P4</f>
        <v>0</v>
      </c>
    </row>
    <row r="175" spans="1:5" x14ac:dyDescent="0.35">
      <c r="A175" s="369"/>
      <c r="B175" s="351" t="s">
        <v>245</v>
      </c>
      <c r="C175" s="352">
        <f>'1857'!C5</f>
        <v>71182250</v>
      </c>
      <c r="D175" s="361">
        <f>D174</f>
        <v>0</v>
      </c>
      <c r="E175" s="353">
        <f>'1857'!P5</f>
        <v>0</v>
      </c>
    </row>
    <row r="176" spans="1:5" x14ac:dyDescent="0.35">
      <c r="A176" s="369">
        <v>2</v>
      </c>
      <c r="B176" s="351" t="s">
        <v>244</v>
      </c>
      <c r="C176" s="352">
        <f>'1857'!C6</f>
        <v>241010620</v>
      </c>
      <c r="D176" s="361">
        <f t="shared" ref="D176:D193" si="8">D175</f>
        <v>0</v>
      </c>
      <c r="E176" s="353">
        <f>'1857'!P6</f>
        <v>0</v>
      </c>
    </row>
    <row r="177" spans="1:5" x14ac:dyDescent="0.35">
      <c r="A177" s="369"/>
      <c r="B177" s="351" t="s">
        <v>245</v>
      </c>
      <c r="C177" s="352">
        <f>'1857'!C7</f>
        <v>71182222</v>
      </c>
      <c r="D177" s="361">
        <f t="shared" si="8"/>
        <v>0</v>
      </c>
      <c r="E177" s="353">
        <f>'1857'!P7</f>
        <v>0</v>
      </c>
    </row>
    <row r="178" spans="1:5" x14ac:dyDescent="0.35">
      <c r="A178" s="369">
        <v>3</v>
      </c>
      <c r="B178" s="351" t="s">
        <v>244</v>
      </c>
      <c r="C178" s="352">
        <f>'1857'!C8</f>
        <v>241010656</v>
      </c>
      <c r="D178" s="361">
        <f t="shared" si="8"/>
        <v>0</v>
      </c>
      <c r="E178" s="353">
        <f>'1857'!P8</f>
        <v>0</v>
      </c>
    </row>
    <row r="179" spans="1:5" x14ac:dyDescent="0.35">
      <c r="A179" s="369"/>
      <c r="B179" s="351" t="s">
        <v>245</v>
      </c>
      <c r="C179" s="352">
        <f>'1857'!C9</f>
        <v>71182219</v>
      </c>
      <c r="D179" s="361">
        <f t="shared" si="8"/>
        <v>0</v>
      </c>
      <c r="E179" s="353">
        <f>'1857'!P9</f>
        <v>0</v>
      </c>
    </row>
    <row r="180" spans="1:5" x14ac:dyDescent="0.35">
      <c r="A180" s="369">
        <v>4</v>
      </c>
      <c r="B180" s="351" t="s">
        <v>244</v>
      </c>
      <c r="C180" s="352">
        <f>'1857'!C10</f>
        <v>241010658</v>
      </c>
      <c r="D180" s="361">
        <f t="shared" si="8"/>
        <v>0</v>
      </c>
      <c r="E180" s="353">
        <f>'1857'!P10</f>
        <v>0</v>
      </c>
    </row>
    <row r="181" spans="1:5" x14ac:dyDescent="0.35">
      <c r="A181" s="369"/>
      <c r="B181" s="351" t="s">
        <v>245</v>
      </c>
      <c r="C181" s="352">
        <f>'1857'!C11</f>
        <v>71182257</v>
      </c>
      <c r="D181" s="361">
        <f t="shared" si="8"/>
        <v>0</v>
      </c>
      <c r="E181" s="353">
        <f>'1857'!P11</f>
        <v>0</v>
      </c>
    </row>
    <row r="182" spans="1:5" x14ac:dyDescent="0.35">
      <c r="A182" s="369">
        <v>5</v>
      </c>
      <c r="B182" s="351" t="s">
        <v>244</v>
      </c>
      <c r="C182" s="352">
        <f>'1857'!C12</f>
        <v>241345710</v>
      </c>
      <c r="D182" s="361">
        <f t="shared" si="8"/>
        <v>0</v>
      </c>
      <c r="E182" s="353">
        <f>'1857'!P12</f>
        <v>0</v>
      </c>
    </row>
    <row r="183" spans="1:5" x14ac:dyDescent="0.35">
      <c r="A183" s="369"/>
      <c r="B183" s="351" t="s">
        <v>245</v>
      </c>
      <c r="C183" s="352">
        <f>'1857'!C13</f>
        <v>71182260</v>
      </c>
      <c r="D183" s="361">
        <f t="shared" si="8"/>
        <v>0</v>
      </c>
      <c r="E183" s="353">
        <f>'1857'!P13</f>
        <v>0</v>
      </c>
    </row>
    <row r="184" spans="1:5" x14ac:dyDescent="0.35">
      <c r="A184" s="369">
        <v>6</v>
      </c>
      <c r="B184" s="351" t="s">
        <v>244</v>
      </c>
      <c r="C184" s="352">
        <f>'1857'!C14</f>
        <v>241345707</v>
      </c>
      <c r="D184" s="361">
        <f t="shared" si="8"/>
        <v>0</v>
      </c>
      <c r="E184" s="353">
        <f>'1857'!P14</f>
        <v>0</v>
      </c>
    </row>
    <row r="185" spans="1:5" x14ac:dyDescent="0.35">
      <c r="A185" s="369"/>
      <c r="B185" s="351" t="s">
        <v>245</v>
      </c>
      <c r="C185" s="352">
        <f>'1857'!C15</f>
        <v>71182266</v>
      </c>
      <c r="D185" s="361">
        <f t="shared" si="8"/>
        <v>0</v>
      </c>
      <c r="E185" s="353">
        <f>'1857'!P15</f>
        <v>0</v>
      </c>
    </row>
    <row r="186" spans="1:5" x14ac:dyDescent="0.35">
      <c r="A186" s="369">
        <v>7</v>
      </c>
      <c r="B186" s="351" t="s">
        <v>244</v>
      </c>
      <c r="C186" s="352">
        <f>'1857'!C16</f>
        <v>241345708</v>
      </c>
      <c r="D186" s="361">
        <f t="shared" si="8"/>
        <v>0</v>
      </c>
      <c r="E186" s="353">
        <f>'1857'!P16</f>
        <v>0</v>
      </c>
    </row>
    <row r="187" spans="1:5" x14ac:dyDescent="0.35">
      <c r="A187" s="369"/>
      <c r="B187" s="351" t="s">
        <v>245</v>
      </c>
      <c r="C187" s="352">
        <f>'1857'!C17</f>
        <v>71182229</v>
      </c>
      <c r="D187" s="361">
        <f t="shared" si="8"/>
        <v>0</v>
      </c>
      <c r="E187" s="353">
        <f>'1857'!P17</f>
        <v>0</v>
      </c>
    </row>
    <row r="188" spans="1:5" x14ac:dyDescent="0.35">
      <c r="A188" s="369">
        <v>8</v>
      </c>
      <c r="B188" s="351" t="s">
        <v>244</v>
      </c>
      <c r="C188" s="352">
        <f>'1857'!C18</f>
        <v>241010654</v>
      </c>
      <c r="D188" s="361">
        <f t="shared" si="8"/>
        <v>0</v>
      </c>
      <c r="E188" s="353">
        <f>'1857'!P18</f>
        <v>0</v>
      </c>
    </row>
    <row r="189" spans="1:5" x14ac:dyDescent="0.35">
      <c r="A189" s="369"/>
      <c r="B189" s="351" t="s">
        <v>245</v>
      </c>
      <c r="C189" s="352">
        <f>'1857'!C19</f>
        <v>71182239</v>
      </c>
      <c r="D189" s="361">
        <f t="shared" si="8"/>
        <v>0</v>
      </c>
      <c r="E189" s="353">
        <f>'1857'!P19</f>
        <v>0</v>
      </c>
    </row>
    <row r="190" spans="1:5" x14ac:dyDescent="0.35">
      <c r="A190" s="369">
        <v>9</v>
      </c>
      <c r="B190" s="351" t="s">
        <v>244</v>
      </c>
      <c r="C190" s="352">
        <f>'1857'!C20</f>
        <v>241010649</v>
      </c>
      <c r="D190" s="361">
        <f t="shared" si="8"/>
        <v>0</v>
      </c>
      <c r="E190" s="353">
        <f>'1857'!P20</f>
        <v>0</v>
      </c>
    </row>
    <row r="191" spans="1:5" x14ac:dyDescent="0.35">
      <c r="A191" s="369"/>
      <c r="B191" s="351" t="s">
        <v>245</v>
      </c>
      <c r="C191" s="352">
        <f>'1857'!C21</f>
        <v>71182226</v>
      </c>
      <c r="D191" s="361">
        <f t="shared" si="8"/>
        <v>0</v>
      </c>
      <c r="E191" s="353">
        <f>'1857'!P21</f>
        <v>0</v>
      </c>
    </row>
    <row r="192" spans="1:5" x14ac:dyDescent="0.35">
      <c r="A192" s="369">
        <v>10</v>
      </c>
      <c r="B192" s="351" t="s">
        <v>244</v>
      </c>
      <c r="C192" s="352">
        <f>'1857'!C22</f>
        <v>241010653</v>
      </c>
      <c r="D192" s="361">
        <f t="shared" si="8"/>
        <v>0</v>
      </c>
      <c r="E192" s="353">
        <f>'1857'!P22</f>
        <v>0</v>
      </c>
    </row>
    <row r="193" spans="1:5" ht="15" thickBot="1" x14ac:dyDescent="0.4">
      <c r="A193" s="370"/>
      <c r="B193" s="355" t="s">
        <v>245</v>
      </c>
      <c r="C193" s="356">
        <f>'1857'!C23</f>
        <v>71182216</v>
      </c>
      <c r="D193" s="362">
        <f t="shared" si="8"/>
        <v>0</v>
      </c>
      <c r="E193" s="357">
        <f>'1857'!P23</f>
        <v>0</v>
      </c>
    </row>
    <row r="195" spans="1:5" x14ac:dyDescent="0.35">
      <c r="D195" s="104" t="s">
        <v>269</v>
      </c>
      <c r="E195">
        <f>SUM(E1:E194)</f>
        <v>29.795999999999999</v>
      </c>
    </row>
  </sheetData>
  <sheetProtection selectLockedCells="1" selectUnlockedCells="1"/>
  <mergeCells count="75">
    <mergeCell ref="A190:A191"/>
    <mergeCell ref="A192:A193"/>
    <mergeCell ref="A178:A179"/>
    <mergeCell ref="A180:A181"/>
    <mergeCell ref="A182:A183"/>
    <mergeCell ref="A184:A185"/>
    <mergeCell ref="A186:A187"/>
    <mergeCell ref="A188:A189"/>
    <mergeCell ref="A176:A177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4:A175"/>
    <mergeCell ref="A148:A149"/>
    <mergeCell ref="A124:A125"/>
    <mergeCell ref="A126:A127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22:A123"/>
    <mergeCell ref="A98:A99"/>
    <mergeCell ref="A100:A101"/>
    <mergeCell ref="A102:A103"/>
    <mergeCell ref="A104:A105"/>
    <mergeCell ref="A108:A109"/>
    <mergeCell ref="A110:A111"/>
    <mergeCell ref="A112:A113"/>
    <mergeCell ref="A114:A115"/>
    <mergeCell ref="A116:A117"/>
    <mergeCell ref="A118:A119"/>
    <mergeCell ref="A120:A121"/>
    <mergeCell ref="A96:A97"/>
    <mergeCell ref="A72:A73"/>
    <mergeCell ref="A74:A75"/>
    <mergeCell ref="A76:A77"/>
    <mergeCell ref="A78:A79"/>
    <mergeCell ref="A80:A81"/>
    <mergeCell ref="A82:A83"/>
    <mergeCell ref="A86:A87"/>
    <mergeCell ref="A88:A89"/>
    <mergeCell ref="A90:A91"/>
    <mergeCell ref="A92:A93"/>
    <mergeCell ref="A94:A95"/>
    <mergeCell ref="A69:A71"/>
    <mergeCell ref="A30:A31"/>
    <mergeCell ref="A36:A37"/>
    <mergeCell ref="A14:A15"/>
    <mergeCell ref="A16:A17"/>
    <mergeCell ref="A18:A19"/>
    <mergeCell ref="A20:A21"/>
    <mergeCell ref="A24:A25"/>
    <mergeCell ref="A40:A41"/>
    <mergeCell ref="A42:A43"/>
    <mergeCell ref="A63:A64"/>
    <mergeCell ref="A65:A66"/>
    <mergeCell ref="A67:A68"/>
    <mergeCell ref="A12:A13"/>
    <mergeCell ref="A2:A3"/>
    <mergeCell ref="A4:A5"/>
    <mergeCell ref="A6:A7"/>
    <mergeCell ref="A8:A9"/>
    <mergeCell ref="A10:A11"/>
  </mergeCells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D1E3-56C4-430D-B3D1-3530910DA825}">
  <dimension ref="A1:H195"/>
  <sheetViews>
    <sheetView workbookViewId="0">
      <selection sqref="A1:XFD1"/>
    </sheetView>
  </sheetViews>
  <sheetFormatPr defaultRowHeight="14.5" x14ac:dyDescent="0.35"/>
  <cols>
    <col min="1" max="1" width="8.54296875" style="1" customWidth="1"/>
    <col min="2" max="2" width="15.54296875" customWidth="1"/>
    <col min="3" max="3" width="13.7265625" style="159" customWidth="1"/>
    <col min="4" max="4" width="11.90625" style="1" customWidth="1"/>
    <col min="5" max="5" width="10.1796875" customWidth="1"/>
  </cols>
  <sheetData>
    <row r="1" spans="1:5" s="1" customFormat="1" ht="21" customHeight="1" x14ac:dyDescent="0.5">
      <c r="A1" s="346" t="s">
        <v>2</v>
      </c>
      <c r="B1" s="347">
        <v>1850</v>
      </c>
      <c r="C1" s="348" t="s">
        <v>260</v>
      </c>
      <c r="D1" s="349" t="s">
        <v>261</v>
      </c>
      <c r="E1" s="350" t="s">
        <v>262</v>
      </c>
    </row>
    <row r="2" spans="1:5" s="1" customFormat="1" x14ac:dyDescent="0.35">
      <c r="A2" s="369">
        <v>1</v>
      </c>
      <c r="B2" s="351" t="s">
        <v>244</v>
      </c>
      <c r="C2" s="352">
        <v>241345698</v>
      </c>
      <c r="D2" s="361">
        <v>46022</v>
      </c>
      <c r="E2" s="353">
        <v>131.76499999999999</v>
      </c>
    </row>
    <row r="3" spans="1:5" x14ac:dyDescent="0.35">
      <c r="A3" s="369"/>
      <c r="B3" s="351" t="s">
        <v>245</v>
      </c>
      <c r="C3" s="352">
        <v>71182278</v>
      </c>
      <c r="D3" s="361">
        <v>46022</v>
      </c>
      <c r="E3" s="353">
        <v>88.236999999999995</v>
      </c>
    </row>
    <row r="4" spans="1:5" x14ac:dyDescent="0.35">
      <c r="A4" s="369">
        <v>2</v>
      </c>
      <c r="B4" s="351" t="s">
        <v>244</v>
      </c>
      <c r="C4" s="352">
        <v>241345701</v>
      </c>
      <c r="D4" s="361">
        <v>46022</v>
      </c>
      <c r="E4" s="353">
        <v>209.27199999999999</v>
      </c>
    </row>
    <row r="5" spans="1:5" x14ac:dyDescent="0.35">
      <c r="A5" s="369"/>
      <c r="B5" s="351" t="s">
        <v>245</v>
      </c>
      <c r="C5" s="352">
        <v>71182225</v>
      </c>
      <c r="D5" s="361">
        <v>46022</v>
      </c>
      <c r="E5" s="353">
        <v>116.53</v>
      </c>
    </row>
    <row r="6" spans="1:5" x14ac:dyDescent="0.35">
      <c r="A6" s="369">
        <v>3</v>
      </c>
      <c r="B6" s="351" t="s">
        <v>244</v>
      </c>
      <c r="C6" s="352">
        <v>241345691</v>
      </c>
      <c r="D6" s="361">
        <v>46022</v>
      </c>
      <c r="E6" s="353">
        <v>70.033000000000001</v>
      </c>
    </row>
    <row r="7" spans="1:5" x14ac:dyDescent="0.35">
      <c r="A7" s="369"/>
      <c r="B7" s="351" t="s">
        <v>245</v>
      </c>
      <c r="C7" s="352">
        <v>71182284</v>
      </c>
      <c r="D7" s="361">
        <v>46022</v>
      </c>
      <c r="E7" s="353">
        <v>79.837999999999994</v>
      </c>
    </row>
    <row r="8" spans="1:5" x14ac:dyDescent="0.35">
      <c r="A8" s="369">
        <v>4</v>
      </c>
      <c r="B8" s="351" t="s">
        <v>244</v>
      </c>
      <c r="C8" s="352">
        <v>241345696</v>
      </c>
      <c r="D8" s="361">
        <v>46022</v>
      </c>
      <c r="E8" s="353">
        <v>125.38500000000001</v>
      </c>
    </row>
    <row r="9" spans="1:5" x14ac:dyDescent="0.35">
      <c r="A9" s="369"/>
      <c r="B9" s="351" t="s">
        <v>245</v>
      </c>
      <c r="C9" s="352">
        <v>71182235</v>
      </c>
      <c r="D9" s="361">
        <v>46022</v>
      </c>
      <c r="E9" s="353">
        <v>54.863</v>
      </c>
    </row>
    <row r="10" spans="1:5" x14ac:dyDescent="0.35">
      <c r="A10" s="369">
        <v>5</v>
      </c>
      <c r="B10" s="351" t="s">
        <v>244</v>
      </c>
      <c r="C10" s="352">
        <v>241345690</v>
      </c>
      <c r="D10" s="361">
        <v>46022</v>
      </c>
      <c r="E10" s="353">
        <v>118.4</v>
      </c>
    </row>
    <row r="11" spans="1:5" x14ac:dyDescent="0.35">
      <c r="A11" s="369"/>
      <c r="B11" s="351" t="s">
        <v>245</v>
      </c>
      <c r="C11" s="352">
        <v>71182238</v>
      </c>
      <c r="D11" s="361">
        <v>46022</v>
      </c>
      <c r="E11" s="353">
        <v>78.233999999999995</v>
      </c>
    </row>
    <row r="12" spans="1:5" x14ac:dyDescent="0.35">
      <c r="A12" s="369">
        <v>6</v>
      </c>
      <c r="B12" s="351" t="s">
        <v>244</v>
      </c>
      <c r="C12" s="352">
        <v>241345700</v>
      </c>
      <c r="D12" s="361">
        <v>46022</v>
      </c>
      <c r="E12" s="353">
        <v>70.558000000000007</v>
      </c>
    </row>
    <row r="13" spans="1:5" x14ac:dyDescent="0.35">
      <c r="A13" s="369"/>
      <c r="B13" s="351" t="s">
        <v>245</v>
      </c>
      <c r="C13" s="352">
        <v>71182269</v>
      </c>
      <c r="D13" s="361">
        <v>46022</v>
      </c>
      <c r="E13" s="353">
        <v>116.54600000000001</v>
      </c>
    </row>
    <row r="14" spans="1:5" x14ac:dyDescent="0.35">
      <c r="A14" s="369">
        <v>7</v>
      </c>
      <c r="B14" s="351" t="s">
        <v>244</v>
      </c>
      <c r="C14" s="352">
        <v>241345702</v>
      </c>
      <c r="D14" s="361">
        <v>46022</v>
      </c>
      <c r="E14" s="353">
        <v>47.512999999999998</v>
      </c>
    </row>
    <row r="15" spans="1:5" x14ac:dyDescent="0.35">
      <c r="A15" s="369"/>
      <c r="B15" s="351" t="s">
        <v>245</v>
      </c>
      <c r="C15" s="352">
        <v>71182265</v>
      </c>
      <c r="D15" s="361">
        <v>46022</v>
      </c>
      <c r="E15" s="353">
        <v>26.122</v>
      </c>
    </row>
    <row r="16" spans="1:5" x14ac:dyDescent="0.35">
      <c r="A16" s="369">
        <v>8</v>
      </c>
      <c r="B16" s="351" t="s">
        <v>244</v>
      </c>
      <c r="C16" s="352">
        <v>241345699</v>
      </c>
      <c r="D16" s="361">
        <v>46022</v>
      </c>
      <c r="E16" s="353">
        <v>9.2970000000000006</v>
      </c>
    </row>
    <row r="17" spans="1:5" x14ac:dyDescent="0.35">
      <c r="A17" s="369"/>
      <c r="B17" s="351" t="s">
        <v>245</v>
      </c>
      <c r="C17" s="352">
        <v>71182245</v>
      </c>
      <c r="D17" s="361">
        <v>46022</v>
      </c>
      <c r="E17" s="353">
        <v>77.412000000000006</v>
      </c>
    </row>
    <row r="18" spans="1:5" x14ac:dyDescent="0.35">
      <c r="A18" s="369">
        <v>9</v>
      </c>
      <c r="B18" s="351" t="s">
        <v>244</v>
      </c>
      <c r="C18" s="352">
        <v>241345692</v>
      </c>
      <c r="D18" s="361">
        <v>46022</v>
      </c>
      <c r="E18" s="353">
        <v>15.707000000000001</v>
      </c>
    </row>
    <row r="19" spans="1:5" x14ac:dyDescent="0.35">
      <c r="A19" s="369"/>
      <c r="B19" s="351" t="s">
        <v>245</v>
      </c>
      <c r="C19" s="352">
        <v>71182280</v>
      </c>
      <c r="D19" s="361">
        <v>46022</v>
      </c>
      <c r="E19" s="353">
        <v>18.462</v>
      </c>
    </row>
    <row r="20" spans="1:5" x14ac:dyDescent="0.35">
      <c r="A20" s="369">
        <v>10</v>
      </c>
      <c r="B20" s="351" t="s">
        <v>244</v>
      </c>
      <c r="C20" s="352">
        <v>241345695</v>
      </c>
      <c r="D20" s="361">
        <v>46022</v>
      </c>
      <c r="E20" s="353">
        <v>114.43300000000001</v>
      </c>
    </row>
    <row r="21" spans="1:5" ht="15" thickBot="1" x14ac:dyDescent="0.4">
      <c r="A21" s="370"/>
      <c r="B21" s="355" t="s">
        <v>245</v>
      </c>
      <c r="C21" s="356">
        <v>71182243</v>
      </c>
      <c r="D21" s="362">
        <v>46022</v>
      </c>
      <c r="E21" s="357">
        <v>95.253</v>
      </c>
    </row>
    <row r="22" spans="1:5" ht="15" thickBot="1" x14ac:dyDescent="0.4"/>
    <row r="23" spans="1:5" ht="21" x14ac:dyDescent="0.5">
      <c r="A23" s="346" t="s">
        <v>2</v>
      </c>
      <c r="B23" s="347">
        <v>1851</v>
      </c>
      <c r="C23" s="348" t="s">
        <v>260</v>
      </c>
      <c r="D23" s="349" t="s">
        <v>261</v>
      </c>
      <c r="E23" s="350" t="s">
        <v>262</v>
      </c>
    </row>
    <row r="24" spans="1:5" s="1" customFormat="1" ht="21" customHeight="1" x14ac:dyDescent="0.35">
      <c r="A24" s="369">
        <v>1</v>
      </c>
      <c r="B24" s="351" t="s">
        <v>244</v>
      </c>
      <c r="C24" s="352">
        <v>241010644</v>
      </c>
      <c r="D24" s="361">
        <v>46022</v>
      </c>
      <c r="E24" s="353">
        <v>199.73</v>
      </c>
    </row>
    <row r="25" spans="1:5" s="1" customFormat="1" x14ac:dyDescent="0.35">
      <c r="A25" s="369"/>
      <c r="B25" s="351" t="s">
        <v>245</v>
      </c>
      <c r="C25" s="352">
        <v>71182262</v>
      </c>
      <c r="D25" s="361">
        <v>46022</v>
      </c>
      <c r="E25" s="353">
        <v>122.956</v>
      </c>
    </row>
    <row r="26" spans="1:5" x14ac:dyDescent="0.35">
      <c r="A26" s="354">
        <v>2</v>
      </c>
      <c r="B26" s="351" t="s">
        <v>244</v>
      </c>
      <c r="C26" s="352">
        <v>241010636</v>
      </c>
      <c r="D26" s="361">
        <v>46022</v>
      </c>
      <c r="E26" s="353">
        <v>90.242000000000004</v>
      </c>
    </row>
    <row r="27" spans="1:5" x14ac:dyDescent="0.35">
      <c r="A27" s="354" t="s">
        <v>19</v>
      </c>
      <c r="B27" s="351" t="s">
        <v>245</v>
      </c>
      <c r="C27" s="352">
        <v>71182271</v>
      </c>
      <c r="D27" s="361">
        <v>46022</v>
      </c>
      <c r="E27" s="353">
        <v>148.721</v>
      </c>
    </row>
    <row r="28" spans="1:5" x14ac:dyDescent="0.35">
      <c r="A28" s="354">
        <v>5</v>
      </c>
      <c r="B28" s="351" t="s">
        <v>244</v>
      </c>
      <c r="C28" s="352">
        <v>241010648</v>
      </c>
      <c r="D28" s="361">
        <v>46022</v>
      </c>
      <c r="E28" s="353">
        <v>17.065000000000001</v>
      </c>
    </row>
    <row r="29" spans="1:5" x14ac:dyDescent="0.35">
      <c r="A29" s="354" t="s">
        <v>20</v>
      </c>
      <c r="B29" s="351" t="s">
        <v>245</v>
      </c>
      <c r="C29" s="352">
        <v>71182241</v>
      </c>
      <c r="D29" s="361">
        <v>46022</v>
      </c>
      <c r="E29" s="353">
        <v>144.35900000000001</v>
      </c>
    </row>
    <row r="30" spans="1:5" x14ac:dyDescent="0.35">
      <c r="A30" s="369">
        <v>4</v>
      </c>
      <c r="B30" s="351" t="s">
        <v>244</v>
      </c>
      <c r="C30" s="352">
        <v>241010642</v>
      </c>
      <c r="D30" s="361">
        <v>46022</v>
      </c>
      <c r="E30" s="353">
        <v>104.28</v>
      </c>
    </row>
    <row r="31" spans="1:5" x14ac:dyDescent="0.35">
      <c r="A31" s="369"/>
      <c r="B31" s="351" t="s">
        <v>245</v>
      </c>
      <c r="C31" s="352">
        <v>71182237</v>
      </c>
      <c r="D31" s="361">
        <v>46022</v>
      </c>
      <c r="E31" s="353">
        <v>30.652999999999999</v>
      </c>
    </row>
    <row r="32" spans="1:5" x14ac:dyDescent="0.35">
      <c r="A32" s="354">
        <v>9</v>
      </c>
      <c r="B32" s="351" t="s">
        <v>244</v>
      </c>
      <c r="C32" s="352">
        <v>241010637</v>
      </c>
      <c r="D32" s="361">
        <v>46022</v>
      </c>
      <c r="E32" s="353">
        <v>1.5880000000000001</v>
      </c>
    </row>
    <row r="33" spans="1:5" x14ac:dyDescent="0.35">
      <c r="A33" s="354" t="s">
        <v>21</v>
      </c>
      <c r="B33" s="351" t="s">
        <v>245</v>
      </c>
      <c r="C33" s="352">
        <v>71182221</v>
      </c>
      <c r="D33" s="361">
        <v>46022</v>
      </c>
      <c r="E33" s="353">
        <v>118.131</v>
      </c>
    </row>
    <row r="34" spans="1:5" x14ac:dyDescent="0.35">
      <c r="A34" s="354">
        <v>15</v>
      </c>
      <c r="B34" s="351" t="s">
        <v>244</v>
      </c>
      <c r="C34" s="352">
        <v>241010633</v>
      </c>
      <c r="D34" s="361">
        <v>46022</v>
      </c>
      <c r="E34" s="353">
        <v>25.972999999999999</v>
      </c>
    </row>
    <row r="35" spans="1:5" x14ac:dyDescent="0.35">
      <c r="A35" s="354" t="s">
        <v>22</v>
      </c>
      <c r="B35" s="351" t="s">
        <v>245</v>
      </c>
      <c r="C35" s="352">
        <v>71182276</v>
      </c>
      <c r="D35" s="361">
        <v>46022</v>
      </c>
      <c r="E35" s="353">
        <v>69.055000000000007</v>
      </c>
    </row>
    <row r="36" spans="1:5" x14ac:dyDescent="0.35">
      <c r="A36" s="369">
        <v>7</v>
      </c>
      <c r="B36" s="351" t="s">
        <v>244</v>
      </c>
      <c r="C36" s="352">
        <v>241010643</v>
      </c>
      <c r="D36" s="361">
        <v>46022</v>
      </c>
      <c r="E36" s="353">
        <v>108.226</v>
      </c>
    </row>
    <row r="37" spans="1:5" x14ac:dyDescent="0.35">
      <c r="A37" s="369"/>
      <c r="B37" s="351" t="s">
        <v>245</v>
      </c>
      <c r="C37" s="352">
        <v>71182256</v>
      </c>
      <c r="D37" s="361">
        <v>46022</v>
      </c>
      <c r="E37" s="353">
        <v>21.263000000000002</v>
      </c>
    </row>
    <row r="38" spans="1:5" x14ac:dyDescent="0.35">
      <c r="A38" s="354">
        <v>13</v>
      </c>
      <c r="B38" s="351" t="s">
        <v>244</v>
      </c>
      <c r="C38" s="352">
        <v>241010631</v>
      </c>
      <c r="D38" s="361">
        <v>46022</v>
      </c>
      <c r="E38" s="353">
        <v>29.93</v>
      </c>
    </row>
    <row r="39" spans="1:5" x14ac:dyDescent="0.35">
      <c r="A39" s="354" t="s">
        <v>23</v>
      </c>
      <c r="B39" s="351" t="s">
        <v>245</v>
      </c>
      <c r="C39" s="352">
        <v>71182279</v>
      </c>
      <c r="D39" s="361">
        <v>46022</v>
      </c>
      <c r="E39" s="353">
        <v>107.747</v>
      </c>
    </row>
    <row r="40" spans="1:5" x14ac:dyDescent="0.35">
      <c r="A40" s="369">
        <v>14</v>
      </c>
      <c r="B40" s="351" t="s">
        <v>244</v>
      </c>
      <c r="C40" s="352">
        <v>241010632</v>
      </c>
      <c r="D40" s="361">
        <v>46022</v>
      </c>
      <c r="E40" s="353">
        <v>120.691</v>
      </c>
    </row>
    <row r="41" spans="1:5" x14ac:dyDescent="0.35">
      <c r="A41" s="369"/>
      <c r="B41" s="351" t="s">
        <v>245</v>
      </c>
      <c r="C41" s="352">
        <v>71182252</v>
      </c>
      <c r="D41" s="361">
        <v>46022</v>
      </c>
      <c r="E41" s="353">
        <v>113.934</v>
      </c>
    </row>
    <row r="42" spans="1:5" x14ac:dyDescent="0.35">
      <c r="A42" s="369">
        <v>10</v>
      </c>
      <c r="B42" s="351" t="s">
        <v>244</v>
      </c>
      <c r="C42" s="352">
        <v>241010635</v>
      </c>
      <c r="D42" s="361">
        <v>46022</v>
      </c>
      <c r="E42" s="353">
        <v>32.06</v>
      </c>
    </row>
    <row r="43" spans="1:5" ht="15" thickBot="1" x14ac:dyDescent="0.4">
      <c r="A43" s="370"/>
      <c r="B43" s="355" t="s">
        <v>245</v>
      </c>
      <c r="C43" s="356">
        <v>71182234</v>
      </c>
      <c r="D43" s="362">
        <v>46022</v>
      </c>
      <c r="E43" s="357">
        <v>71.66</v>
      </c>
    </row>
    <row r="44" spans="1:5" ht="15" thickBot="1" x14ac:dyDescent="0.4"/>
    <row r="45" spans="1:5" ht="15" thickBot="1" x14ac:dyDescent="0.4">
      <c r="A45" s="338">
        <v>3</v>
      </c>
      <c r="B45" s="320" t="s">
        <v>251</v>
      </c>
      <c r="C45" s="323">
        <v>241010630</v>
      </c>
      <c r="D45" s="363">
        <v>46022</v>
      </c>
      <c r="E45" s="339">
        <v>21.355</v>
      </c>
    </row>
    <row r="46" spans="1:5" ht="15" thickBot="1" x14ac:dyDescent="0.4">
      <c r="A46" s="340">
        <v>6</v>
      </c>
      <c r="B46" s="10" t="s">
        <v>251</v>
      </c>
      <c r="C46" s="323">
        <v>241010640</v>
      </c>
      <c r="D46" s="364">
        <v>46022</v>
      </c>
      <c r="E46" s="335">
        <v>20.181000000000001</v>
      </c>
    </row>
    <row r="47" spans="1:5" ht="15" thickBot="1" x14ac:dyDescent="0.4">
      <c r="A47" s="340">
        <v>8</v>
      </c>
      <c r="B47" s="10" t="s">
        <v>251</v>
      </c>
      <c r="C47" s="323">
        <v>241010650</v>
      </c>
      <c r="D47" s="364">
        <v>46022</v>
      </c>
      <c r="E47" s="335">
        <v>61.994999999999997</v>
      </c>
    </row>
    <row r="48" spans="1:5" ht="15" thickBot="1" x14ac:dyDescent="0.4">
      <c r="A48" s="340">
        <v>11</v>
      </c>
      <c r="B48" s="10" t="s">
        <v>252</v>
      </c>
      <c r="C48" s="323">
        <v>241010639</v>
      </c>
      <c r="D48" s="364">
        <v>46022</v>
      </c>
      <c r="E48" s="335">
        <v>24.088000000000001</v>
      </c>
    </row>
    <row r="49" spans="1:8" ht="15" thickBot="1" x14ac:dyDescent="0.4">
      <c r="A49" s="341">
        <v>12</v>
      </c>
      <c r="B49" s="282" t="s">
        <v>251</v>
      </c>
      <c r="C49" s="342">
        <v>241010641</v>
      </c>
      <c r="D49" s="365">
        <v>46022</v>
      </c>
      <c r="E49" s="336">
        <v>22.68</v>
      </c>
    </row>
    <row r="50" spans="1:8" ht="15" thickBot="1" x14ac:dyDescent="0.4"/>
    <row r="51" spans="1:8" ht="15" thickBot="1" x14ac:dyDescent="0.4">
      <c r="A51" s="343">
        <v>2</v>
      </c>
      <c r="B51" s="326" t="s">
        <v>253</v>
      </c>
      <c r="C51" s="330">
        <v>240093441</v>
      </c>
      <c r="D51" s="363">
        <v>46022</v>
      </c>
      <c r="E51" s="163">
        <v>40.052</v>
      </c>
    </row>
    <row r="52" spans="1:8" ht="15" thickBot="1" x14ac:dyDescent="0.4">
      <c r="A52" s="337">
        <v>3</v>
      </c>
      <c r="B52" s="327" t="s">
        <v>253</v>
      </c>
      <c r="C52" s="330">
        <v>240093452</v>
      </c>
      <c r="D52" s="364">
        <v>46022</v>
      </c>
      <c r="E52" s="344">
        <v>12.202999999999999</v>
      </c>
    </row>
    <row r="53" spans="1:8" ht="15" thickBot="1" x14ac:dyDescent="0.4">
      <c r="A53" s="337">
        <v>5</v>
      </c>
      <c r="B53" s="327" t="s">
        <v>253</v>
      </c>
      <c r="C53" s="330">
        <v>240093448</v>
      </c>
      <c r="D53" s="364">
        <v>46022</v>
      </c>
      <c r="E53" s="344">
        <v>4.9359999999999999</v>
      </c>
    </row>
    <row r="54" spans="1:8" ht="15" thickBot="1" x14ac:dyDescent="0.4">
      <c r="A54" s="337">
        <v>6</v>
      </c>
      <c r="B54" s="327" t="s">
        <v>253</v>
      </c>
      <c r="C54" s="330">
        <v>240093431</v>
      </c>
      <c r="D54" s="364">
        <v>46022</v>
      </c>
      <c r="E54" s="344">
        <v>14.064</v>
      </c>
    </row>
    <row r="55" spans="1:8" ht="15" thickBot="1" x14ac:dyDescent="0.4">
      <c r="A55" s="337">
        <v>9</v>
      </c>
      <c r="B55" s="327" t="s">
        <v>253</v>
      </c>
      <c r="C55" s="330">
        <v>240093433</v>
      </c>
      <c r="D55" s="364">
        <v>46022</v>
      </c>
      <c r="E55" s="344">
        <v>1.3740000000000001</v>
      </c>
    </row>
    <row r="56" spans="1:8" ht="15" thickBot="1" x14ac:dyDescent="0.4">
      <c r="A56" s="337">
        <v>8</v>
      </c>
      <c r="B56" s="327" t="s">
        <v>253</v>
      </c>
      <c r="C56" s="330">
        <v>240093446</v>
      </c>
      <c r="D56" s="364">
        <v>46022</v>
      </c>
      <c r="E56" s="344">
        <v>29.33</v>
      </c>
    </row>
    <row r="57" spans="1:8" ht="15" thickBot="1" x14ac:dyDescent="0.4">
      <c r="A57" s="337">
        <v>15</v>
      </c>
      <c r="B57" s="327" t="s">
        <v>253</v>
      </c>
      <c r="C57" s="330">
        <v>240093449</v>
      </c>
      <c r="D57" s="364">
        <v>46022</v>
      </c>
      <c r="E57" s="344">
        <v>16.875</v>
      </c>
    </row>
    <row r="58" spans="1:8" ht="15" thickBot="1" x14ac:dyDescent="0.4">
      <c r="A58" s="337">
        <v>11</v>
      </c>
      <c r="B58" s="327" t="s">
        <v>253</v>
      </c>
      <c r="C58" s="330">
        <v>240092369</v>
      </c>
      <c r="D58" s="364">
        <v>46022</v>
      </c>
      <c r="E58" s="344">
        <v>11.613</v>
      </c>
    </row>
    <row r="59" spans="1:8" ht="15" thickBot="1" x14ac:dyDescent="0.4">
      <c r="A59" s="337">
        <v>13</v>
      </c>
      <c r="B59" s="327" t="s">
        <v>253</v>
      </c>
      <c r="C59" s="330">
        <v>240093432</v>
      </c>
      <c r="D59" s="364">
        <v>46022</v>
      </c>
      <c r="E59" s="344">
        <v>20.652999999999999</v>
      </c>
    </row>
    <row r="60" spans="1:8" ht="15" thickBot="1" x14ac:dyDescent="0.4">
      <c r="A60" s="345">
        <v>12</v>
      </c>
      <c r="B60" s="328" t="s">
        <v>253</v>
      </c>
      <c r="C60" s="342">
        <v>240093416</v>
      </c>
      <c r="D60" s="365">
        <v>46022</v>
      </c>
      <c r="E60" s="336">
        <v>13.561999999999999</v>
      </c>
    </row>
    <row r="61" spans="1:8" ht="15" thickBot="1" x14ac:dyDescent="0.4">
      <c r="E61" s="9"/>
    </row>
    <row r="62" spans="1:8" ht="21" x14ac:dyDescent="0.5">
      <c r="A62" s="346" t="s">
        <v>2</v>
      </c>
      <c r="B62" s="347">
        <v>1852</v>
      </c>
      <c r="C62" s="348" t="s">
        <v>260</v>
      </c>
      <c r="D62" s="349" t="s">
        <v>261</v>
      </c>
      <c r="E62" s="350" t="s">
        <v>262</v>
      </c>
    </row>
    <row r="63" spans="1:8" ht="14.5" customHeight="1" x14ac:dyDescent="0.35">
      <c r="A63" s="369">
        <v>1</v>
      </c>
      <c r="B63" s="351" t="s">
        <v>244</v>
      </c>
      <c r="C63" s="352">
        <v>241345697</v>
      </c>
      <c r="D63" s="361">
        <v>46022</v>
      </c>
      <c r="E63" s="353">
        <v>132.85499999999999</v>
      </c>
    </row>
    <row r="64" spans="1:8" s="1" customFormat="1" ht="14.5" customHeight="1" x14ac:dyDescent="0.35">
      <c r="A64" s="369"/>
      <c r="B64" s="351" t="s">
        <v>245</v>
      </c>
      <c r="C64" s="352">
        <v>71182233</v>
      </c>
      <c r="D64" s="361">
        <v>46022</v>
      </c>
      <c r="E64" s="353">
        <v>101.95399999999999</v>
      </c>
      <c r="G64"/>
      <c r="H64"/>
    </row>
    <row r="65" spans="1:8" s="1" customFormat="1" x14ac:dyDescent="0.35">
      <c r="A65" s="369">
        <v>2</v>
      </c>
      <c r="B65" s="351" t="s">
        <v>244</v>
      </c>
      <c r="C65" s="352">
        <v>241345687</v>
      </c>
      <c r="D65" s="361">
        <v>46022</v>
      </c>
      <c r="E65" s="353">
        <v>70.296000000000006</v>
      </c>
      <c r="G65"/>
      <c r="H65"/>
    </row>
    <row r="66" spans="1:8" x14ac:dyDescent="0.35">
      <c r="A66" s="369"/>
      <c r="B66" s="351" t="s">
        <v>245</v>
      </c>
      <c r="C66" s="352">
        <v>71182270</v>
      </c>
      <c r="D66" s="361">
        <v>46022</v>
      </c>
      <c r="E66" s="353">
        <v>53.345999999999997</v>
      </c>
    </row>
    <row r="67" spans="1:8" x14ac:dyDescent="0.35">
      <c r="A67" s="369">
        <v>3</v>
      </c>
      <c r="B67" s="351" t="s">
        <v>244</v>
      </c>
      <c r="C67" s="352">
        <v>241345688</v>
      </c>
      <c r="D67" s="361">
        <v>46022</v>
      </c>
      <c r="E67" s="353">
        <v>150.035</v>
      </c>
    </row>
    <row r="68" spans="1:8" x14ac:dyDescent="0.35">
      <c r="A68" s="369"/>
      <c r="B68" s="351" t="s">
        <v>245</v>
      </c>
      <c r="C68" s="352">
        <v>71182274</v>
      </c>
      <c r="D68" s="361">
        <v>46022</v>
      </c>
      <c r="E68" s="353">
        <v>142.691</v>
      </c>
    </row>
    <row r="69" spans="1:8" x14ac:dyDescent="0.35">
      <c r="A69" s="369">
        <v>4</v>
      </c>
      <c r="B69" s="358" t="s">
        <v>244</v>
      </c>
      <c r="C69" s="359">
        <v>241345693</v>
      </c>
      <c r="D69" s="366">
        <v>45741</v>
      </c>
      <c r="E69" s="360">
        <v>29.795999999999999</v>
      </c>
      <c r="G69" s="148" t="s">
        <v>263</v>
      </c>
      <c r="H69" s="148"/>
    </row>
    <row r="70" spans="1:8" x14ac:dyDescent="0.35">
      <c r="A70" s="369"/>
      <c r="B70" s="351" t="s">
        <v>244</v>
      </c>
      <c r="C70" s="352">
        <v>250434729</v>
      </c>
      <c r="D70" s="361">
        <v>46022</v>
      </c>
      <c r="E70" s="353">
        <v>71.463999999999999</v>
      </c>
      <c r="G70" t="s">
        <v>264</v>
      </c>
    </row>
    <row r="71" spans="1:8" x14ac:dyDescent="0.35">
      <c r="A71" s="369"/>
      <c r="B71" s="351" t="s">
        <v>245</v>
      </c>
      <c r="C71" s="352">
        <v>71182244</v>
      </c>
      <c r="D71" s="361">
        <v>46022</v>
      </c>
      <c r="E71" s="353">
        <v>104.88</v>
      </c>
    </row>
    <row r="72" spans="1:8" x14ac:dyDescent="0.35">
      <c r="A72" s="369">
        <v>5</v>
      </c>
      <c r="B72" s="351" t="s">
        <v>244</v>
      </c>
      <c r="C72" s="352">
        <v>241345689</v>
      </c>
      <c r="D72" s="361">
        <v>46022</v>
      </c>
      <c r="E72" s="353">
        <v>89.153000000000006</v>
      </c>
    </row>
    <row r="73" spans="1:8" x14ac:dyDescent="0.35">
      <c r="A73" s="369"/>
      <c r="B73" s="351" t="s">
        <v>245</v>
      </c>
      <c r="C73" s="352">
        <v>71182251</v>
      </c>
      <c r="D73" s="361">
        <v>46022</v>
      </c>
      <c r="E73" s="353">
        <v>54.094999999999999</v>
      </c>
    </row>
    <row r="74" spans="1:8" x14ac:dyDescent="0.35">
      <c r="A74" s="369">
        <v>6</v>
      </c>
      <c r="B74" s="351" t="s">
        <v>244</v>
      </c>
      <c r="C74" s="352">
        <v>241345694</v>
      </c>
      <c r="D74" s="361">
        <v>46022</v>
      </c>
      <c r="E74" s="353">
        <v>75.263000000000005</v>
      </c>
    </row>
    <row r="75" spans="1:8" x14ac:dyDescent="0.35">
      <c r="A75" s="369"/>
      <c r="B75" s="351" t="s">
        <v>245</v>
      </c>
      <c r="C75" s="352">
        <v>71182283</v>
      </c>
      <c r="D75" s="361">
        <v>46022</v>
      </c>
      <c r="E75" s="353">
        <v>76.674999999999997</v>
      </c>
    </row>
    <row r="76" spans="1:8" x14ac:dyDescent="0.35">
      <c r="A76" s="369">
        <v>7</v>
      </c>
      <c r="B76" s="351" t="s">
        <v>244</v>
      </c>
      <c r="C76" s="352">
        <v>241345686</v>
      </c>
      <c r="D76" s="361">
        <v>46022</v>
      </c>
      <c r="E76" s="353">
        <v>13.324999999999999</v>
      </c>
    </row>
    <row r="77" spans="1:8" x14ac:dyDescent="0.35">
      <c r="A77" s="369"/>
      <c r="B77" s="351" t="s">
        <v>245</v>
      </c>
      <c r="C77" s="352">
        <v>71182277</v>
      </c>
      <c r="D77" s="361">
        <v>46022</v>
      </c>
      <c r="E77" s="353">
        <v>49.633000000000003</v>
      </c>
    </row>
    <row r="78" spans="1:8" x14ac:dyDescent="0.35">
      <c r="A78" s="369">
        <v>8</v>
      </c>
      <c r="B78" s="351" t="s">
        <v>244</v>
      </c>
      <c r="C78" s="352">
        <v>241345685</v>
      </c>
      <c r="D78" s="361">
        <v>46022</v>
      </c>
      <c r="E78" s="353">
        <v>154.03800000000001</v>
      </c>
    </row>
    <row r="79" spans="1:8" x14ac:dyDescent="0.35">
      <c r="A79" s="369"/>
      <c r="B79" s="351" t="s">
        <v>245</v>
      </c>
      <c r="C79" s="352">
        <v>71182246</v>
      </c>
      <c r="D79" s="361">
        <v>46022</v>
      </c>
      <c r="E79" s="353">
        <v>64.558999999999997</v>
      </c>
    </row>
    <row r="80" spans="1:8" x14ac:dyDescent="0.35">
      <c r="A80" s="369">
        <v>9</v>
      </c>
      <c r="B80" s="351" t="s">
        <v>244</v>
      </c>
      <c r="C80" s="352">
        <v>241345704</v>
      </c>
      <c r="D80" s="361">
        <v>46022</v>
      </c>
      <c r="E80" s="353">
        <v>108.13500000000001</v>
      </c>
    </row>
    <row r="81" spans="1:5" x14ac:dyDescent="0.35">
      <c r="A81" s="369"/>
      <c r="B81" s="351" t="s">
        <v>245</v>
      </c>
      <c r="C81" s="352">
        <v>71182282</v>
      </c>
      <c r="D81" s="361">
        <v>46022</v>
      </c>
      <c r="E81" s="353">
        <v>140.44200000000001</v>
      </c>
    </row>
    <row r="82" spans="1:5" x14ac:dyDescent="0.35">
      <c r="A82" s="369">
        <v>10</v>
      </c>
      <c r="B82" s="351" t="s">
        <v>244</v>
      </c>
      <c r="C82" s="352">
        <v>241345703</v>
      </c>
      <c r="D82" s="361">
        <v>46022</v>
      </c>
      <c r="E82" s="353">
        <v>87.055999999999997</v>
      </c>
    </row>
    <row r="83" spans="1:5" ht="15" thickBot="1" x14ac:dyDescent="0.4">
      <c r="A83" s="370"/>
      <c r="B83" s="355" t="s">
        <v>245</v>
      </c>
      <c r="C83" s="356">
        <v>71182240</v>
      </c>
      <c r="D83" s="362">
        <v>46022</v>
      </c>
      <c r="E83" s="357">
        <v>89.435000000000002</v>
      </c>
    </row>
    <row r="84" spans="1:5" ht="15" thickBot="1" x14ac:dyDescent="0.4"/>
    <row r="85" spans="1:5" s="1" customFormat="1" ht="21" customHeight="1" x14ac:dyDescent="0.5">
      <c r="A85" s="346" t="s">
        <v>2</v>
      </c>
      <c r="B85" s="347">
        <v>1853</v>
      </c>
      <c r="C85" s="348" t="s">
        <v>260</v>
      </c>
      <c r="D85" s="349" t="s">
        <v>261</v>
      </c>
      <c r="E85" s="350" t="s">
        <v>262</v>
      </c>
    </row>
    <row r="86" spans="1:5" s="1" customFormat="1" x14ac:dyDescent="0.35">
      <c r="A86" s="369">
        <v>1</v>
      </c>
      <c r="B86" s="351" t="s">
        <v>244</v>
      </c>
      <c r="C86" s="352">
        <v>241010646</v>
      </c>
      <c r="D86" s="361">
        <v>46022</v>
      </c>
      <c r="E86" s="353">
        <v>175.815</v>
      </c>
    </row>
    <row r="87" spans="1:5" x14ac:dyDescent="0.35">
      <c r="A87" s="369"/>
      <c r="B87" s="351" t="s">
        <v>245</v>
      </c>
      <c r="C87" s="352">
        <v>71182275</v>
      </c>
      <c r="D87" s="361">
        <v>46022</v>
      </c>
      <c r="E87" s="353">
        <v>129.63999999999999</v>
      </c>
    </row>
    <row r="88" spans="1:5" x14ac:dyDescent="0.35">
      <c r="A88" s="369">
        <v>2</v>
      </c>
      <c r="B88" s="351" t="s">
        <v>244</v>
      </c>
      <c r="C88" s="352">
        <v>241010634</v>
      </c>
      <c r="D88" s="361">
        <v>46022</v>
      </c>
      <c r="E88" s="353">
        <v>81.340999999999994</v>
      </c>
    </row>
    <row r="89" spans="1:5" x14ac:dyDescent="0.35">
      <c r="A89" s="369"/>
      <c r="B89" s="351" t="s">
        <v>245</v>
      </c>
      <c r="C89" s="352">
        <v>71182253</v>
      </c>
      <c r="D89" s="361">
        <v>46022</v>
      </c>
      <c r="E89" s="353">
        <v>38.241999999999997</v>
      </c>
    </row>
    <row r="90" spans="1:5" x14ac:dyDescent="0.35">
      <c r="A90" s="369">
        <v>3</v>
      </c>
      <c r="B90" s="351" t="s">
        <v>244</v>
      </c>
      <c r="C90" s="352">
        <v>241010645</v>
      </c>
      <c r="D90" s="361">
        <v>46022</v>
      </c>
      <c r="E90" s="353">
        <v>100.236</v>
      </c>
    </row>
    <row r="91" spans="1:5" x14ac:dyDescent="0.35">
      <c r="A91" s="369"/>
      <c r="B91" s="351" t="s">
        <v>245</v>
      </c>
      <c r="C91" s="352">
        <v>71182217</v>
      </c>
      <c r="D91" s="361">
        <v>46022</v>
      </c>
      <c r="E91" s="353">
        <v>83.977999999999994</v>
      </c>
    </row>
    <row r="92" spans="1:5" x14ac:dyDescent="0.35">
      <c r="A92" s="369">
        <v>4</v>
      </c>
      <c r="B92" s="351" t="s">
        <v>244</v>
      </c>
      <c r="C92" s="352">
        <v>241010647</v>
      </c>
      <c r="D92" s="361">
        <v>46022</v>
      </c>
      <c r="E92" s="353">
        <v>54.348999999999997</v>
      </c>
    </row>
    <row r="93" spans="1:5" x14ac:dyDescent="0.35">
      <c r="A93" s="369"/>
      <c r="B93" s="351" t="s">
        <v>245</v>
      </c>
      <c r="C93" s="352">
        <v>71182254</v>
      </c>
      <c r="D93" s="361">
        <v>46022</v>
      </c>
      <c r="E93" s="353">
        <v>43.999000000000002</v>
      </c>
    </row>
    <row r="94" spans="1:5" x14ac:dyDescent="0.35">
      <c r="A94" s="369">
        <v>5</v>
      </c>
      <c r="B94" s="351" t="s">
        <v>244</v>
      </c>
      <c r="C94" s="352">
        <v>241010638</v>
      </c>
      <c r="D94" s="361">
        <v>46022</v>
      </c>
      <c r="E94" s="353">
        <v>88.007000000000005</v>
      </c>
    </row>
    <row r="95" spans="1:5" x14ac:dyDescent="0.35">
      <c r="A95" s="369"/>
      <c r="B95" s="351" t="s">
        <v>245</v>
      </c>
      <c r="C95" s="352">
        <v>71182267</v>
      </c>
      <c r="D95" s="361">
        <v>46022</v>
      </c>
      <c r="E95" s="353">
        <v>36.795999999999999</v>
      </c>
    </row>
    <row r="96" spans="1:5" x14ac:dyDescent="0.35">
      <c r="A96" s="369">
        <v>6</v>
      </c>
      <c r="B96" s="351" t="s">
        <v>244</v>
      </c>
      <c r="C96" s="352">
        <v>241010623</v>
      </c>
      <c r="D96" s="361">
        <v>46022</v>
      </c>
      <c r="E96" s="353">
        <v>84.296000000000006</v>
      </c>
    </row>
    <row r="97" spans="1:5" x14ac:dyDescent="0.35">
      <c r="A97" s="369"/>
      <c r="B97" s="351" t="s">
        <v>245</v>
      </c>
      <c r="C97" s="352">
        <v>71182261</v>
      </c>
      <c r="D97" s="361">
        <v>46022</v>
      </c>
      <c r="E97" s="353">
        <v>60.341000000000001</v>
      </c>
    </row>
    <row r="98" spans="1:5" x14ac:dyDescent="0.35">
      <c r="A98" s="369">
        <v>7</v>
      </c>
      <c r="B98" s="351" t="s">
        <v>244</v>
      </c>
      <c r="C98" s="352">
        <v>241010627</v>
      </c>
      <c r="D98" s="361">
        <v>46022</v>
      </c>
      <c r="E98" s="353">
        <v>148.233</v>
      </c>
    </row>
    <row r="99" spans="1:5" x14ac:dyDescent="0.35">
      <c r="A99" s="369"/>
      <c r="B99" s="351" t="s">
        <v>245</v>
      </c>
      <c r="C99" s="352">
        <v>71182272</v>
      </c>
      <c r="D99" s="361">
        <v>46022</v>
      </c>
      <c r="E99" s="353">
        <v>97.447000000000003</v>
      </c>
    </row>
    <row r="100" spans="1:5" x14ac:dyDescent="0.35">
      <c r="A100" s="369">
        <v>8</v>
      </c>
      <c r="B100" s="351" t="s">
        <v>244</v>
      </c>
      <c r="C100" s="352">
        <v>241010626</v>
      </c>
      <c r="D100" s="361">
        <v>46022</v>
      </c>
      <c r="E100" s="353">
        <v>129.38</v>
      </c>
    </row>
    <row r="101" spans="1:5" x14ac:dyDescent="0.35">
      <c r="A101" s="369"/>
      <c r="B101" s="351" t="s">
        <v>245</v>
      </c>
      <c r="C101" s="352">
        <v>71182249</v>
      </c>
      <c r="D101" s="361">
        <v>46022</v>
      </c>
      <c r="E101" s="353">
        <v>77.097999999999999</v>
      </c>
    </row>
    <row r="102" spans="1:5" x14ac:dyDescent="0.35">
      <c r="A102" s="369">
        <v>9</v>
      </c>
      <c r="B102" s="351" t="s">
        <v>244</v>
      </c>
      <c r="C102" s="352">
        <v>241010624</v>
      </c>
      <c r="D102" s="361">
        <v>46022</v>
      </c>
      <c r="E102" s="353">
        <v>44.594000000000001</v>
      </c>
    </row>
    <row r="103" spans="1:5" x14ac:dyDescent="0.35">
      <c r="A103" s="369"/>
      <c r="B103" s="351" t="s">
        <v>245</v>
      </c>
      <c r="C103" s="352">
        <v>71182281</v>
      </c>
      <c r="D103" s="361">
        <v>46022</v>
      </c>
      <c r="E103" s="353">
        <v>89.992000000000004</v>
      </c>
    </row>
    <row r="104" spans="1:5" x14ac:dyDescent="0.35">
      <c r="A104" s="369">
        <v>10</v>
      </c>
      <c r="B104" s="351" t="s">
        <v>244</v>
      </c>
      <c r="C104" s="352">
        <v>241010628</v>
      </c>
      <c r="D104" s="361">
        <v>46022</v>
      </c>
      <c r="E104" s="353">
        <v>34.131</v>
      </c>
    </row>
    <row r="105" spans="1:5" ht="15" thickBot="1" x14ac:dyDescent="0.4">
      <c r="A105" s="370"/>
      <c r="B105" s="355" t="s">
        <v>245</v>
      </c>
      <c r="C105" s="356">
        <v>71182268</v>
      </c>
      <c r="D105" s="362">
        <v>46022</v>
      </c>
      <c r="E105" s="357">
        <v>82.507999999999996</v>
      </c>
    </row>
    <row r="106" spans="1:5" ht="15" thickBot="1" x14ac:dyDescent="0.4"/>
    <row r="107" spans="1:5" s="1" customFormat="1" ht="21" customHeight="1" x14ac:dyDescent="0.5">
      <c r="A107" s="346" t="s">
        <v>2</v>
      </c>
      <c r="B107" s="347">
        <v>1854</v>
      </c>
      <c r="C107" s="348" t="s">
        <v>260</v>
      </c>
      <c r="D107" s="349" t="s">
        <v>261</v>
      </c>
      <c r="E107" s="350" t="s">
        <v>262</v>
      </c>
    </row>
    <row r="108" spans="1:5" s="1" customFormat="1" x14ac:dyDescent="0.35">
      <c r="A108" s="369">
        <v>1</v>
      </c>
      <c r="B108" s="351" t="s">
        <v>244</v>
      </c>
      <c r="C108" s="352">
        <v>241010657</v>
      </c>
      <c r="D108" s="361">
        <v>46022</v>
      </c>
      <c r="E108" s="353">
        <v>36.432000000000002</v>
      </c>
    </row>
    <row r="109" spans="1:5" x14ac:dyDescent="0.35">
      <c r="A109" s="369"/>
      <c r="B109" s="351" t="s">
        <v>245</v>
      </c>
      <c r="C109" s="352">
        <v>71182259</v>
      </c>
      <c r="D109" s="361">
        <v>46022</v>
      </c>
      <c r="E109" s="353">
        <v>87.096000000000004</v>
      </c>
    </row>
    <row r="110" spans="1:5" x14ac:dyDescent="0.35">
      <c r="A110" s="369">
        <v>2</v>
      </c>
      <c r="B110" s="351" t="s">
        <v>244</v>
      </c>
      <c r="C110" s="352">
        <v>241010655</v>
      </c>
      <c r="D110" s="361">
        <v>46022</v>
      </c>
      <c r="E110" s="353">
        <v>74.11</v>
      </c>
    </row>
    <row r="111" spans="1:5" x14ac:dyDescent="0.35">
      <c r="A111" s="369"/>
      <c r="B111" s="351" t="s">
        <v>245</v>
      </c>
      <c r="C111" s="352">
        <v>71182248</v>
      </c>
      <c r="D111" s="361">
        <v>46022</v>
      </c>
      <c r="E111" s="353">
        <v>141.33600000000001</v>
      </c>
    </row>
    <row r="112" spans="1:5" x14ac:dyDescent="0.35">
      <c r="A112" s="369">
        <v>3</v>
      </c>
      <c r="B112" s="351" t="s">
        <v>244</v>
      </c>
      <c r="C112" s="352">
        <v>241345683</v>
      </c>
      <c r="D112" s="361">
        <v>46022</v>
      </c>
      <c r="E112" s="353">
        <v>71.284999999999997</v>
      </c>
    </row>
    <row r="113" spans="1:5" x14ac:dyDescent="0.35">
      <c r="A113" s="369"/>
      <c r="B113" s="351" t="s">
        <v>245</v>
      </c>
      <c r="C113" s="352">
        <v>71182258</v>
      </c>
      <c r="D113" s="361">
        <v>46022</v>
      </c>
      <c r="E113" s="353">
        <v>158.203</v>
      </c>
    </row>
    <row r="114" spans="1:5" x14ac:dyDescent="0.35">
      <c r="A114" s="369">
        <v>4</v>
      </c>
      <c r="B114" s="351" t="s">
        <v>244</v>
      </c>
      <c r="C114" s="352">
        <v>241010651</v>
      </c>
      <c r="D114" s="361">
        <v>46022</v>
      </c>
      <c r="E114" s="353">
        <v>88.760999999999996</v>
      </c>
    </row>
    <row r="115" spans="1:5" x14ac:dyDescent="0.35">
      <c r="A115" s="369"/>
      <c r="B115" s="351" t="s">
        <v>245</v>
      </c>
      <c r="C115" s="352">
        <v>71182242</v>
      </c>
      <c r="D115" s="361">
        <v>46022</v>
      </c>
      <c r="E115" s="353">
        <v>38.633000000000003</v>
      </c>
    </row>
    <row r="116" spans="1:5" x14ac:dyDescent="0.35">
      <c r="A116" s="369">
        <v>5</v>
      </c>
      <c r="B116" s="351" t="s">
        <v>244</v>
      </c>
      <c r="C116" s="352">
        <v>241345677</v>
      </c>
      <c r="D116" s="361">
        <v>46022</v>
      </c>
      <c r="E116" s="353">
        <v>18.231000000000002</v>
      </c>
    </row>
    <row r="117" spans="1:5" x14ac:dyDescent="0.35">
      <c r="A117" s="369"/>
      <c r="B117" s="351" t="s">
        <v>245</v>
      </c>
      <c r="C117" s="352">
        <v>71182255</v>
      </c>
      <c r="D117" s="361">
        <v>46022</v>
      </c>
      <c r="E117" s="353">
        <v>20.765999999999998</v>
      </c>
    </row>
    <row r="118" spans="1:5" x14ac:dyDescent="0.35">
      <c r="A118" s="369">
        <v>6</v>
      </c>
      <c r="B118" s="351" t="s">
        <v>244</v>
      </c>
      <c r="C118" s="352">
        <v>241010629</v>
      </c>
      <c r="D118" s="361">
        <v>46022</v>
      </c>
      <c r="E118" s="353">
        <v>150.001</v>
      </c>
    </row>
    <row r="119" spans="1:5" x14ac:dyDescent="0.35">
      <c r="A119" s="369"/>
      <c r="B119" s="351" t="s">
        <v>245</v>
      </c>
      <c r="C119" s="352">
        <v>71182230</v>
      </c>
      <c r="D119" s="361">
        <v>46022</v>
      </c>
      <c r="E119" s="353">
        <v>48.317</v>
      </c>
    </row>
    <row r="120" spans="1:5" x14ac:dyDescent="0.35">
      <c r="A120" s="369">
        <v>7</v>
      </c>
      <c r="B120" s="351" t="s">
        <v>244</v>
      </c>
      <c r="C120" s="352">
        <v>241010659</v>
      </c>
      <c r="D120" s="361">
        <v>46022</v>
      </c>
      <c r="E120" s="353">
        <v>52.296999999999997</v>
      </c>
    </row>
    <row r="121" spans="1:5" x14ac:dyDescent="0.35">
      <c r="A121" s="369"/>
      <c r="B121" s="351" t="s">
        <v>245</v>
      </c>
      <c r="C121" s="352">
        <v>71182247</v>
      </c>
      <c r="D121" s="361">
        <v>46022</v>
      </c>
      <c r="E121" s="353">
        <v>37.54</v>
      </c>
    </row>
    <row r="122" spans="1:5" x14ac:dyDescent="0.35">
      <c r="A122" s="369">
        <v>8</v>
      </c>
      <c r="B122" s="351" t="s">
        <v>244</v>
      </c>
      <c r="C122" s="352">
        <v>241010622</v>
      </c>
      <c r="D122" s="361">
        <v>46022</v>
      </c>
      <c r="E122" s="353">
        <v>75.760000000000005</v>
      </c>
    </row>
    <row r="123" spans="1:5" x14ac:dyDescent="0.35">
      <c r="A123" s="369"/>
      <c r="B123" s="351" t="s">
        <v>245</v>
      </c>
      <c r="C123" s="352">
        <v>71182232</v>
      </c>
      <c r="D123" s="361">
        <v>46022</v>
      </c>
      <c r="E123" s="353">
        <v>105.69499999999999</v>
      </c>
    </row>
    <row r="124" spans="1:5" x14ac:dyDescent="0.35">
      <c r="A124" s="369">
        <v>9</v>
      </c>
      <c r="B124" s="351" t="s">
        <v>244</v>
      </c>
      <c r="C124" s="352">
        <v>241010625</v>
      </c>
      <c r="D124" s="361">
        <v>46022</v>
      </c>
      <c r="E124" s="353">
        <v>153.01</v>
      </c>
    </row>
    <row r="125" spans="1:5" x14ac:dyDescent="0.35">
      <c r="A125" s="369"/>
      <c r="B125" s="351" t="s">
        <v>245</v>
      </c>
      <c r="C125" s="352">
        <v>71182228</v>
      </c>
      <c r="D125" s="361">
        <v>46022</v>
      </c>
      <c r="E125" s="353">
        <v>127.65</v>
      </c>
    </row>
    <row r="126" spans="1:5" x14ac:dyDescent="0.35">
      <c r="A126" s="369">
        <v>10</v>
      </c>
      <c r="B126" s="351" t="s">
        <v>244</v>
      </c>
      <c r="C126" s="352">
        <v>241010621</v>
      </c>
      <c r="D126" s="361">
        <v>46022</v>
      </c>
      <c r="E126" s="353">
        <v>0.371</v>
      </c>
    </row>
    <row r="127" spans="1:5" ht="15" thickBot="1" x14ac:dyDescent="0.4">
      <c r="A127" s="370"/>
      <c r="B127" s="355" t="s">
        <v>245</v>
      </c>
      <c r="C127" s="356">
        <v>71182263</v>
      </c>
      <c r="D127" s="362">
        <v>46022</v>
      </c>
      <c r="E127" s="357">
        <v>0.161</v>
      </c>
    </row>
    <row r="128" spans="1:5" ht="15" thickBot="1" x14ac:dyDescent="0.4"/>
    <row r="129" spans="1:5" s="1" customFormat="1" ht="21" customHeight="1" x14ac:dyDescent="0.5">
      <c r="A129" s="346" t="s">
        <v>2</v>
      </c>
      <c r="B129" s="347">
        <v>1855</v>
      </c>
      <c r="C129" s="348" t="s">
        <v>260</v>
      </c>
      <c r="D129" s="349" t="s">
        <v>261</v>
      </c>
      <c r="E129" s="350" t="s">
        <v>262</v>
      </c>
    </row>
    <row r="130" spans="1:5" s="1" customFormat="1" x14ac:dyDescent="0.35">
      <c r="A130" s="369">
        <v>1</v>
      </c>
      <c r="B130" s="351" t="s">
        <v>244</v>
      </c>
      <c r="C130" s="352">
        <v>241513388</v>
      </c>
      <c r="D130" s="361">
        <v>46022</v>
      </c>
      <c r="E130" s="353">
        <v>143.13300000000001</v>
      </c>
    </row>
    <row r="131" spans="1:5" x14ac:dyDescent="0.35">
      <c r="A131" s="369"/>
      <c r="B131" s="351" t="s">
        <v>245</v>
      </c>
      <c r="C131" s="352">
        <v>71182223</v>
      </c>
      <c r="D131" s="361">
        <v>46022</v>
      </c>
      <c r="E131" s="353">
        <v>159.82400000000001</v>
      </c>
    </row>
    <row r="132" spans="1:5" x14ac:dyDescent="0.35">
      <c r="A132" s="369">
        <v>2</v>
      </c>
      <c r="B132" s="351" t="s">
        <v>244</v>
      </c>
      <c r="C132" s="352">
        <v>241513401</v>
      </c>
      <c r="D132" s="361">
        <v>46022</v>
      </c>
      <c r="E132" s="353">
        <v>207.697</v>
      </c>
    </row>
    <row r="133" spans="1:5" x14ac:dyDescent="0.35">
      <c r="A133" s="369"/>
      <c r="B133" s="351" t="s">
        <v>245</v>
      </c>
      <c r="C133" s="352">
        <v>71182224</v>
      </c>
      <c r="D133" s="361">
        <v>46022</v>
      </c>
      <c r="E133" s="353">
        <v>134.892</v>
      </c>
    </row>
    <row r="134" spans="1:5" x14ac:dyDescent="0.35">
      <c r="A134" s="369">
        <v>3</v>
      </c>
      <c r="B134" s="351" t="s">
        <v>244</v>
      </c>
      <c r="C134" s="352">
        <v>241513408</v>
      </c>
      <c r="D134" s="361">
        <v>46022</v>
      </c>
      <c r="E134" s="353">
        <v>48.601999999999997</v>
      </c>
    </row>
    <row r="135" spans="1:5" x14ac:dyDescent="0.35">
      <c r="A135" s="369"/>
      <c r="B135" s="351" t="s">
        <v>245</v>
      </c>
      <c r="C135" s="352">
        <v>71182236</v>
      </c>
      <c r="D135" s="361">
        <v>46022</v>
      </c>
      <c r="E135" s="353">
        <v>82.227000000000004</v>
      </c>
    </row>
    <row r="136" spans="1:5" x14ac:dyDescent="0.35">
      <c r="A136" s="369">
        <v>4</v>
      </c>
      <c r="B136" s="351" t="s">
        <v>244</v>
      </c>
      <c r="C136" s="352">
        <v>241513380</v>
      </c>
      <c r="D136" s="361">
        <v>46022</v>
      </c>
      <c r="E136" s="353">
        <v>57.064</v>
      </c>
    </row>
    <row r="137" spans="1:5" x14ac:dyDescent="0.35">
      <c r="A137" s="369"/>
      <c r="B137" s="351" t="s">
        <v>245</v>
      </c>
      <c r="C137" s="352">
        <v>71182218</v>
      </c>
      <c r="D137" s="361">
        <v>46022</v>
      </c>
      <c r="E137" s="353">
        <v>11.997</v>
      </c>
    </row>
    <row r="138" spans="1:5" x14ac:dyDescent="0.35">
      <c r="A138" s="369">
        <v>5</v>
      </c>
      <c r="B138" s="351" t="s">
        <v>244</v>
      </c>
      <c r="C138" s="352">
        <v>241513406</v>
      </c>
      <c r="D138" s="361">
        <v>46022</v>
      </c>
      <c r="E138" s="353">
        <v>69.183000000000007</v>
      </c>
    </row>
    <row r="139" spans="1:5" x14ac:dyDescent="0.35">
      <c r="A139" s="369"/>
      <c r="B139" s="351" t="s">
        <v>245</v>
      </c>
      <c r="C139" s="352">
        <v>71182273</v>
      </c>
      <c r="D139" s="361">
        <v>46022</v>
      </c>
      <c r="E139" s="353">
        <v>71.989000000000004</v>
      </c>
    </row>
    <row r="140" spans="1:5" x14ac:dyDescent="0.35">
      <c r="A140" s="369">
        <v>6</v>
      </c>
      <c r="B140" s="351" t="s">
        <v>244</v>
      </c>
      <c r="C140" s="352">
        <v>241513382</v>
      </c>
      <c r="D140" s="361">
        <v>46022</v>
      </c>
      <c r="E140" s="353">
        <v>71.203000000000003</v>
      </c>
    </row>
    <row r="141" spans="1:5" x14ac:dyDescent="0.35">
      <c r="A141" s="369"/>
      <c r="B141" s="351" t="s">
        <v>245</v>
      </c>
      <c r="C141" s="352">
        <v>71182215</v>
      </c>
      <c r="D141" s="361">
        <v>46022</v>
      </c>
      <c r="E141" s="353">
        <v>123.199</v>
      </c>
    </row>
    <row r="142" spans="1:5" x14ac:dyDescent="0.35">
      <c r="A142" s="369">
        <v>7</v>
      </c>
      <c r="B142" s="351" t="s">
        <v>244</v>
      </c>
      <c r="C142" s="352">
        <v>241513386</v>
      </c>
      <c r="D142" s="361">
        <v>46022</v>
      </c>
      <c r="E142" s="353">
        <v>88.68</v>
      </c>
    </row>
    <row r="143" spans="1:5" x14ac:dyDescent="0.35">
      <c r="A143" s="369"/>
      <c r="B143" s="351" t="s">
        <v>245</v>
      </c>
      <c r="C143" s="352">
        <v>71182220</v>
      </c>
      <c r="D143" s="361">
        <v>46022</v>
      </c>
      <c r="E143" s="353">
        <v>26.045000000000002</v>
      </c>
    </row>
    <row r="144" spans="1:5" x14ac:dyDescent="0.35">
      <c r="A144" s="369">
        <v>8</v>
      </c>
      <c r="B144" s="351" t="s">
        <v>244</v>
      </c>
      <c r="C144" s="352">
        <v>241513387</v>
      </c>
      <c r="D144" s="361">
        <v>46022</v>
      </c>
      <c r="E144" s="353">
        <v>45.595999999999997</v>
      </c>
    </row>
    <row r="145" spans="1:5" x14ac:dyDescent="0.35">
      <c r="A145" s="369"/>
      <c r="B145" s="351" t="s">
        <v>245</v>
      </c>
      <c r="C145" s="352">
        <v>71182264</v>
      </c>
      <c r="D145" s="361">
        <v>46022</v>
      </c>
      <c r="E145" s="353">
        <v>52.284999999999997</v>
      </c>
    </row>
    <row r="146" spans="1:5" x14ac:dyDescent="0.35">
      <c r="A146" s="369">
        <v>9</v>
      </c>
      <c r="B146" s="351" t="s">
        <v>244</v>
      </c>
      <c r="C146" s="352">
        <v>241513383</v>
      </c>
      <c r="D146" s="361">
        <v>46022</v>
      </c>
      <c r="E146" s="353">
        <v>84.087000000000003</v>
      </c>
    </row>
    <row r="147" spans="1:5" x14ac:dyDescent="0.35">
      <c r="A147" s="369"/>
      <c r="B147" s="351" t="s">
        <v>245</v>
      </c>
      <c r="C147" s="352">
        <v>71182231</v>
      </c>
      <c r="D147" s="361">
        <v>46022</v>
      </c>
      <c r="E147" s="353">
        <v>84.504000000000005</v>
      </c>
    </row>
    <row r="148" spans="1:5" x14ac:dyDescent="0.35">
      <c r="A148" s="369">
        <v>10</v>
      </c>
      <c r="B148" s="351" t="s">
        <v>244</v>
      </c>
      <c r="C148" s="352">
        <v>241513399</v>
      </c>
      <c r="D148" s="361">
        <v>46022</v>
      </c>
      <c r="E148" s="353">
        <v>102.35299999999999</v>
      </c>
    </row>
    <row r="149" spans="1:5" ht="15" thickBot="1" x14ac:dyDescent="0.4">
      <c r="A149" s="370"/>
      <c r="B149" s="355" t="s">
        <v>245</v>
      </c>
      <c r="C149" s="356">
        <v>71182227</v>
      </c>
      <c r="D149" s="362">
        <v>46022</v>
      </c>
      <c r="E149" s="357">
        <v>67.725999999999999</v>
      </c>
    </row>
    <row r="150" spans="1:5" ht="15" thickBot="1" x14ac:dyDescent="0.4"/>
    <row r="151" spans="1:5" s="1" customFormat="1" ht="21" customHeight="1" x14ac:dyDescent="0.5">
      <c r="A151" s="346" t="s">
        <v>2</v>
      </c>
      <c r="B151" s="347">
        <v>1856</v>
      </c>
      <c r="C151" s="348" t="s">
        <v>260</v>
      </c>
      <c r="D151" s="349" t="s">
        <v>261</v>
      </c>
      <c r="E151" s="350" t="s">
        <v>262</v>
      </c>
    </row>
    <row r="152" spans="1:5" s="1" customFormat="1" x14ac:dyDescent="0.35">
      <c r="A152" s="369">
        <v>1</v>
      </c>
      <c r="B152" s="351" t="s">
        <v>244</v>
      </c>
      <c r="C152" s="352">
        <v>241345680</v>
      </c>
      <c r="D152" s="361">
        <v>46022</v>
      </c>
      <c r="E152" s="353">
        <v>146.869</v>
      </c>
    </row>
    <row r="153" spans="1:5" x14ac:dyDescent="0.35">
      <c r="A153" s="369"/>
      <c r="B153" s="351" t="s">
        <v>245</v>
      </c>
      <c r="C153" s="352">
        <v>71869912</v>
      </c>
      <c r="D153" s="361">
        <v>46022</v>
      </c>
      <c r="E153" s="353">
        <v>72.936999999999998</v>
      </c>
    </row>
    <row r="154" spans="1:5" x14ac:dyDescent="0.35">
      <c r="A154" s="369">
        <v>2</v>
      </c>
      <c r="B154" s="351" t="s">
        <v>244</v>
      </c>
      <c r="C154" s="352">
        <v>241345675</v>
      </c>
      <c r="D154" s="361">
        <v>46022</v>
      </c>
      <c r="E154" s="353">
        <v>64.721000000000004</v>
      </c>
    </row>
    <row r="155" spans="1:5" x14ac:dyDescent="0.35">
      <c r="A155" s="369"/>
      <c r="B155" s="351" t="s">
        <v>245</v>
      </c>
      <c r="C155" s="352">
        <v>71869914</v>
      </c>
      <c r="D155" s="361">
        <v>46022</v>
      </c>
      <c r="E155" s="353">
        <v>19.777000000000001</v>
      </c>
    </row>
    <row r="156" spans="1:5" x14ac:dyDescent="0.35">
      <c r="A156" s="369">
        <v>3</v>
      </c>
      <c r="B156" s="351" t="s">
        <v>244</v>
      </c>
      <c r="C156" s="352">
        <v>241345682</v>
      </c>
      <c r="D156" s="361">
        <v>46022</v>
      </c>
      <c r="E156" s="353">
        <v>43.377000000000002</v>
      </c>
    </row>
    <row r="157" spans="1:5" x14ac:dyDescent="0.35">
      <c r="A157" s="369"/>
      <c r="B157" s="351" t="s">
        <v>245</v>
      </c>
      <c r="C157" s="352">
        <v>71869911</v>
      </c>
      <c r="D157" s="361">
        <v>46022</v>
      </c>
      <c r="E157" s="353">
        <v>47.966999999999999</v>
      </c>
    </row>
    <row r="158" spans="1:5" x14ac:dyDescent="0.35">
      <c r="A158" s="369">
        <v>4</v>
      </c>
      <c r="B158" s="351" t="s">
        <v>244</v>
      </c>
      <c r="C158" s="352">
        <v>241345678</v>
      </c>
      <c r="D158" s="361">
        <v>46022</v>
      </c>
      <c r="E158" s="353">
        <v>107.32</v>
      </c>
    </row>
    <row r="159" spans="1:5" x14ac:dyDescent="0.35">
      <c r="A159" s="369"/>
      <c r="B159" s="351" t="s">
        <v>245</v>
      </c>
      <c r="C159" s="352">
        <v>71869913</v>
      </c>
      <c r="D159" s="361">
        <v>46022</v>
      </c>
      <c r="E159" s="353">
        <v>49.029000000000003</v>
      </c>
    </row>
    <row r="160" spans="1:5" x14ac:dyDescent="0.35">
      <c r="A160" s="369">
        <v>5</v>
      </c>
      <c r="B160" s="351" t="s">
        <v>244</v>
      </c>
      <c r="C160" s="352">
        <v>241345684</v>
      </c>
      <c r="D160" s="361">
        <v>46022</v>
      </c>
      <c r="E160" s="353">
        <v>30.992000000000001</v>
      </c>
    </row>
    <row r="161" spans="1:5" x14ac:dyDescent="0.35">
      <c r="A161" s="369"/>
      <c r="B161" s="351" t="s">
        <v>245</v>
      </c>
      <c r="C161" s="352">
        <v>71869909</v>
      </c>
      <c r="D161" s="361">
        <v>46022</v>
      </c>
      <c r="E161" s="353">
        <v>16.123000000000001</v>
      </c>
    </row>
    <row r="162" spans="1:5" x14ac:dyDescent="0.35">
      <c r="A162" s="369">
        <v>6</v>
      </c>
      <c r="B162" s="351" t="s">
        <v>244</v>
      </c>
      <c r="C162" s="352">
        <v>241345681</v>
      </c>
      <c r="D162" s="361">
        <v>46022</v>
      </c>
      <c r="E162" s="353">
        <v>63.375</v>
      </c>
    </row>
    <row r="163" spans="1:5" x14ac:dyDescent="0.35">
      <c r="A163" s="369"/>
      <c r="B163" s="351" t="s">
        <v>245</v>
      </c>
      <c r="C163" s="352">
        <v>71869918</v>
      </c>
      <c r="D163" s="361">
        <v>46022</v>
      </c>
      <c r="E163" s="353">
        <v>36.256999999999998</v>
      </c>
    </row>
    <row r="164" spans="1:5" x14ac:dyDescent="0.35">
      <c r="A164" s="369">
        <v>7</v>
      </c>
      <c r="B164" s="351" t="s">
        <v>244</v>
      </c>
      <c r="C164" s="352">
        <v>241345676</v>
      </c>
      <c r="D164" s="361">
        <v>46022</v>
      </c>
      <c r="E164" s="353">
        <v>72.197999999999993</v>
      </c>
    </row>
    <row r="165" spans="1:5" x14ac:dyDescent="0.35">
      <c r="A165" s="369"/>
      <c r="B165" s="351" t="s">
        <v>245</v>
      </c>
      <c r="C165" s="352">
        <v>71869916</v>
      </c>
      <c r="D165" s="361">
        <v>46022</v>
      </c>
      <c r="E165" s="353">
        <v>38.493000000000002</v>
      </c>
    </row>
    <row r="166" spans="1:5" x14ac:dyDescent="0.35">
      <c r="A166" s="369">
        <v>8</v>
      </c>
      <c r="B166" s="351" t="s">
        <v>244</v>
      </c>
      <c r="C166" s="352">
        <v>241345679</v>
      </c>
      <c r="D166" s="361">
        <v>46022</v>
      </c>
      <c r="E166" s="353">
        <v>138.29400000000001</v>
      </c>
    </row>
    <row r="167" spans="1:5" x14ac:dyDescent="0.35">
      <c r="A167" s="369"/>
      <c r="B167" s="351" t="s">
        <v>245</v>
      </c>
      <c r="C167" s="352">
        <v>71869910</v>
      </c>
      <c r="D167" s="361">
        <v>46022</v>
      </c>
      <c r="E167" s="353">
        <v>40.786000000000001</v>
      </c>
    </row>
    <row r="168" spans="1:5" x14ac:dyDescent="0.35">
      <c r="A168" s="369">
        <v>9</v>
      </c>
      <c r="B168" s="351" t="s">
        <v>244</v>
      </c>
      <c r="C168" s="352">
        <v>241345705</v>
      </c>
      <c r="D168" s="361">
        <v>46022</v>
      </c>
      <c r="E168" s="353">
        <v>75.885000000000005</v>
      </c>
    </row>
    <row r="169" spans="1:5" x14ac:dyDescent="0.35">
      <c r="A169" s="369"/>
      <c r="B169" s="351" t="s">
        <v>245</v>
      </c>
      <c r="C169" s="352">
        <v>71869917</v>
      </c>
      <c r="D169" s="361">
        <v>46022</v>
      </c>
      <c r="E169" s="353">
        <v>36.893000000000001</v>
      </c>
    </row>
    <row r="170" spans="1:5" x14ac:dyDescent="0.35">
      <c r="A170" s="369">
        <v>10</v>
      </c>
      <c r="B170" s="351" t="s">
        <v>244</v>
      </c>
      <c r="C170" s="352">
        <v>241345652</v>
      </c>
      <c r="D170" s="361">
        <v>46022</v>
      </c>
      <c r="E170" s="353">
        <v>83.114999999999995</v>
      </c>
    </row>
    <row r="171" spans="1:5" ht="15" thickBot="1" x14ac:dyDescent="0.4">
      <c r="A171" s="370"/>
      <c r="B171" s="355" t="s">
        <v>245</v>
      </c>
      <c r="C171" s="356">
        <v>71869915</v>
      </c>
      <c r="D171" s="362">
        <v>46022</v>
      </c>
      <c r="E171" s="357">
        <v>41.863</v>
      </c>
    </row>
    <row r="172" spans="1:5" ht="15" thickBot="1" x14ac:dyDescent="0.4"/>
    <row r="173" spans="1:5" ht="21" x14ac:dyDescent="0.5">
      <c r="A173" s="346" t="s">
        <v>2</v>
      </c>
      <c r="B173" s="347">
        <v>1857</v>
      </c>
      <c r="C173" s="348" t="s">
        <v>260</v>
      </c>
      <c r="D173" s="349" t="s">
        <v>261</v>
      </c>
      <c r="E173" s="350" t="s">
        <v>262</v>
      </c>
    </row>
    <row r="174" spans="1:5" x14ac:dyDescent="0.35">
      <c r="A174" s="369">
        <v>1</v>
      </c>
      <c r="B174" s="351" t="s">
        <v>244</v>
      </c>
      <c r="C174" s="352">
        <v>241345711</v>
      </c>
      <c r="D174" s="361">
        <v>46022</v>
      </c>
      <c r="E174" s="353">
        <v>52.499000000000002</v>
      </c>
    </row>
    <row r="175" spans="1:5" x14ac:dyDescent="0.35">
      <c r="A175" s="369"/>
      <c r="B175" s="351" t="s">
        <v>245</v>
      </c>
      <c r="C175" s="352">
        <v>71182250</v>
      </c>
      <c r="D175" s="361">
        <v>46022</v>
      </c>
      <c r="E175" s="353">
        <v>126.751</v>
      </c>
    </row>
    <row r="176" spans="1:5" x14ac:dyDescent="0.35">
      <c r="A176" s="369">
        <v>2</v>
      </c>
      <c r="B176" s="351" t="s">
        <v>244</v>
      </c>
      <c r="C176" s="352">
        <v>241010620</v>
      </c>
      <c r="D176" s="361">
        <v>46022</v>
      </c>
      <c r="E176" s="353">
        <v>47.058999999999997</v>
      </c>
    </row>
    <row r="177" spans="1:5" x14ac:dyDescent="0.35">
      <c r="A177" s="369"/>
      <c r="B177" s="351" t="s">
        <v>245</v>
      </c>
      <c r="C177" s="352">
        <v>71182222</v>
      </c>
      <c r="D177" s="361">
        <v>46022</v>
      </c>
      <c r="E177" s="353">
        <v>41.578000000000003</v>
      </c>
    </row>
    <row r="178" spans="1:5" x14ac:dyDescent="0.35">
      <c r="A178" s="369">
        <v>3</v>
      </c>
      <c r="B178" s="351" t="s">
        <v>244</v>
      </c>
      <c r="C178" s="352">
        <v>241010656</v>
      </c>
      <c r="D178" s="361">
        <v>46022</v>
      </c>
      <c r="E178" s="353">
        <v>217.80799999999999</v>
      </c>
    </row>
    <row r="179" spans="1:5" x14ac:dyDescent="0.35">
      <c r="A179" s="369"/>
      <c r="B179" s="351" t="s">
        <v>245</v>
      </c>
      <c r="C179" s="352">
        <v>71182219</v>
      </c>
      <c r="D179" s="361">
        <v>46022</v>
      </c>
      <c r="E179" s="353">
        <v>126.97</v>
      </c>
    </row>
    <row r="180" spans="1:5" x14ac:dyDescent="0.35">
      <c r="A180" s="369">
        <v>4</v>
      </c>
      <c r="B180" s="351" t="s">
        <v>244</v>
      </c>
      <c r="C180" s="352">
        <v>241010658</v>
      </c>
      <c r="D180" s="361">
        <v>46022</v>
      </c>
      <c r="E180" s="353">
        <v>82.515000000000001</v>
      </c>
    </row>
    <row r="181" spans="1:5" x14ac:dyDescent="0.35">
      <c r="A181" s="369"/>
      <c r="B181" s="351" t="s">
        <v>245</v>
      </c>
      <c r="C181" s="352">
        <v>71182257</v>
      </c>
      <c r="D181" s="361">
        <v>46022</v>
      </c>
      <c r="E181" s="353">
        <v>35.015999999999998</v>
      </c>
    </row>
    <row r="182" spans="1:5" x14ac:dyDescent="0.35">
      <c r="A182" s="369">
        <v>5</v>
      </c>
      <c r="B182" s="351" t="s">
        <v>244</v>
      </c>
      <c r="C182" s="352">
        <v>241345710</v>
      </c>
      <c r="D182" s="361">
        <v>46022</v>
      </c>
      <c r="E182" s="353">
        <v>117.4</v>
      </c>
    </row>
    <row r="183" spans="1:5" x14ac:dyDescent="0.35">
      <c r="A183" s="369"/>
      <c r="B183" s="351" t="s">
        <v>245</v>
      </c>
      <c r="C183" s="352">
        <v>71182260</v>
      </c>
      <c r="D183" s="361">
        <v>46022</v>
      </c>
      <c r="E183" s="353">
        <v>56.393000000000001</v>
      </c>
    </row>
    <row r="184" spans="1:5" x14ac:dyDescent="0.35">
      <c r="A184" s="369">
        <v>6</v>
      </c>
      <c r="B184" s="351" t="s">
        <v>244</v>
      </c>
      <c r="C184" s="352">
        <v>241345707</v>
      </c>
      <c r="D184" s="361">
        <v>46022</v>
      </c>
      <c r="E184" s="353">
        <v>37.942999999999998</v>
      </c>
    </row>
    <row r="185" spans="1:5" x14ac:dyDescent="0.35">
      <c r="A185" s="369"/>
      <c r="B185" s="351" t="s">
        <v>245</v>
      </c>
      <c r="C185" s="352">
        <v>71182266</v>
      </c>
      <c r="D185" s="361">
        <v>46022</v>
      </c>
      <c r="E185" s="353">
        <v>63.279000000000003</v>
      </c>
    </row>
    <row r="186" spans="1:5" x14ac:dyDescent="0.35">
      <c r="A186" s="369">
        <v>7</v>
      </c>
      <c r="B186" s="351" t="s">
        <v>244</v>
      </c>
      <c r="C186" s="352">
        <v>241345708</v>
      </c>
      <c r="D186" s="361">
        <v>46022</v>
      </c>
      <c r="E186" s="353">
        <v>146.77600000000001</v>
      </c>
    </row>
    <row r="187" spans="1:5" x14ac:dyDescent="0.35">
      <c r="A187" s="369"/>
      <c r="B187" s="351" t="s">
        <v>245</v>
      </c>
      <c r="C187" s="352">
        <v>71182229</v>
      </c>
      <c r="D187" s="361">
        <v>46022</v>
      </c>
      <c r="E187" s="353">
        <v>131.68700000000001</v>
      </c>
    </row>
    <row r="188" spans="1:5" x14ac:dyDescent="0.35">
      <c r="A188" s="369">
        <v>8</v>
      </c>
      <c r="B188" s="351" t="s">
        <v>244</v>
      </c>
      <c r="C188" s="352">
        <v>241010654</v>
      </c>
      <c r="D188" s="361">
        <v>46022</v>
      </c>
      <c r="E188" s="353">
        <v>62.396000000000001</v>
      </c>
    </row>
    <row r="189" spans="1:5" x14ac:dyDescent="0.35">
      <c r="A189" s="369"/>
      <c r="B189" s="351" t="s">
        <v>245</v>
      </c>
      <c r="C189" s="352">
        <v>71182239</v>
      </c>
      <c r="D189" s="361">
        <v>46022</v>
      </c>
      <c r="E189" s="353">
        <v>66.11</v>
      </c>
    </row>
    <row r="190" spans="1:5" x14ac:dyDescent="0.35">
      <c r="A190" s="369">
        <v>9</v>
      </c>
      <c r="B190" s="351" t="s">
        <v>244</v>
      </c>
      <c r="C190" s="352">
        <v>241010649</v>
      </c>
      <c r="D190" s="361">
        <v>46022</v>
      </c>
      <c r="E190" s="353">
        <v>37.701999999999998</v>
      </c>
    </row>
    <row r="191" spans="1:5" x14ac:dyDescent="0.35">
      <c r="A191" s="369"/>
      <c r="B191" s="351" t="s">
        <v>245</v>
      </c>
      <c r="C191" s="352">
        <v>71182226</v>
      </c>
      <c r="D191" s="361">
        <v>46022</v>
      </c>
      <c r="E191" s="353">
        <v>42.999000000000002</v>
      </c>
    </row>
    <row r="192" spans="1:5" x14ac:dyDescent="0.35">
      <c r="A192" s="369">
        <v>10</v>
      </c>
      <c r="B192" s="351" t="s">
        <v>244</v>
      </c>
      <c r="C192" s="352">
        <v>241010653</v>
      </c>
      <c r="D192" s="361">
        <v>46022</v>
      </c>
      <c r="E192" s="353">
        <v>143.63200000000001</v>
      </c>
    </row>
    <row r="193" spans="1:5" ht="15" thickBot="1" x14ac:dyDescent="0.4">
      <c r="A193" s="370"/>
      <c r="B193" s="355" t="s">
        <v>245</v>
      </c>
      <c r="C193" s="356">
        <v>71182216</v>
      </c>
      <c r="D193" s="362">
        <v>46022</v>
      </c>
      <c r="E193" s="357">
        <v>98.89</v>
      </c>
    </row>
    <row r="195" spans="1:5" x14ac:dyDescent="0.35">
      <c r="D195" s="104" t="s">
        <v>269</v>
      </c>
      <c r="E195">
        <f>SUM(E1:E194)</f>
        <v>13376.248999999998</v>
      </c>
    </row>
  </sheetData>
  <sheetProtection selectLockedCells="1" selectUnlockedCells="1"/>
  <mergeCells count="75">
    <mergeCell ref="A188:A189"/>
    <mergeCell ref="A190:A191"/>
    <mergeCell ref="A192:A193"/>
    <mergeCell ref="A176:A177"/>
    <mergeCell ref="A178:A179"/>
    <mergeCell ref="A180:A181"/>
    <mergeCell ref="A182:A183"/>
    <mergeCell ref="A184:A185"/>
    <mergeCell ref="A186:A187"/>
    <mergeCell ref="A174:A175"/>
    <mergeCell ref="A148:A149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46:A147"/>
    <mergeCell ref="A122:A123"/>
    <mergeCell ref="A124:A125"/>
    <mergeCell ref="A126:A127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20:A121"/>
    <mergeCell ref="A96:A97"/>
    <mergeCell ref="A98:A99"/>
    <mergeCell ref="A100:A101"/>
    <mergeCell ref="A102:A103"/>
    <mergeCell ref="A104:A105"/>
    <mergeCell ref="A108:A109"/>
    <mergeCell ref="A110:A111"/>
    <mergeCell ref="A112:A113"/>
    <mergeCell ref="A114:A115"/>
    <mergeCell ref="A116:A117"/>
    <mergeCell ref="A118:A119"/>
    <mergeCell ref="A94:A95"/>
    <mergeCell ref="A69:A71"/>
    <mergeCell ref="A72:A73"/>
    <mergeCell ref="A74:A75"/>
    <mergeCell ref="A76:A77"/>
    <mergeCell ref="A78:A79"/>
    <mergeCell ref="A80:A81"/>
    <mergeCell ref="A82:A83"/>
    <mergeCell ref="A86:A87"/>
    <mergeCell ref="A88:A89"/>
    <mergeCell ref="A90:A91"/>
    <mergeCell ref="A92:A93"/>
    <mergeCell ref="A67:A68"/>
    <mergeCell ref="A14:A15"/>
    <mergeCell ref="A16:A17"/>
    <mergeCell ref="A18:A19"/>
    <mergeCell ref="A20:A21"/>
    <mergeCell ref="A24:A25"/>
    <mergeCell ref="A30:A31"/>
    <mergeCell ref="A36:A37"/>
    <mergeCell ref="A40:A41"/>
    <mergeCell ref="A42:A43"/>
    <mergeCell ref="A63:A64"/>
    <mergeCell ref="A65:A66"/>
    <mergeCell ref="A12:A13"/>
    <mergeCell ref="A2:A3"/>
    <mergeCell ref="A4:A5"/>
    <mergeCell ref="A6:A7"/>
    <mergeCell ref="A8:A9"/>
    <mergeCell ref="A10:A11"/>
  </mergeCells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1"/>
  <sheetViews>
    <sheetView zoomScaleNormal="100" workbookViewId="0">
      <selection activeCell="G2" sqref="G2"/>
    </sheetView>
  </sheetViews>
  <sheetFormatPr defaultRowHeight="14.5" x14ac:dyDescent="0.35"/>
  <cols>
    <col min="1" max="1" width="8.54296875" style="1" customWidth="1"/>
    <col min="2" max="2" width="14.6328125" customWidth="1"/>
    <col min="3" max="3" width="12.54296875" style="159" customWidth="1"/>
    <col min="4" max="4" width="11" bestFit="1" customWidth="1"/>
    <col min="5" max="16" width="10.1796875" customWidth="1"/>
    <col min="17" max="17" width="12.26953125" bestFit="1" customWidth="1"/>
    <col min="18" max="18" width="10" bestFit="1" customWidth="1"/>
    <col min="19" max="19" width="9.453125" bestFit="1" customWidth="1"/>
    <col min="20" max="20" width="3.26953125" customWidth="1"/>
  </cols>
  <sheetData>
    <row r="1" spans="1:33" ht="15" thickBot="1" x14ac:dyDescent="0.4"/>
    <row r="2" spans="1:33" s="1" customFormat="1" ht="21" customHeight="1" thickBot="1" x14ac:dyDescent="0.55000000000000004">
      <c r="A2" s="112">
        <v>1850</v>
      </c>
      <c r="B2" s="2"/>
      <c r="C2" s="306"/>
      <c r="D2" s="3">
        <v>46022</v>
      </c>
      <c r="E2" s="3">
        <v>46055</v>
      </c>
      <c r="F2" s="3"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0</v>
      </c>
      <c r="R2" s="1" t="s">
        <v>1</v>
      </c>
      <c r="S2" s="1" t="s">
        <v>27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</row>
    <row r="3" spans="1:33" s="1" customFormat="1" ht="15" thickBot="1" x14ac:dyDescent="0.4">
      <c r="A3" s="4" t="s">
        <v>2</v>
      </c>
      <c r="B3" s="5"/>
      <c r="C3" s="307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</row>
    <row r="4" spans="1:33" ht="15" thickBot="1" x14ac:dyDescent="0.4">
      <c r="A4" s="371">
        <v>1</v>
      </c>
      <c r="B4" s="6" t="s">
        <v>244</v>
      </c>
      <c r="C4" s="312">
        <v>241345698</v>
      </c>
      <c r="D4" s="7">
        <v>131.76499999999999</v>
      </c>
      <c r="E4" s="7">
        <v>147.08500000000001</v>
      </c>
      <c r="F4" s="7">
        <v>160.048</v>
      </c>
      <c r="G4" s="7"/>
      <c r="H4" s="7"/>
      <c r="I4" s="7"/>
      <c r="J4" s="7"/>
      <c r="K4" s="7"/>
      <c r="L4" s="7"/>
      <c r="M4" s="8"/>
      <c r="N4" s="7"/>
      <c r="O4" s="7"/>
      <c r="P4" s="7"/>
      <c r="Q4" s="9">
        <f>P4-D4</f>
        <v>-131.76499999999999</v>
      </c>
      <c r="U4" s="1">
        <v>1</v>
      </c>
      <c r="V4" s="144">
        <f t="shared" ref="V4:AG4" si="0">E4-D4</f>
        <v>15.320000000000022</v>
      </c>
      <c r="W4" s="144">
        <f t="shared" si="0"/>
        <v>12.962999999999994</v>
      </c>
      <c r="X4" s="144">
        <f t="shared" si="0"/>
        <v>-160.048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</row>
    <row r="5" spans="1:33" x14ac:dyDescent="0.35">
      <c r="A5" s="371"/>
      <c r="B5" s="10" t="s">
        <v>245</v>
      </c>
      <c r="C5" s="313">
        <v>71182278</v>
      </c>
      <c r="D5" s="11">
        <v>88.236999999999995</v>
      </c>
      <c r="E5" s="11">
        <v>93.522000000000006</v>
      </c>
      <c r="F5" s="11">
        <v>97.191999999999993</v>
      </c>
      <c r="G5" s="11"/>
      <c r="H5" s="11"/>
      <c r="I5" s="11"/>
      <c r="J5" s="11"/>
      <c r="K5" s="11"/>
      <c r="L5" s="11"/>
      <c r="M5" s="12"/>
      <c r="N5" s="11"/>
      <c r="O5" s="11"/>
      <c r="P5" s="11"/>
      <c r="Q5" s="9"/>
      <c r="R5" s="9">
        <f>P5-D5</f>
        <v>-88.236999999999995</v>
      </c>
      <c r="U5" s="1"/>
      <c r="V5" s="145"/>
      <c r="W5" s="145"/>
      <c r="X5" s="145"/>
      <c r="Y5" s="145"/>
      <c r="Z5" s="145"/>
      <c r="AA5" s="155">
        <f t="shared" ref="AA5:AG5" si="1">J5-I5</f>
        <v>0</v>
      </c>
      <c r="AB5" s="155">
        <f t="shared" si="1"/>
        <v>0</v>
      </c>
      <c r="AC5" s="155">
        <f t="shared" si="1"/>
        <v>0</v>
      </c>
      <c r="AD5" s="155">
        <f t="shared" si="1"/>
        <v>0</v>
      </c>
      <c r="AE5" s="155">
        <f t="shared" si="1"/>
        <v>0</v>
      </c>
      <c r="AF5" s="155">
        <f t="shared" si="1"/>
        <v>0</v>
      </c>
      <c r="AG5" s="155">
        <f t="shared" si="1"/>
        <v>0</v>
      </c>
    </row>
    <row r="6" spans="1:33" x14ac:dyDescent="0.35">
      <c r="A6" s="372">
        <v>2</v>
      </c>
      <c r="B6" s="10" t="s">
        <v>244</v>
      </c>
      <c r="C6" s="313">
        <v>241345701</v>
      </c>
      <c r="D6" s="11">
        <v>209.27199999999999</v>
      </c>
      <c r="E6" s="11">
        <v>225.26900000000001</v>
      </c>
      <c r="F6" s="11">
        <v>240.16200000000001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9">
        <f>P6-D6</f>
        <v>-209.27199999999999</v>
      </c>
      <c r="U6" s="1">
        <v>2</v>
      </c>
      <c r="V6" s="146">
        <f t="shared" ref="V6:AG6" si="2">E6-D6</f>
        <v>15.997000000000014</v>
      </c>
      <c r="W6" s="146">
        <f t="shared" si="2"/>
        <v>14.893000000000001</v>
      </c>
      <c r="X6" s="146">
        <f t="shared" si="2"/>
        <v>-240.16200000000001</v>
      </c>
      <c r="Y6" s="146">
        <f t="shared" si="2"/>
        <v>0</v>
      </c>
      <c r="Z6" s="146">
        <f t="shared" si="2"/>
        <v>0</v>
      </c>
      <c r="AA6" s="146">
        <f t="shared" si="2"/>
        <v>0</v>
      </c>
      <c r="AB6" s="146">
        <f t="shared" si="2"/>
        <v>0</v>
      </c>
      <c r="AC6" s="146">
        <f t="shared" si="2"/>
        <v>0</v>
      </c>
      <c r="AD6" s="146">
        <f t="shared" si="2"/>
        <v>0</v>
      </c>
      <c r="AE6" s="146">
        <f t="shared" si="2"/>
        <v>0</v>
      </c>
      <c r="AF6" s="146">
        <f t="shared" si="2"/>
        <v>0</v>
      </c>
      <c r="AG6" s="146">
        <f t="shared" si="2"/>
        <v>0</v>
      </c>
    </row>
    <row r="7" spans="1:33" x14ac:dyDescent="0.35">
      <c r="A7" s="372"/>
      <c r="B7" s="10" t="s">
        <v>245</v>
      </c>
      <c r="C7" s="313">
        <v>71182225</v>
      </c>
      <c r="D7" s="11">
        <v>116.53</v>
      </c>
      <c r="E7" s="11">
        <v>123.989</v>
      </c>
      <c r="F7" s="11">
        <v>128.851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9"/>
      <c r="R7" s="9">
        <f>P7-D7</f>
        <v>-116.53</v>
      </c>
      <c r="U7" s="1"/>
      <c r="V7" s="145"/>
      <c r="W7" s="145"/>
      <c r="X7" s="145"/>
      <c r="Y7" s="145"/>
      <c r="Z7" s="145"/>
      <c r="AA7" s="155">
        <f t="shared" ref="AA7:AG7" si="3">J7-I7</f>
        <v>0</v>
      </c>
      <c r="AB7" s="155">
        <f t="shared" si="3"/>
        <v>0</v>
      </c>
      <c r="AC7" s="155">
        <f t="shared" si="3"/>
        <v>0</v>
      </c>
      <c r="AD7" s="155">
        <f t="shared" si="3"/>
        <v>0</v>
      </c>
      <c r="AE7" s="155">
        <f t="shared" si="3"/>
        <v>0</v>
      </c>
      <c r="AF7" s="155">
        <f t="shared" si="3"/>
        <v>0</v>
      </c>
      <c r="AG7" s="155">
        <f t="shared" si="3"/>
        <v>0</v>
      </c>
    </row>
    <row r="8" spans="1:33" x14ac:dyDescent="0.35">
      <c r="A8" s="372">
        <v>3</v>
      </c>
      <c r="B8" s="10" t="s">
        <v>244</v>
      </c>
      <c r="C8" s="313">
        <v>241345691</v>
      </c>
      <c r="D8" s="11">
        <v>70.033000000000001</v>
      </c>
      <c r="E8" s="11">
        <v>75.775000000000006</v>
      </c>
      <c r="F8" s="11">
        <v>81.078999999999994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9">
        <f>P8-D8</f>
        <v>-70.033000000000001</v>
      </c>
      <c r="U8" s="1">
        <v>3</v>
      </c>
      <c r="V8" s="146">
        <f t="shared" ref="V8:AG8" si="4">E8-D8</f>
        <v>5.7420000000000044</v>
      </c>
      <c r="W8" s="146">
        <f t="shared" si="4"/>
        <v>5.3039999999999878</v>
      </c>
      <c r="X8" s="146">
        <f t="shared" si="4"/>
        <v>-81.078999999999994</v>
      </c>
      <c r="Y8" s="146">
        <f t="shared" si="4"/>
        <v>0</v>
      </c>
      <c r="Z8" s="146">
        <f t="shared" si="4"/>
        <v>0</v>
      </c>
      <c r="AA8" s="146">
        <f t="shared" si="4"/>
        <v>0</v>
      </c>
      <c r="AB8" s="146">
        <f t="shared" si="4"/>
        <v>0</v>
      </c>
      <c r="AC8" s="146">
        <f t="shared" si="4"/>
        <v>0</v>
      </c>
      <c r="AD8" s="146">
        <f t="shared" si="4"/>
        <v>0</v>
      </c>
      <c r="AE8" s="146">
        <f t="shared" si="4"/>
        <v>0</v>
      </c>
      <c r="AF8" s="146">
        <f t="shared" si="4"/>
        <v>0</v>
      </c>
      <c r="AG8" s="146">
        <f t="shared" si="4"/>
        <v>0</v>
      </c>
    </row>
    <row r="9" spans="1:33" x14ac:dyDescent="0.35">
      <c r="A9" s="372"/>
      <c r="B9" s="10" t="s">
        <v>245</v>
      </c>
      <c r="C9" s="313">
        <v>71182284</v>
      </c>
      <c r="D9" s="11">
        <v>79.837999999999994</v>
      </c>
      <c r="E9" s="11">
        <v>84.09</v>
      </c>
      <c r="F9" s="11">
        <v>86.837999999999994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>
        <f>P9-D9</f>
        <v>-79.837999999999994</v>
      </c>
      <c r="U9" s="1"/>
      <c r="V9" s="145"/>
      <c r="W9" s="145"/>
      <c r="X9" s="145"/>
      <c r="Y9" s="145"/>
      <c r="Z9" s="145"/>
      <c r="AA9" s="155">
        <f t="shared" ref="AA9:AG9" si="5">J9-I9</f>
        <v>0</v>
      </c>
      <c r="AB9" s="155">
        <f t="shared" si="5"/>
        <v>0</v>
      </c>
      <c r="AC9" s="155">
        <f t="shared" si="5"/>
        <v>0</v>
      </c>
      <c r="AD9" s="155">
        <f t="shared" si="5"/>
        <v>0</v>
      </c>
      <c r="AE9" s="155">
        <f t="shared" si="5"/>
        <v>0</v>
      </c>
      <c r="AF9" s="155">
        <f t="shared" si="5"/>
        <v>0</v>
      </c>
      <c r="AG9" s="155">
        <f t="shared" si="5"/>
        <v>0</v>
      </c>
    </row>
    <row r="10" spans="1:33" x14ac:dyDescent="0.35">
      <c r="A10" s="372">
        <v>4</v>
      </c>
      <c r="B10" s="10" t="s">
        <v>244</v>
      </c>
      <c r="C10" s="313">
        <v>241345696</v>
      </c>
      <c r="D10" s="11">
        <v>125.38500000000001</v>
      </c>
      <c r="E10" s="11">
        <v>137.72200000000001</v>
      </c>
      <c r="F10" s="11">
        <v>147.58500000000001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9">
        <f>P10-D10</f>
        <v>-125.38500000000001</v>
      </c>
      <c r="U10" s="1">
        <v>4</v>
      </c>
      <c r="V10" s="146">
        <f t="shared" ref="V10:AG10" si="6">E10-D10</f>
        <v>12.337000000000003</v>
      </c>
      <c r="W10" s="146">
        <f t="shared" si="6"/>
        <v>9.8629999999999995</v>
      </c>
      <c r="X10" s="146">
        <f t="shared" si="6"/>
        <v>-147.58500000000001</v>
      </c>
      <c r="Y10" s="146">
        <f t="shared" si="6"/>
        <v>0</v>
      </c>
      <c r="Z10" s="146">
        <f t="shared" si="6"/>
        <v>0</v>
      </c>
      <c r="AA10" s="146">
        <f t="shared" si="6"/>
        <v>0</v>
      </c>
      <c r="AB10" s="146">
        <f t="shared" si="6"/>
        <v>0</v>
      </c>
      <c r="AC10" s="146">
        <f t="shared" si="6"/>
        <v>0</v>
      </c>
      <c r="AD10" s="146">
        <f t="shared" si="6"/>
        <v>0</v>
      </c>
      <c r="AE10" s="146">
        <f t="shared" si="6"/>
        <v>0</v>
      </c>
      <c r="AF10" s="146">
        <f t="shared" si="6"/>
        <v>0</v>
      </c>
      <c r="AG10" s="146">
        <f t="shared" si="6"/>
        <v>0</v>
      </c>
    </row>
    <row r="11" spans="1:33" x14ac:dyDescent="0.35">
      <c r="A11" s="372"/>
      <c r="B11" s="10" t="s">
        <v>245</v>
      </c>
      <c r="C11" s="313">
        <v>71182235</v>
      </c>
      <c r="D11" s="11">
        <v>54.863</v>
      </c>
      <c r="E11" s="11">
        <v>58.488999999999997</v>
      </c>
      <c r="F11" s="11">
        <v>60.487000000000002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>
        <f>P11-D11</f>
        <v>-54.863</v>
      </c>
      <c r="U11" s="1"/>
      <c r="V11" s="145"/>
      <c r="W11" s="145"/>
      <c r="X11" s="145"/>
      <c r="Y11" s="145"/>
      <c r="Z11" s="145"/>
      <c r="AA11" s="155">
        <f t="shared" ref="AA11:AG11" si="7">J11-I11</f>
        <v>0</v>
      </c>
      <c r="AB11" s="155">
        <f t="shared" si="7"/>
        <v>0</v>
      </c>
      <c r="AC11" s="155">
        <f t="shared" si="7"/>
        <v>0</v>
      </c>
      <c r="AD11" s="155">
        <f t="shared" si="7"/>
        <v>0</v>
      </c>
      <c r="AE11" s="155">
        <f t="shared" si="7"/>
        <v>0</v>
      </c>
      <c r="AF11" s="155">
        <f t="shared" si="7"/>
        <v>0</v>
      </c>
      <c r="AG11" s="155">
        <f t="shared" si="7"/>
        <v>0</v>
      </c>
    </row>
    <row r="12" spans="1:33" x14ac:dyDescent="0.35">
      <c r="A12" s="372">
        <v>5</v>
      </c>
      <c r="B12" s="10" t="s">
        <v>244</v>
      </c>
      <c r="C12" s="313">
        <v>241345690</v>
      </c>
      <c r="D12" s="11">
        <v>118.4</v>
      </c>
      <c r="E12" s="11">
        <v>128.76599999999999</v>
      </c>
      <c r="F12" s="11">
        <v>136.495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>
        <f>P12-D12</f>
        <v>-118.4</v>
      </c>
      <c r="U12" s="1">
        <v>5</v>
      </c>
      <c r="V12" s="146">
        <f t="shared" ref="V12:AG12" si="8">E12-D12</f>
        <v>10.365999999999985</v>
      </c>
      <c r="W12" s="146">
        <f t="shared" si="8"/>
        <v>7.7290000000000134</v>
      </c>
      <c r="X12" s="146">
        <f t="shared" si="8"/>
        <v>-136.495</v>
      </c>
      <c r="Y12" s="146">
        <f t="shared" si="8"/>
        <v>0</v>
      </c>
      <c r="Z12" s="146">
        <f t="shared" si="8"/>
        <v>0</v>
      </c>
      <c r="AA12" s="146">
        <f t="shared" si="8"/>
        <v>0</v>
      </c>
      <c r="AB12" s="146">
        <f t="shared" si="8"/>
        <v>0</v>
      </c>
      <c r="AC12" s="146">
        <f t="shared" si="8"/>
        <v>0</v>
      </c>
      <c r="AD12" s="146">
        <f t="shared" si="8"/>
        <v>0</v>
      </c>
      <c r="AE12" s="146">
        <f t="shared" si="8"/>
        <v>0</v>
      </c>
      <c r="AF12" s="146">
        <f t="shared" si="8"/>
        <v>0</v>
      </c>
      <c r="AG12" s="146">
        <f t="shared" si="8"/>
        <v>0</v>
      </c>
    </row>
    <row r="13" spans="1:33" x14ac:dyDescent="0.35">
      <c r="A13" s="372"/>
      <c r="B13" s="10" t="s">
        <v>245</v>
      </c>
      <c r="C13" s="313">
        <v>71182238</v>
      </c>
      <c r="D13" s="11">
        <v>78.233999999999995</v>
      </c>
      <c r="E13" s="11">
        <v>82.585999999999999</v>
      </c>
      <c r="F13" s="11">
        <v>85.150999999999996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>
        <f>P13-D13</f>
        <v>-78.233999999999995</v>
      </c>
      <c r="U13" s="1"/>
      <c r="V13" s="145"/>
      <c r="W13" s="145"/>
      <c r="X13" s="145"/>
      <c r="Y13" s="145"/>
      <c r="Z13" s="145"/>
      <c r="AA13" s="155">
        <f t="shared" ref="AA13:AG13" si="9">J13-I13</f>
        <v>0</v>
      </c>
      <c r="AB13" s="155">
        <f t="shared" si="9"/>
        <v>0</v>
      </c>
      <c r="AC13" s="155">
        <f t="shared" si="9"/>
        <v>0</v>
      </c>
      <c r="AD13" s="155">
        <f t="shared" si="9"/>
        <v>0</v>
      </c>
      <c r="AE13" s="155">
        <f t="shared" si="9"/>
        <v>0</v>
      </c>
      <c r="AF13" s="155">
        <f t="shared" si="9"/>
        <v>0</v>
      </c>
      <c r="AG13" s="155">
        <f t="shared" si="9"/>
        <v>0</v>
      </c>
    </row>
    <row r="14" spans="1:33" x14ac:dyDescent="0.35">
      <c r="A14" s="372">
        <v>6</v>
      </c>
      <c r="B14" s="10" t="s">
        <v>244</v>
      </c>
      <c r="C14" s="313">
        <v>241345700</v>
      </c>
      <c r="D14" s="11">
        <v>70.558000000000007</v>
      </c>
      <c r="E14" s="11">
        <v>77.078000000000003</v>
      </c>
      <c r="F14" s="11">
        <v>83.545000000000002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>
        <f>P14-D14</f>
        <v>-70.558000000000007</v>
      </c>
      <c r="U14" s="1">
        <v>6</v>
      </c>
      <c r="V14" s="146">
        <f t="shared" ref="V14:AG14" si="10">E14-D14</f>
        <v>6.519999999999996</v>
      </c>
      <c r="W14" s="146">
        <f t="shared" si="10"/>
        <v>6.4669999999999987</v>
      </c>
      <c r="X14" s="146">
        <f t="shared" si="10"/>
        <v>-83.545000000000002</v>
      </c>
      <c r="Y14" s="146">
        <f t="shared" si="10"/>
        <v>0</v>
      </c>
      <c r="Z14" s="146">
        <f t="shared" si="10"/>
        <v>0</v>
      </c>
      <c r="AA14" s="146">
        <f t="shared" si="10"/>
        <v>0</v>
      </c>
      <c r="AB14" s="146">
        <f t="shared" si="10"/>
        <v>0</v>
      </c>
      <c r="AC14" s="146">
        <f t="shared" si="10"/>
        <v>0</v>
      </c>
      <c r="AD14" s="146">
        <f t="shared" si="10"/>
        <v>0</v>
      </c>
      <c r="AE14" s="146">
        <f t="shared" si="10"/>
        <v>0</v>
      </c>
      <c r="AF14" s="146">
        <f t="shared" si="10"/>
        <v>0</v>
      </c>
      <c r="AG14" s="146">
        <f t="shared" si="10"/>
        <v>0</v>
      </c>
    </row>
    <row r="15" spans="1:33" x14ac:dyDescent="0.35">
      <c r="A15" s="372"/>
      <c r="B15" s="10" t="s">
        <v>245</v>
      </c>
      <c r="C15" s="313">
        <v>71182269</v>
      </c>
      <c r="D15" s="11">
        <v>116.54600000000001</v>
      </c>
      <c r="E15" s="11">
        <v>122.401</v>
      </c>
      <c r="F15" s="11">
        <v>125.371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9"/>
      <c r="R15" s="9">
        <f>P15-D15</f>
        <v>-116.54600000000001</v>
      </c>
      <c r="U15" s="1"/>
      <c r="V15" s="145"/>
      <c r="W15" s="145"/>
      <c r="X15" s="145"/>
      <c r="Y15" s="145"/>
      <c r="Z15" s="145"/>
      <c r="AA15" s="155">
        <f t="shared" ref="AA15:AG15" si="11">J15-I15</f>
        <v>0</v>
      </c>
      <c r="AB15" s="155">
        <f t="shared" si="11"/>
        <v>0</v>
      </c>
      <c r="AC15" s="155">
        <f t="shared" si="11"/>
        <v>0</v>
      </c>
      <c r="AD15" s="155">
        <f t="shared" si="11"/>
        <v>0</v>
      </c>
      <c r="AE15" s="155">
        <f t="shared" si="11"/>
        <v>0</v>
      </c>
      <c r="AF15" s="155">
        <f t="shared" si="11"/>
        <v>0</v>
      </c>
      <c r="AG15" s="155">
        <f t="shared" si="11"/>
        <v>0</v>
      </c>
    </row>
    <row r="16" spans="1:33" x14ac:dyDescent="0.35">
      <c r="A16" s="372">
        <v>7</v>
      </c>
      <c r="B16" s="10" t="s">
        <v>244</v>
      </c>
      <c r="C16" s="313">
        <v>241345702</v>
      </c>
      <c r="D16" s="11">
        <v>47.512999999999998</v>
      </c>
      <c r="E16" s="11">
        <v>52.173999999999999</v>
      </c>
      <c r="F16" s="11">
        <v>55.088000000000001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>
        <f>P16-D16</f>
        <v>-47.512999999999998</v>
      </c>
      <c r="U16" s="1">
        <v>7</v>
      </c>
      <c r="V16" s="146">
        <f t="shared" ref="V16:AG16" si="12">E16-D16</f>
        <v>4.6610000000000014</v>
      </c>
      <c r="W16" s="146">
        <f t="shared" si="12"/>
        <v>2.9140000000000015</v>
      </c>
      <c r="X16" s="146">
        <f t="shared" si="12"/>
        <v>-55.088000000000001</v>
      </c>
      <c r="Y16" s="146">
        <f t="shared" si="12"/>
        <v>0</v>
      </c>
      <c r="Z16" s="146">
        <f t="shared" si="12"/>
        <v>0</v>
      </c>
      <c r="AA16" s="146">
        <f t="shared" si="12"/>
        <v>0</v>
      </c>
      <c r="AB16" s="146">
        <f t="shared" si="12"/>
        <v>0</v>
      </c>
      <c r="AC16" s="146">
        <f t="shared" si="12"/>
        <v>0</v>
      </c>
      <c r="AD16" s="146">
        <f t="shared" si="12"/>
        <v>0</v>
      </c>
      <c r="AE16" s="146">
        <f t="shared" si="12"/>
        <v>0</v>
      </c>
      <c r="AF16" s="146">
        <f t="shared" si="12"/>
        <v>0</v>
      </c>
      <c r="AG16" s="146">
        <f t="shared" si="12"/>
        <v>0</v>
      </c>
    </row>
    <row r="17" spans="1:33" x14ac:dyDescent="0.35">
      <c r="A17" s="372"/>
      <c r="B17" s="10" t="s">
        <v>245</v>
      </c>
      <c r="C17" s="313">
        <v>71182265</v>
      </c>
      <c r="D17" s="11">
        <v>26.122</v>
      </c>
      <c r="E17" s="11">
        <v>27.782</v>
      </c>
      <c r="F17" s="11">
        <v>28.768000000000001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9"/>
      <c r="R17" s="9">
        <f>P17-D17</f>
        <v>-26.122</v>
      </c>
      <c r="U17" s="1"/>
      <c r="V17" s="145"/>
      <c r="W17" s="145"/>
      <c r="X17" s="145"/>
      <c r="Y17" s="145"/>
      <c r="Z17" s="145"/>
      <c r="AA17" s="155">
        <f t="shared" ref="AA17:AG17" si="13">J17-I17</f>
        <v>0</v>
      </c>
      <c r="AB17" s="155">
        <f t="shared" si="13"/>
        <v>0</v>
      </c>
      <c r="AC17" s="155">
        <f t="shared" si="13"/>
        <v>0</v>
      </c>
      <c r="AD17" s="155">
        <f t="shared" si="13"/>
        <v>0</v>
      </c>
      <c r="AE17" s="155">
        <f t="shared" si="13"/>
        <v>0</v>
      </c>
      <c r="AF17" s="155">
        <f t="shared" si="13"/>
        <v>0</v>
      </c>
      <c r="AG17" s="155">
        <f t="shared" si="13"/>
        <v>0</v>
      </c>
    </row>
    <row r="18" spans="1:33" x14ac:dyDescent="0.35">
      <c r="A18" s="372">
        <v>8</v>
      </c>
      <c r="B18" s="10" t="s">
        <v>244</v>
      </c>
      <c r="C18" s="313">
        <v>241345699</v>
      </c>
      <c r="D18" s="11">
        <v>9.2970000000000006</v>
      </c>
      <c r="E18" s="11">
        <v>9.7249999999999996</v>
      </c>
      <c r="F18" s="11">
        <v>10.496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9">
        <f>P18-D18</f>
        <v>-9.2970000000000006</v>
      </c>
      <c r="U18" s="1">
        <v>8</v>
      </c>
      <c r="V18" s="146">
        <f t="shared" ref="V18:AG18" si="14">E18-D18</f>
        <v>0.42799999999999905</v>
      </c>
      <c r="W18" s="146">
        <f t="shared" si="14"/>
        <v>0.7710000000000008</v>
      </c>
      <c r="X18" s="146">
        <f t="shared" si="14"/>
        <v>-10.496</v>
      </c>
      <c r="Y18" s="146">
        <f t="shared" si="14"/>
        <v>0</v>
      </c>
      <c r="Z18" s="146">
        <f t="shared" si="14"/>
        <v>0</v>
      </c>
      <c r="AA18" s="146">
        <f t="shared" si="14"/>
        <v>0</v>
      </c>
      <c r="AB18" s="146">
        <f t="shared" si="14"/>
        <v>0</v>
      </c>
      <c r="AC18" s="146">
        <f t="shared" si="14"/>
        <v>0</v>
      </c>
      <c r="AD18" s="146">
        <f t="shared" si="14"/>
        <v>0</v>
      </c>
      <c r="AE18" s="146">
        <f t="shared" si="14"/>
        <v>0</v>
      </c>
      <c r="AF18" s="146">
        <f t="shared" si="14"/>
        <v>0</v>
      </c>
      <c r="AG18" s="146">
        <f t="shared" si="14"/>
        <v>0</v>
      </c>
    </row>
    <row r="19" spans="1:33" x14ac:dyDescent="0.35">
      <c r="A19" s="372"/>
      <c r="B19" s="10" t="s">
        <v>245</v>
      </c>
      <c r="C19" s="313">
        <v>71182245</v>
      </c>
      <c r="D19" s="11">
        <v>77.412000000000006</v>
      </c>
      <c r="E19" s="11">
        <v>82.313999999999993</v>
      </c>
      <c r="F19" s="11">
        <v>85.483999999999995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9"/>
      <c r="R19" s="9">
        <f>P19-D19</f>
        <v>-77.412000000000006</v>
      </c>
      <c r="U19" s="1"/>
      <c r="V19" s="145"/>
      <c r="W19" s="145"/>
      <c r="X19" s="145"/>
      <c r="Y19" s="145"/>
      <c r="Z19" s="145"/>
      <c r="AA19" s="155">
        <f t="shared" ref="AA19:AG19" si="15">J19-I19</f>
        <v>0</v>
      </c>
      <c r="AB19" s="155">
        <f t="shared" si="15"/>
        <v>0</v>
      </c>
      <c r="AC19" s="155">
        <f t="shared" si="15"/>
        <v>0</v>
      </c>
      <c r="AD19" s="155">
        <f t="shared" si="15"/>
        <v>0</v>
      </c>
      <c r="AE19" s="155">
        <f t="shared" si="15"/>
        <v>0</v>
      </c>
      <c r="AF19" s="155">
        <f t="shared" si="15"/>
        <v>0</v>
      </c>
      <c r="AG19" s="155">
        <f t="shared" si="15"/>
        <v>0</v>
      </c>
    </row>
    <row r="20" spans="1:33" x14ac:dyDescent="0.35">
      <c r="A20" s="372">
        <v>9</v>
      </c>
      <c r="B20" s="10" t="s">
        <v>244</v>
      </c>
      <c r="C20" s="313">
        <v>241345692</v>
      </c>
      <c r="D20" s="11">
        <v>15.707000000000001</v>
      </c>
      <c r="E20" s="11">
        <v>24.442</v>
      </c>
      <c r="F20" s="11">
        <v>32.024000000000001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>
        <f>P20-D20</f>
        <v>-15.707000000000001</v>
      </c>
      <c r="U20" s="1">
        <v>9</v>
      </c>
      <c r="V20" s="146">
        <f t="shared" ref="V20:AG20" si="16">E20-D20</f>
        <v>8.7349999999999994</v>
      </c>
      <c r="W20" s="146">
        <f t="shared" si="16"/>
        <v>7.5820000000000007</v>
      </c>
      <c r="X20" s="146">
        <f t="shared" si="16"/>
        <v>-32.024000000000001</v>
      </c>
      <c r="Y20" s="146">
        <f t="shared" si="16"/>
        <v>0</v>
      </c>
      <c r="Z20" s="146">
        <f t="shared" si="16"/>
        <v>0</v>
      </c>
      <c r="AA20" s="146">
        <f t="shared" si="16"/>
        <v>0</v>
      </c>
      <c r="AB20" s="146">
        <f t="shared" si="16"/>
        <v>0</v>
      </c>
      <c r="AC20" s="146">
        <f t="shared" si="16"/>
        <v>0</v>
      </c>
      <c r="AD20" s="146">
        <f t="shared" si="16"/>
        <v>0</v>
      </c>
      <c r="AE20" s="146">
        <f t="shared" si="16"/>
        <v>0</v>
      </c>
      <c r="AF20" s="146">
        <f t="shared" si="16"/>
        <v>0</v>
      </c>
      <c r="AG20" s="146">
        <f t="shared" si="16"/>
        <v>0</v>
      </c>
    </row>
    <row r="21" spans="1:33" x14ac:dyDescent="0.35">
      <c r="A21" s="372"/>
      <c r="B21" s="10" t="s">
        <v>245</v>
      </c>
      <c r="C21" s="313">
        <v>71182280</v>
      </c>
      <c r="D21" s="11">
        <v>18.462</v>
      </c>
      <c r="E21" s="11">
        <v>22.475000000000001</v>
      </c>
      <c r="F21" s="11">
        <v>25.335999999999999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>
        <f>P21-D21</f>
        <v>-18.462</v>
      </c>
      <c r="U21" s="1"/>
      <c r="V21" s="145"/>
      <c r="W21" s="145"/>
      <c r="X21" s="145"/>
      <c r="Y21" s="145"/>
      <c r="Z21" s="145"/>
      <c r="AA21" s="155">
        <f t="shared" ref="AA21:AG21" si="17">J21-I21</f>
        <v>0</v>
      </c>
      <c r="AB21" s="155">
        <f t="shared" si="17"/>
        <v>0</v>
      </c>
      <c r="AC21" s="155">
        <f t="shared" si="17"/>
        <v>0</v>
      </c>
      <c r="AD21" s="155">
        <f t="shared" si="17"/>
        <v>0</v>
      </c>
      <c r="AE21" s="155">
        <f t="shared" si="17"/>
        <v>0</v>
      </c>
      <c r="AF21" s="155">
        <f t="shared" si="17"/>
        <v>0</v>
      </c>
      <c r="AG21" s="155">
        <f t="shared" si="17"/>
        <v>0</v>
      </c>
    </row>
    <row r="22" spans="1:33" x14ac:dyDescent="0.35">
      <c r="A22" s="372">
        <v>10</v>
      </c>
      <c r="B22" s="10" t="s">
        <v>244</v>
      </c>
      <c r="C22" s="313">
        <v>241345695</v>
      </c>
      <c r="D22" s="11">
        <v>114.43300000000001</v>
      </c>
      <c r="E22" s="11">
        <v>121.932</v>
      </c>
      <c r="F22" s="11">
        <v>129.95500000000001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9">
        <f>P22-D22</f>
        <v>-114.43300000000001</v>
      </c>
      <c r="U22" s="1">
        <v>10</v>
      </c>
      <c r="V22" s="146">
        <f t="shared" ref="V22:AG22" si="18">E22-D22</f>
        <v>7.4989999999999952</v>
      </c>
      <c r="W22" s="146">
        <f t="shared" si="18"/>
        <v>8.0230000000000103</v>
      </c>
      <c r="X22" s="146">
        <f t="shared" si="18"/>
        <v>-129.95500000000001</v>
      </c>
      <c r="Y22" s="146">
        <f t="shared" si="18"/>
        <v>0</v>
      </c>
      <c r="Z22" s="146">
        <f t="shared" si="18"/>
        <v>0</v>
      </c>
      <c r="AA22" s="146">
        <f t="shared" si="18"/>
        <v>0</v>
      </c>
      <c r="AB22" s="146">
        <f t="shared" si="18"/>
        <v>0</v>
      </c>
      <c r="AC22" s="146">
        <f t="shared" si="18"/>
        <v>0</v>
      </c>
      <c r="AD22" s="146">
        <f t="shared" si="18"/>
        <v>0</v>
      </c>
      <c r="AE22" s="146">
        <f t="shared" si="18"/>
        <v>0</v>
      </c>
      <c r="AF22" s="146">
        <f t="shared" si="18"/>
        <v>0</v>
      </c>
      <c r="AG22" s="146">
        <f t="shared" si="18"/>
        <v>0</v>
      </c>
    </row>
    <row r="23" spans="1:33" x14ac:dyDescent="0.35">
      <c r="A23" s="372"/>
      <c r="B23" s="10" t="s">
        <v>245</v>
      </c>
      <c r="C23" s="313">
        <v>71182243</v>
      </c>
      <c r="D23" s="11">
        <v>95.253</v>
      </c>
      <c r="E23" s="11">
        <v>99.900999999999996</v>
      </c>
      <c r="F23" s="11">
        <v>103.72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97">
        <f>P23-D23</f>
        <v>-95.253</v>
      </c>
      <c r="V23" s="145"/>
      <c r="W23" s="145"/>
      <c r="X23" s="145"/>
      <c r="Y23" s="145"/>
      <c r="Z23" s="145"/>
      <c r="AA23" s="155">
        <f t="shared" ref="AA23:AG23" si="19">J23-I23</f>
        <v>0</v>
      </c>
      <c r="AB23" s="155">
        <f t="shared" si="19"/>
        <v>0</v>
      </c>
      <c r="AC23" s="155">
        <f t="shared" si="19"/>
        <v>0</v>
      </c>
      <c r="AD23" s="155">
        <f t="shared" si="19"/>
        <v>0</v>
      </c>
      <c r="AE23" s="155">
        <f t="shared" si="19"/>
        <v>0</v>
      </c>
      <c r="AF23" s="155">
        <f t="shared" si="19"/>
        <v>0</v>
      </c>
      <c r="AG23" s="155">
        <f t="shared" si="19"/>
        <v>0</v>
      </c>
    </row>
    <row r="24" spans="1:33" x14ac:dyDescent="0.35">
      <c r="A24" s="113"/>
      <c r="B24" s="10"/>
      <c r="C24" s="313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-912.36300000000006</v>
      </c>
      <c r="R24" s="9">
        <f>SUM(R4:R23)</f>
        <v>-751.49700000000007</v>
      </c>
    </row>
    <row r="25" spans="1:33" x14ac:dyDescent="0.35">
      <c r="A25" s="113" t="s">
        <v>15</v>
      </c>
      <c r="B25" s="10" t="s">
        <v>246</v>
      </c>
      <c r="C25" s="313">
        <v>1025291034</v>
      </c>
      <c r="D25" s="15">
        <v>9472</v>
      </c>
      <c r="E25" s="15">
        <v>9735</v>
      </c>
      <c r="F25" s="15">
        <v>9949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>
        <f>P25-D25</f>
        <v>-9472</v>
      </c>
    </row>
    <row r="26" spans="1:33" ht="15" thickBot="1" x14ac:dyDescent="0.4">
      <c r="A26" s="113"/>
      <c r="B26" s="281" t="s">
        <v>247</v>
      </c>
      <c r="C26" s="314">
        <v>241175202</v>
      </c>
      <c r="D26" s="18">
        <v>996.6</v>
      </c>
      <c r="E26" s="18">
        <v>1091.8</v>
      </c>
      <c r="F26" s="18">
        <v>1175.3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9">
        <f>P26-D26</f>
        <v>-996.6</v>
      </c>
    </row>
    <row r="27" spans="1:33" x14ac:dyDescent="0.35">
      <c r="A27" s="113"/>
      <c r="B27" s="17" t="s">
        <v>214</v>
      </c>
      <c r="C27" s="308"/>
      <c r="D27" s="19">
        <v>399.83</v>
      </c>
      <c r="E27" s="19">
        <v>447.44</v>
      </c>
      <c r="F27" s="19">
        <v>477.51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/>
      <c r="R27" s="9">
        <f>(P27-D27)</f>
        <v>-399.83</v>
      </c>
      <c r="S27" t="s">
        <v>78</v>
      </c>
    </row>
    <row r="28" spans="1:33" ht="15" thickBot="1" x14ac:dyDescent="0.4">
      <c r="A28" s="4"/>
      <c r="B28" s="20" t="s">
        <v>16</v>
      </c>
      <c r="C28" s="309"/>
      <c r="D28" s="21">
        <v>3333</v>
      </c>
      <c r="E28" s="21">
        <v>3662</v>
      </c>
      <c r="F28" s="21">
        <v>3866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9"/>
      <c r="R28" s="16">
        <f>P28-D28</f>
        <v>-3333</v>
      </c>
      <c r="S28" t="s">
        <v>79</v>
      </c>
    </row>
    <row r="29" spans="1:33" ht="15" thickBot="1" x14ac:dyDescent="0.4">
      <c r="A29" s="114" t="s">
        <v>250</v>
      </c>
      <c r="B29" s="22"/>
      <c r="C29" s="310">
        <v>63796</v>
      </c>
      <c r="D29" s="23">
        <v>65454</v>
      </c>
      <c r="E29" s="23">
        <v>65848.899999999994</v>
      </c>
      <c r="F29" s="23">
        <v>66193.7</v>
      </c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9">
        <f>P29-D29</f>
        <v>-65454</v>
      </c>
    </row>
    <row r="31" spans="1:33" x14ac:dyDescent="0.35">
      <c r="D31" s="1" t="s">
        <v>169</v>
      </c>
      <c r="E31" s="1"/>
      <c r="F31" s="1" t="s">
        <v>170</v>
      </c>
      <c r="G31" s="159" t="s">
        <v>270</v>
      </c>
    </row>
    <row r="32" spans="1:33" x14ac:dyDescent="0.35">
      <c r="B32" t="s">
        <v>165</v>
      </c>
      <c r="D32">
        <v>63796</v>
      </c>
      <c r="E32" s="1" t="s">
        <v>115</v>
      </c>
      <c r="F32">
        <v>31933</v>
      </c>
      <c r="G32">
        <f>F32-D29</f>
        <v>-33521</v>
      </c>
      <c r="I32" s="254" t="s">
        <v>210</v>
      </c>
      <c r="J32" s="225"/>
      <c r="K32" s="225"/>
      <c r="L32" s="225"/>
      <c r="M32" s="224" t="s">
        <v>166</v>
      </c>
      <c r="N32" s="255">
        <v>210.8</v>
      </c>
      <c r="O32" s="225" t="s">
        <v>127</v>
      </c>
      <c r="P32" s="225"/>
      <c r="Q32" s="225"/>
      <c r="R32" s="225"/>
    </row>
    <row r="33" spans="2:18" x14ac:dyDescent="0.35">
      <c r="B33" t="s">
        <v>233</v>
      </c>
      <c r="D33">
        <v>203623</v>
      </c>
      <c r="E33" s="1" t="s">
        <v>116</v>
      </c>
      <c r="F33">
        <v>65108</v>
      </c>
      <c r="G33">
        <f>P29-F33</f>
        <v>-65108</v>
      </c>
      <c r="I33" s="254" t="s">
        <v>211</v>
      </c>
      <c r="J33" s="225"/>
      <c r="K33" s="225"/>
      <c r="L33" s="225"/>
      <c r="M33" s="224" t="s">
        <v>166</v>
      </c>
      <c r="N33" s="255">
        <v>0</v>
      </c>
      <c r="O33" s="254" t="s">
        <v>78</v>
      </c>
      <c r="P33" s="225"/>
      <c r="Q33" s="225"/>
      <c r="R33" s="225"/>
    </row>
    <row r="34" spans="2:18" x14ac:dyDescent="0.35">
      <c r="B34" t="s">
        <v>167</v>
      </c>
      <c r="D34">
        <v>18972503</v>
      </c>
      <c r="E34" s="1" t="s">
        <v>115</v>
      </c>
      <c r="G34" s="16"/>
      <c r="K34" s="104"/>
      <c r="M34" s="225"/>
    </row>
    <row r="35" spans="2:18" x14ac:dyDescent="0.35">
      <c r="B35" t="s">
        <v>168</v>
      </c>
      <c r="D35" s="16">
        <v>1025291034</v>
      </c>
      <c r="E35" s="1" t="s">
        <v>116</v>
      </c>
    </row>
    <row r="36" spans="2:18" x14ac:dyDescent="0.35">
      <c r="B36" s="24"/>
      <c r="C36" s="311"/>
      <c r="E36" s="25"/>
      <c r="G36" s="136"/>
      <c r="J36" s="74"/>
      <c r="K36" s="74"/>
      <c r="L36" s="74"/>
      <c r="M36" s="74"/>
      <c r="N36" s="75"/>
      <c r="O36" s="86"/>
      <c r="P36" s="74"/>
    </row>
    <row r="37" spans="2:18" x14ac:dyDescent="0.35">
      <c r="D37" s="44"/>
      <c r="E37" s="227"/>
      <c r="F37" s="1"/>
      <c r="I37" s="137"/>
      <c r="J37" s="137"/>
      <c r="K37" s="137"/>
      <c r="L37" s="137"/>
      <c r="M37" s="138"/>
      <c r="N37" s="139"/>
      <c r="O37" s="280" t="s">
        <v>227</v>
      </c>
      <c r="P37" s="74">
        <f>D29</f>
        <v>65454</v>
      </c>
    </row>
    <row r="38" spans="2:18" x14ac:dyDescent="0.35">
      <c r="D38" s="44"/>
      <c r="E38" s="228"/>
      <c r="F38" s="226"/>
      <c r="I38" s="140"/>
      <c r="J38" s="137"/>
      <c r="K38" s="137"/>
      <c r="L38" s="137"/>
      <c r="M38" s="138"/>
      <c r="N38" s="139"/>
      <c r="O38" s="206"/>
      <c r="P38" s="74"/>
    </row>
    <row r="39" spans="2:18" x14ac:dyDescent="0.35">
      <c r="E39" s="226"/>
      <c r="F39" s="226"/>
      <c r="I39" s="141"/>
      <c r="J39" s="74"/>
      <c r="K39" s="75"/>
      <c r="L39" s="74"/>
      <c r="M39" s="74"/>
      <c r="N39" s="75"/>
      <c r="O39" s="280" t="s">
        <v>228</v>
      </c>
      <c r="P39" s="74">
        <f>P29</f>
        <v>0</v>
      </c>
    </row>
    <row r="40" spans="2:18" x14ac:dyDescent="0.35">
      <c r="E40" s="226"/>
      <c r="F40" s="226"/>
      <c r="K40" s="104"/>
      <c r="M40" s="74"/>
      <c r="O40" s="206"/>
    </row>
    <row r="41" spans="2:18" x14ac:dyDescent="0.35">
      <c r="O41" s="234" t="s">
        <v>171</v>
      </c>
      <c r="P41">
        <f>P39-P37-P38</f>
        <v>-65454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E4">
    <cfRule type="cellIs" dxfId="4894" priority="15" stopIfTrue="1" operator="equal">
      <formula>$D$4</formula>
    </cfRule>
    <cfRule type="cellIs" dxfId="4893" priority="14" stopIfTrue="1" operator="lessThan">
      <formula>$D$4</formula>
    </cfRule>
  </conditionalFormatting>
  <conditionalFormatting sqref="E5">
    <cfRule type="cellIs" dxfId="4892" priority="18" stopIfTrue="1" operator="equal">
      <formula>$D$5</formula>
    </cfRule>
    <cfRule type="cellIs" dxfId="4891" priority="19" stopIfTrue="1" operator="lessThan">
      <formula>$D$5</formula>
    </cfRule>
  </conditionalFormatting>
  <conditionalFormatting sqref="E6">
    <cfRule type="cellIs" dxfId="4890" priority="26" stopIfTrue="1" operator="lessThan">
      <formula>$D$6</formula>
    </cfRule>
    <cfRule type="cellIs" dxfId="4889" priority="25" stopIfTrue="1" operator="equal">
      <formula>$D$6</formula>
    </cfRule>
  </conditionalFormatting>
  <conditionalFormatting sqref="E7">
    <cfRule type="cellIs" dxfId="4888" priority="40" stopIfTrue="1" operator="lessThan">
      <formula>$D$7</formula>
    </cfRule>
    <cfRule type="cellIs" dxfId="4887" priority="39" stopIfTrue="1" operator="equal">
      <formula>$D$7</formula>
    </cfRule>
  </conditionalFormatting>
  <conditionalFormatting sqref="E8">
    <cfRule type="cellIs" dxfId="4886" priority="52" stopIfTrue="1" operator="lessThan">
      <formula>$D$8</formula>
    </cfRule>
    <cfRule type="cellIs" dxfId="4885" priority="51" stopIfTrue="1" operator="equal">
      <formula>$D$8</formula>
    </cfRule>
  </conditionalFormatting>
  <conditionalFormatting sqref="E9">
    <cfRule type="cellIs" dxfId="4884" priority="66" stopIfTrue="1" operator="lessThan">
      <formula>$D$9</formula>
    </cfRule>
    <cfRule type="cellIs" dxfId="4883" priority="65" stopIfTrue="1" operator="equal">
      <formula>$D$9</formula>
    </cfRule>
  </conditionalFormatting>
  <conditionalFormatting sqref="E10">
    <cfRule type="cellIs" dxfId="4882" priority="79" stopIfTrue="1" operator="equal">
      <formula>$D$10</formula>
    </cfRule>
    <cfRule type="cellIs" dxfId="4881" priority="80" stopIfTrue="1" operator="lessThan">
      <formula>$D$10</formula>
    </cfRule>
  </conditionalFormatting>
  <conditionalFormatting sqref="E11">
    <cfRule type="cellIs" dxfId="4880" priority="93" stopIfTrue="1" operator="equal">
      <formula>$D$11</formula>
    </cfRule>
    <cfRule type="cellIs" dxfId="4879" priority="94" stopIfTrue="1" operator="lessThan">
      <formula>$D$11</formula>
    </cfRule>
  </conditionalFormatting>
  <conditionalFormatting sqref="E12">
    <cfRule type="cellIs" dxfId="4878" priority="107" stopIfTrue="1" operator="equal">
      <formula>$D$12</formula>
    </cfRule>
    <cfRule type="cellIs" dxfId="4877" priority="108" stopIfTrue="1" operator="lessThan">
      <formula>$D$12</formula>
    </cfRule>
  </conditionalFormatting>
  <conditionalFormatting sqref="E13">
    <cfRule type="cellIs" dxfId="4876" priority="240" stopIfTrue="1" operator="lessThan">
      <formula>$D$13</formula>
    </cfRule>
    <cfRule type="cellIs" dxfId="4875" priority="239" stopIfTrue="1" operator="equal">
      <formula>$D$13</formula>
    </cfRule>
  </conditionalFormatting>
  <conditionalFormatting sqref="E14">
    <cfRule type="cellIs" dxfId="4874" priority="122" stopIfTrue="1" operator="lessThan">
      <formula>$D$14</formula>
    </cfRule>
    <cfRule type="cellIs" dxfId="4873" priority="121" stopIfTrue="1" operator="equal">
      <formula>$D$14</formula>
    </cfRule>
  </conditionalFormatting>
  <conditionalFormatting sqref="E15">
    <cfRule type="cellIs" dxfId="4872" priority="124" stopIfTrue="1" operator="lessThan">
      <formula>$D$15</formula>
    </cfRule>
    <cfRule type="cellIs" dxfId="4871" priority="123" stopIfTrue="1" operator="equal">
      <formula>$D$15</formula>
    </cfRule>
  </conditionalFormatting>
  <conditionalFormatting sqref="E16">
    <cfRule type="cellIs" dxfId="4870" priority="126" stopIfTrue="1" operator="lessThan">
      <formula>$D$16</formula>
    </cfRule>
    <cfRule type="cellIs" dxfId="4869" priority="125" stopIfTrue="1" operator="equal">
      <formula>$D$16</formula>
    </cfRule>
  </conditionalFormatting>
  <conditionalFormatting sqref="E17">
    <cfRule type="cellIs" dxfId="4868" priority="127" stopIfTrue="1" operator="equal">
      <formula>$D$17</formula>
    </cfRule>
    <cfRule type="cellIs" dxfId="4867" priority="128" stopIfTrue="1" operator="lessThan">
      <formula>$D$17</formula>
    </cfRule>
  </conditionalFormatting>
  <conditionalFormatting sqref="E18">
    <cfRule type="cellIs" dxfId="4866" priority="130" stopIfTrue="1" operator="lessThan">
      <formula>$D$18</formula>
    </cfRule>
    <cfRule type="cellIs" dxfId="4865" priority="129" stopIfTrue="1" operator="equal">
      <formula>$D$18</formula>
    </cfRule>
  </conditionalFormatting>
  <conditionalFormatting sqref="E19">
    <cfRule type="cellIs" dxfId="4864" priority="131" stopIfTrue="1" operator="equal">
      <formula>$D$19</formula>
    </cfRule>
    <cfRule type="cellIs" dxfId="4863" priority="132" stopIfTrue="1" operator="lessThan">
      <formula>$D$19</formula>
    </cfRule>
  </conditionalFormatting>
  <conditionalFormatting sqref="E20">
    <cfRule type="cellIs" dxfId="4862" priority="134" stopIfTrue="1" operator="lessThan">
      <formula>$D$20</formula>
    </cfRule>
    <cfRule type="cellIs" dxfId="4861" priority="133" stopIfTrue="1" operator="equal">
      <formula>$D$20</formula>
    </cfRule>
  </conditionalFormatting>
  <conditionalFormatting sqref="E21">
    <cfRule type="cellIs" dxfId="4860" priority="135" stopIfTrue="1" operator="equal">
      <formula>$D$21</formula>
    </cfRule>
    <cfRule type="cellIs" dxfId="4859" priority="136" stopIfTrue="1" operator="lessThan">
      <formula>$D$21</formula>
    </cfRule>
  </conditionalFormatting>
  <conditionalFormatting sqref="E22">
    <cfRule type="cellIs" dxfId="4858" priority="137" stopIfTrue="1" operator="equal">
      <formula>$D$22</formula>
    </cfRule>
    <cfRule type="cellIs" dxfId="4857" priority="138" stopIfTrue="1" operator="lessThan">
      <formula>$D$22</formula>
    </cfRule>
  </conditionalFormatting>
  <conditionalFormatting sqref="E23">
    <cfRule type="cellIs" dxfId="4856" priority="139" stopIfTrue="1" operator="equal">
      <formula>$D$23</formula>
    </cfRule>
    <cfRule type="cellIs" dxfId="4855" priority="140" stopIfTrue="1" operator="lessThan">
      <formula>$D$23</formula>
    </cfRule>
  </conditionalFormatting>
  <conditionalFormatting sqref="E24">
    <cfRule type="cellIs" dxfId="4854" priority="272" stopIfTrue="1" operator="lessThan">
      <formula>$D$24</formula>
    </cfRule>
    <cfRule type="cellIs" dxfId="4853" priority="271" stopIfTrue="1" operator="equal">
      <formula>$D$24</formula>
    </cfRule>
  </conditionalFormatting>
  <conditionalFormatting sqref="E25">
    <cfRule type="cellIs" dxfId="4852" priority="141" stopIfTrue="1" operator="equal">
      <formula>$D$25</formula>
    </cfRule>
    <cfRule type="cellIs" dxfId="4851" priority="142" stopIfTrue="1" operator="lessThan">
      <formula>$D$25</formula>
    </cfRule>
  </conditionalFormatting>
  <conditionalFormatting sqref="E26">
    <cfRule type="cellIs" dxfId="4850" priority="144" stopIfTrue="1" operator="lessThan">
      <formula>$D$26</formula>
    </cfRule>
    <cfRule type="cellIs" dxfId="4849" priority="143" stopIfTrue="1" operator="equal">
      <formula>$D$26</formula>
    </cfRule>
  </conditionalFormatting>
  <conditionalFormatting sqref="E27">
    <cfRule type="cellIs" dxfId="4848" priority="146" stopIfTrue="1" operator="lessThan">
      <formula>$D$27</formula>
    </cfRule>
    <cfRule type="cellIs" dxfId="4847" priority="145" stopIfTrue="1" operator="equal">
      <formula>$D$27</formula>
    </cfRule>
  </conditionalFormatting>
  <conditionalFormatting sqref="E28">
    <cfRule type="cellIs" dxfId="4846" priority="148" stopIfTrue="1" operator="lessThan">
      <formula>$D$28</formula>
    </cfRule>
    <cfRule type="cellIs" dxfId="4845" priority="147" stopIfTrue="1" operator="equal">
      <formula>$D$28</formula>
    </cfRule>
  </conditionalFormatting>
  <conditionalFormatting sqref="E29:I29 K29">
    <cfRule type="cellIs" dxfId="4844" priority="286" stopIfTrue="1" operator="equal">
      <formula>0</formula>
    </cfRule>
  </conditionalFormatting>
  <conditionalFormatting sqref="F4">
    <cfRule type="cellIs" dxfId="4843" priority="17" stopIfTrue="1" operator="lessThan">
      <formula>$E$4</formula>
    </cfRule>
    <cfRule type="cellIs" dxfId="4842" priority="16" stopIfTrue="1" operator="equal">
      <formula>$E$4</formula>
    </cfRule>
  </conditionalFormatting>
  <conditionalFormatting sqref="F5">
    <cfRule type="cellIs" dxfId="4841" priority="282" stopIfTrue="1" operator="lessThan">
      <formula>$E$5</formula>
    </cfRule>
    <cfRule type="cellIs" dxfId="4840" priority="281" stopIfTrue="1" operator="equal">
      <formula>$E$5</formula>
    </cfRule>
  </conditionalFormatting>
  <conditionalFormatting sqref="F6">
    <cfRule type="cellIs" dxfId="4839" priority="28" stopIfTrue="1" operator="lessThan">
      <formula>$E$6</formula>
    </cfRule>
    <cfRule type="cellIs" dxfId="4838" priority="27" stopIfTrue="1" operator="equal">
      <formula>$E$6</formula>
    </cfRule>
  </conditionalFormatting>
  <conditionalFormatting sqref="F7">
    <cfRule type="cellIs" dxfId="4837" priority="41" stopIfTrue="1" operator="equal">
      <formula>$E$7</formula>
    </cfRule>
    <cfRule type="cellIs" dxfId="4836" priority="42" stopIfTrue="1" operator="lessThan">
      <formula>$E$7</formula>
    </cfRule>
  </conditionalFormatting>
  <conditionalFormatting sqref="F8">
    <cfRule type="cellIs" dxfId="4835" priority="53" stopIfTrue="1" operator="equal">
      <formula>$E$8</formula>
    </cfRule>
    <cfRule type="cellIs" dxfId="4834" priority="54" stopIfTrue="1" operator="lessThan">
      <formula>$E$8</formula>
    </cfRule>
  </conditionalFormatting>
  <conditionalFormatting sqref="F9">
    <cfRule type="cellIs" dxfId="4833" priority="68" stopIfTrue="1" operator="lessThan">
      <formula>$E$9</formula>
    </cfRule>
    <cfRule type="cellIs" dxfId="4832" priority="67" stopIfTrue="1" operator="equal">
      <formula>$E$9</formula>
    </cfRule>
  </conditionalFormatting>
  <conditionalFormatting sqref="F10">
    <cfRule type="cellIs" dxfId="4831" priority="81" stopIfTrue="1" operator="equal">
      <formula>$E$10</formula>
    </cfRule>
    <cfRule type="cellIs" dxfId="4830" priority="82" stopIfTrue="1" operator="lessThan">
      <formula>$E$10</formula>
    </cfRule>
  </conditionalFormatting>
  <conditionalFormatting sqref="F11">
    <cfRule type="cellIs" dxfId="4829" priority="96" stopIfTrue="1" operator="lessThan">
      <formula>$E$11</formula>
    </cfRule>
    <cfRule type="cellIs" dxfId="4828" priority="95" stopIfTrue="1" operator="equal">
      <formula>$E$11</formula>
    </cfRule>
  </conditionalFormatting>
  <conditionalFormatting sqref="F12">
    <cfRule type="cellIs" dxfId="4827" priority="110" stopIfTrue="1" operator="lessThan">
      <formula>$E$12</formula>
    </cfRule>
    <cfRule type="cellIs" dxfId="4826" priority="109" stopIfTrue="1" operator="equal">
      <formula>$E$12</formula>
    </cfRule>
  </conditionalFormatting>
  <conditionalFormatting sqref="F13">
    <cfRule type="cellIs" dxfId="4825" priority="149" stopIfTrue="1" operator="equal">
      <formula>$E$13</formula>
    </cfRule>
    <cfRule type="cellIs" dxfId="4824" priority="150" stopIfTrue="1" operator="lessThan">
      <formula>$E$13</formula>
    </cfRule>
  </conditionalFormatting>
  <conditionalFormatting sqref="F14">
    <cfRule type="cellIs" dxfId="4823" priority="151" stopIfTrue="1" operator="equal">
      <formula>$E$14</formula>
    </cfRule>
    <cfRule type="cellIs" dxfId="4822" priority="152" stopIfTrue="1" operator="lessThan">
      <formula>$E$14</formula>
    </cfRule>
  </conditionalFormatting>
  <conditionalFormatting sqref="F15">
    <cfRule type="cellIs" dxfId="4821" priority="154" stopIfTrue="1" operator="lessThan">
      <formula>$E$15</formula>
    </cfRule>
    <cfRule type="cellIs" dxfId="4820" priority="153" stopIfTrue="1" operator="equal">
      <formula>$E$15</formula>
    </cfRule>
  </conditionalFormatting>
  <conditionalFormatting sqref="F16">
    <cfRule type="cellIs" dxfId="4819" priority="155" stopIfTrue="1" operator="equal">
      <formula>$E$16</formula>
    </cfRule>
    <cfRule type="cellIs" dxfId="4818" priority="156" stopIfTrue="1" operator="lessThan">
      <formula>$E$16</formula>
    </cfRule>
  </conditionalFormatting>
  <conditionalFormatting sqref="F17">
    <cfRule type="cellIs" dxfId="4817" priority="157" stopIfTrue="1" operator="equal">
      <formula>$E$17</formula>
    </cfRule>
    <cfRule type="cellIs" dxfId="4816" priority="158" stopIfTrue="1" operator="lessThan">
      <formula>$E$17</formula>
    </cfRule>
  </conditionalFormatting>
  <conditionalFormatting sqref="F18">
    <cfRule type="cellIs" dxfId="4815" priority="160" stopIfTrue="1" operator="lessThan">
      <formula>$E$18</formula>
    </cfRule>
    <cfRule type="cellIs" dxfId="4814" priority="159" stopIfTrue="1" operator="equal">
      <formula>$E$18</formula>
    </cfRule>
  </conditionalFormatting>
  <conditionalFormatting sqref="F19">
    <cfRule type="cellIs" dxfId="4813" priority="161" stopIfTrue="1" operator="equal">
      <formula>$E$19</formula>
    </cfRule>
    <cfRule type="cellIs" dxfId="4812" priority="162" stopIfTrue="1" operator="lessThan">
      <formula>$E$19</formula>
    </cfRule>
  </conditionalFormatting>
  <conditionalFormatting sqref="F20">
    <cfRule type="cellIs" dxfId="4811" priority="163" stopIfTrue="1" operator="equal">
      <formula>$E$20</formula>
    </cfRule>
    <cfRule type="cellIs" dxfId="4810" priority="164" stopIfTrue="1" operator="lessThan">
      <formula>$E$20</formula>
    </cfRule>
  </conditionalFormatting>
  <conditionalFormatting sqref="F21">
    <cfRule type="cellIs" dxfId="4809" priority="165" stopIfTrue="1" operator="equal">
      <formula>$E$21</formula>
    </cfRule>
    <cfRule type="cellIs" dxfId="4808" priority="166" stopIfTrue="1" operator="lessThan">
      <formula>$E$21</formula>
    </cfRule>
  </conditionalFormatting>
  <conditionalFormatting sqref="F22">
    <cfRule type="cellIs" dxfId="4807" priority="167" stopIfTrue="1" operator="equal">
      <formula>$E$22</formula>
    </cfRule>
    <cfRule type="cellIs" dxfId="4806" priority="168" stopIfTrue="1" operator="lessThan">
      <formula>$E$22</formula>
    </cfRule>
  </conditionalFormatting>
  <conditionalFormatting sqref="F23">
    <cfRule type="cellIs" dxfId="4805" priority="170" stopIfTrue="1" operator="lessThan">
      <formula>$E$23</formula>
    </cfRule>
    <cfRule type="cellIs" dxfId="4804" priority="169" stopIfTrue="1" operator="equal">
      <formula>$E$23</formula>
    </cfRule>
  </conditionalFormatting>
  <conditionalFormatting sqref="F24">
    <cfRule type="cellIs" dxfId="4803" priority="273" stopIfTrue="1" operator="equal">
      <formula>$E$24</formula>
    </cfRule>
    <cfRule type="cellIs" dxfId="4802" priority="274" stopIfTrue="1" operator="lessThan">
      <formula>$E$24</formula>
    </cfRule>
  </conditionalFormatting>
  <conditionalFormatting sqref="F25">
    <cfRule type="cellIs" dxfId="4801" priority="172" stopIfTrue="1" operator="lessThan">
      <formula>$E$25</formula>
    </cfRule>
    <cfRule type="cellIs" dxfId="4800" priority="171" stopIfTrue="1" operator="equal">
      <formula>$E$25</formula>
    </cfRule>
  </conditionalFormatting>
  <conditionalFormatting sqref="F26">
    <cfRule type="cellIs" dxfId="4799" priority="173" stopIfTrue="1" operator="equal">
      <formula>$E$26</formula>
    </cfRule>
    <cfRule type="cellIs" dxfId="4798" priority="174" stopIfTrue="1" operator="lessThan">
      <formula>$E$26</formula>
    </cfRule>
  </conditionalFormatting>
  <conditionalFormatting sqref="F27">
    <cfRule type="cellIs" dxfId="4797" priority="175" stopIfTrue="1" operator="equal">
      <formula>$E$27</formula>
    </cfRule>
    <cfRule type="cellIs" dxfId="4796" priority="176" stopIfTrue="1" operator="lessThan">
      <formula>$E$27</formula>
    </cfRule>
  </conditionalFormatting>
  <conditionalFormatting sqref="F28">
    <cfRule type="cellIs" dxfId="4795" priority="177" stopIfTrue="1" operator="equal">
      <formula>$E$28</formula>
    </cfRule>
    <cfRule type="cellIs" dxfId="4794" priority="178" stopIfTrue="1" operator="lessThan">
      <formula>$E$28</formula>
    </cfRule>
  </conditionalFormatting>
  <conditionalFormatting sqref="G4">
    <cfRule type="cellIs" dxfId="4793" priority="12" stopIfTrue="1" operator="equal">
      <formula>$F$4</formula>
    </cfRule>
    <cfRule type="cellIs" dxfId="4792" priority="13" stopIfTrue="1" operator="lessThan">
      <formula>$F$4</formula>
    </cfRule>
  </conditionalFormatting>
  <conditionalFormatting sqref="G5">
    <cfRule type="cellIs" dxfId="4791" priority="20" stopIfTrue="1" operator="equal">
      <formula>$F$5</formula>
    </cfRule>
    <cfRule type="cellIs" dxfId="4790" priority="21" stopIfTrue="1" operator="lessThan">
      <formula>$F$5</formula>
    </cfRule>
  </conditionalFormatting>
  <conditionalFormatting sqref="G6">
    <cfRule type="cellIs" dxfId="4789" priority="29" stopIfTrue="1" operator="equal">
      <formula>$F$6</formula>
    </cfRule>
    <cfRule type="cellIs" dxfId="4788" priority="30" stopIfTrue="1" operator="lessThan">
      <formula>$F$6</formula>
    </cfRule>
  </conditionalFormatting>
  <conditionalFormatting sqref="G7">
    <cfRule type="cellIs" dxfId="4787" priority="44" stopIfTrue="1" operator="lessThan">
      <formula>$F$7</formula>
    </cfRule>
    <cfRule type="cellIs" dxfId="4786" priority="43" stopIfTrue="1" operator="equal">
      <formula>$F$7</formula>
    </cfRule>
  </conditionalFormatting>
  <conditionalFormatting sqref="G8">
    <cfRule type="cellIs" dxfId="4785" priority="56" stopIfTrue="1" operator="lessThan">
      <formula>$F$8</formula>
    </cfRule>
    <cfRule type="cellIs" dxfId="4784" priority="55" stopIfTrue="1" operator="equal">
      <formula>$F$8</formula>
    </cfRule>
  </conditionalFormatting>
  <conditionalFormatting sqref="G9">
    <cfRule type="cellIs" dxfId="4783" priority="70" stopIfTrue="1" operator="lessThan">
      <formula>$F$9</formula>
    </cfRule>
    <cfRule type="cellIs" dxfId="4782" priority="69" stopIfTrue="1" operator="equal">
      <formula>$F$9</formula>
    </cfRule>
  </conditionalFormatting>
  <conditionalFormatting sqref="G10">
    <cfRule type="cellIs" dxfId="4781" priority="84" stopIfTrue="1" operator="lessThan">
      <formula>$F$10</formula>
    </cfRule>
    <cfRule type="cellIs" dxfId="4780" priority="83" stopIfTrue="1" operator="equal">
      <formula>$F$10</formula>
    </cfRule>
  </conditionalFormatting>
  <conditionalFormatting sqref="G11">
    <cfRule type="cellIs" dxfId="4779" priority="98" stopIfTrue="1" operator="lessThan">
      <formula>$F$11</formula>
    </cfRule>
    <cfRule type="cellIs" dxfId="4778" priority="97" stopIfTrue="1" operator="equal">
      <formula>$F$11</formula>
    </cfRule>
  </conditionalFormatting>
  <conditionalFormatting sqref="G12">
    <cfRule type="cellIs" dxfId="4777" priority="111" stopIfTrue="1" operator="equal">
      <formula>$F$12</formula>
    </cfRule>
    <cfRule type="cellIs" dxfId="4776" priority="112" stopIfTrue="1" operator="lessThan">
      <formula>$F$12</formula>
    </cfRule>
  </conditionalFormatting>
  <conditionalFormatting sqref="G13">
    <cfRule type="cellIs" dxfId="4775" priority="179" stopIfTrue="1" operator="equal">
      <formula>$F$13</formula>
    </cfRule>
    <cfRule type="cellIs" dxfId="4774" priority="180" stopIfTrue="1" operator="lessThan">
      <formula>$F$13</formula>
    </cfRule>
  </conditionalFormatting>
  <conditionalFormatting sqref="G14">
    <cfRule type="cellIs" dxfId="4773" priority="181" stopIfTrue="1" operator="equal">
      <formula>$F$14</formula>
    </cfRule>
    <cfRule type="cellIs" dxfId="4772" priority="182" stopIfTrue="1" operator="lessThan">
      <formula>$F$14</formula>
    </cfRule>
  </conditionalFormatting>
  <conditionalFormatting sqref="G15">
    <cfRule type="cellIs" dxfId="4771" priority="183" stopIfTrue="1" operator="equal">
      <formula>$F$15</formula>
    </cfRule>
    <cfRule type="cellIs" dxfId="4770" priority="184" stopIfTrue="1" operator="lessThan">
      <formula>$F$15</formula>
    </cfRule>
  </conditionalFormatting>
  <conditionalFormatting sqref="G16">
    <cfRule type="cellIs" dxfId="4769" priority="185" stopIfTrue="1" operator="equal">
      <formula>$F$16</formula>
    </cfRule>
    <cfRule type="cellIs" dxfId="4768" priority="186" stopIfTrue="1" operator="lessThan">
      <formula>$F$16</formula>
    </cfRule>
  </conditionalFormatting>
  <conditionalFormatting sqref="G17">
    <cfRule type="cellIs" dxfId="4767" priority="187" stopIfTrue="1" operator="equal">
      <formula>$F$17</formula>
    </cfRule>
    <cfRule type="cellIs" dxfId="4766" priority="188" stopIfTrue="1" operator="lessThan">
      <formula>$F$17</formula>
    </cfRule>
  </conditionalFormatting>
  <conditionalFormatting sqref="G18">
    <cfRule type="cellIs" dxfId="4765" priority="189" stopIfTrue="1" operator="equal">
      <formula>$F$18</formula>
    </cfRule>
    <cfRule type="cellIs" dxfId="4764" priority="190" stopIfTrue="1" operator="lessThan">
      <formula>$F$18</formula>
    </cfRule>
  </conditionalFormatting>
  <conditionalFormatting sqref="G19">
    <cfRule type="cellIs" dxfId="4763" priority="192" stopIfTrue="1" operator="lessThan">
      <formula>$F$19</formula>
    </cfRule>
    <cfRule type="cellIs" dxfId="4762" priority="191" stopIfTrue="1" operator="equal">
      <formula>$F$19</formula>
    </cfRule>
  </conditionalFormatting>
  <conditionalFormatting sqref="G20">
    <cfRule type="cellIs" dxfId="4761" priority="194" stopIfTrue="1" operator="lessThan">
      <formula>$F$20</formula>
    </cfRule>
    <cfRule type="cellIs" dxfId="4760" priority="193" stopIfTrue="1" operator="equal">
      <formula>$F$20</formula>
    </cfRule>
  </conditionalFormatting>
  <conditionalFormatting sqref="G21">
    <cfRule type="cellIs" dxfId="4759" priority="196" stopIfTrue="1" operator="lessThan">
      <formula>$F$21</formula>
    </cfRule>
    <cfRule type="cellIs" dxfId="4758" priority="195" stopIfTrue="1" operator="equal">
      <formula>$F$21</formula>
    </cfRule>
  </conditionalFormatting>
  <conditionalFormatting sqref="G22">
    <cfRule type="cellIs" dxfId="4757" priority="197" stopIfTrue="1" operator="equal">
      <formula>$F$22</formula>
    </cfRule>
    <cfRule type="cellIs" dxfId="4756" priority="198" stopIfTrue="1" operator="lessThan">
      <formula>$F$22</formula>
    </cfRule>
  </conditionalFormatting>
  <conditionalFormatting sqref="G23">
    <cfRule type="cellIs" dxfId="4755" priority="200" stopIfTrue="1" operator="lessThan">
      <formula>$F$23</formula>
    </cfRule>
    <cfRule type="cellIs" dxfId="4754" priority="199" stopIfTrue="1" operator="equal">
      <formula>$F$23</formula>
    </cfRule>
  </conditionalFormatting>
  <conditionalFormatting sqref="G24">
    <cfRule type="cellIs" dxfId="4753" priority="275" stopIfTrue="1" operator="equal">
      <formula>$F$24</formula>
    </cfRule>
    <cfRule type="cellIs" dxfId="4752" priority="276" stopIfTrue="1" operator="lessThan">
      <formula>$F$24</formula>
    </cfRule>
  </conditionalFormatting>
  <conditionalFormatting sqref="G25">
    <cfRule type="cellIs" dxfId="4751" priority="201" stopIfTrue="1" operator="equal">
      <formula>$F$25</formula>
    </cfRule>
    <cfRule type="cellIs" dxfId="4750" priority="202" stopIfTrue="1" operator="lessThan">
      <formula>$F$25</formula>
    </cfRule>
  </conditionalFormatting>
  <conditionalFormatting sqref="G26">
    <cfRule type="cellIs" dxfId="4749" priority="203" stopIfTrue="1" operator="equal">
      <formula>$F$26</formula>
    </cfRule>
    <cfRule type="cellIs" dxfId="4748" priority="204" stopIfTrue="1" operator="lessThan">
      <formula>$F$26</formula>
    </cfRule>
  </conditionalFormatting>
  <conditionalFormatting sqref="G27">
    <cfRule type="cellIs" dxfId="4747" priority="206" stopIfTrue="1" operator="lessThan">
      <formula>$F$27</formula>
    </cfRule>
    <cfRule type="cellIs" dxfId="4746" priority="205" stopIfTrue="1" operator="equal">
      <formula>$F$27</formula>
    </cfRule>
  </conditionalFormatting>
  <conditionalFormatting sqref="G28">
    <cfRule type="cellIs" dxfId="4745" priority="207" stopIfTrue="1" operator="equal">
      <formula>$F$28</formula>
    </cfRule>
    <cfRule type="cellIs" dxfId="4744" priority="208" stopIfTrue="1" operator="lessThan">
      <formula>$F$28</formula>
    </cfRule>
  </conditionalFormatting>
  <conditionalFormatting sqref="H4">
    <cfRule type="cellIs" dxfId="4743" priority="285" stopIfTrue="1" operator="equal">
      <formula>$G$4</formula>
    </cfRule>
  </conditionalFormatting>
  <conditionalFormatting sqref="H5">
    <cfRule type="cellIs" dxfId="4742" priority="283" stopIfTrue="1" operator="equal">
      <formula>$G$5</formula>
    </cfRule>
    <cfRule type="cellIs" dxfId="4741" priority="284" stopIfTrue="1" operator="lessThan">
      <formula>$G$5</formula>
    </cfRule>
  </conditionalFormatting>
  <conditionalFormatting sqref="H6">
    <cfRule type="cellIs" dxfId="4740" priority="31" stopIfTrue="1" operator="equal">
      <formula>$G$6</formula>
    </cfRule>
    <cfRule type="cellIs" dxfId="4739" priority="32" stopIfTrue="1" operator="lessThan">
      <formula>$G$6</formula>
    </cfRule>
  </conditionalFormatting>
  <conditionalFormatting sqref="H7">
    <cfRule type="cellIs" dxfId="4738" priority="4" stopIfTrue="1" operator="equal">
      <formula>$G$7</formula>
    </cfRule>
    <cfRule type="cellIs" dxfId="4737" priority="5" stopIfTrue="1" operator="lessThan">
      <formula>$G$7</formula>
    </cfRule>
  </conditionalFormatting>
  <conditionalFormatting sqref="H8">
    <cfRule type="cellIs" dxfId="4736" priority="57" stopIfTrue="1" operator="equal">
      <formula>$G$8</formula>
    </cfRule>
    <cfRule type="cellIs" dxfId="4735" priority="58" stopIfTrue="1" operator="lessThan">
      <formula>$G$8</formula>
    </cfRule>
  </conditionalFormatting>
  <conditionalFormatting sqref="H9">
    <cfRule type="cellIs" dxfId="4734" priority="72" stopIfTrue="1" operator="lessThan">
      <formula>$G$9</formula>
    </cfRule>
    <cfRule type="cellIs" dxfId="4733" priority="71" stopIfTrue="1" operator="equal">
      <formula>$G$9</formula>
    </cfRule>
  </conditionalFormatting>
  <conditionalFormatting sqref="H10">
    <cfRule type="cellIs" dxfId="4732" priority="86" stopIfTrue="1" operator="lessThan">
      <formula>$G$10</formula>
    </cfRule>
    <cfRule type="cellIs" dxfId="4731" priority="85" stopIfTrue="1" operator="equal">
      <formula>$G$10</formula>
    </cfRule>
  </conditionalFormatting>
  <conditionalFormatting sqref="H11">
    <cfRule type="cellIs" dxfId="4730" priority="100" stopIfTrue="1" operator="lessThan">
      <formula>$G$11</formula>
    </cfRule>
    <cfRule type="cellIs" dxfId="4729" priority="99" stopIfTrue="1" operator="equal">
      <formula>$G$11</formula>
    </cfRule>
  </conditionalFormatting>
  <conditionalFormatting sqref="H12">
    <cfRule type="cellIs" dxfId="4728" priority="114" stopIfTrue="1" operator="lessThan">
      <formula>$G$12</formula>
    </cfRule>
    <cfRule type="cellIs" dxfId="4727" priority="113" stopIfTrue="1" operator="equal">
      <formula>$G$12</formula>
    </cfRule>
  </conditionalFormatting>
  <conditionalFormatting sqref="H13">
    <cfRule type="cellIs" dxfId="4726" priority="210" stopIfTrue="1" operator="lessThan">
      <formula>$G$13</formula>
    </cfRule>
    <cfRule type="cellIs" dxfId="4725" priority="209" stopIfTrue="1" operator="equal">
      <formula>$G$13</formula>
    </cfRule>
  </conditionalFormatting>
  <conditionalFormatting sqref="H14">
    <cfRule type="cellIs" dxfId="4724" priority="211" stopIfTrue="1" operator="equal">
      <formula>$G$14</formula>
    </cfRule>
    <cfRule type="cellIs" dxfId="4723" priority="212" stopIfTrue="1" operator="lessThan">
      <formula>$G$14</formula>
    </cfRule>
  </conditionalFormatting>
  <conditionalFormatting sqref="H15">
    <cfRule type="cellIs" dxfId="4722" priority="214" stopIfTrue="1" operator="lessThan">
      <formula>$G$15</formula>
    </cfRule>
    <cfRule type="cellIs" dxfId="4721" priority="213" stopIfTrue="1" operator="equal">
      <formula>$G$15</formula>
    </cfRule>
  </conditionalFormatting>
  <conditionalFormatting sqref="H16">
    <cfRule type="cellIs" dxfId="4720" priority="216" stopIfTrue="1" operator="lessThan">
      <formula>$G$16</formula>
    </cfRule>
    <cfRule type="cellIs" dxfId="4719" priority="215" stopIfTrue="1" operator="equal">
      <formula>$G$16</formula>
    </cfRule>
  </conditionalFormatting>
  <conditionalFormatting sqref="H17">
    <cfRule type="cellIs" dxfId="4718" priority="217" stopIfTrue="1" operator="equal">
      <formula>$G$17</formula>
    </cfRule>
    <cfRule type="cellIs" dxfId="4717" priority="218" stopIfTrue="1" operator="lessThan">
      <formula>$G$17</formula>
    </cfRule>
  </conditionalFormatting>
  <conditionalFormatting sqref="H18">
    <cfRule type="cellIs" dxfId="4716" priority="220" stopIfTrue="1" operator="lessThan">
      <formula>$G$18</formula>
    </cfRule>
    <cfRule type="cellIs" dxfId="4715" priority="219" stopIfTrue="1" operator="equal">
      <formula>$G$18</formula>
    </cfRule>
  </conditionalFormatting>
  <conditionalFormatting sqref="H19">
    <cfRule type="cellIs" dxfId="4714" priority="222" stopIfTrue="1" operator="lessThan">
      <formula>$G$19</formula>
    </cfRule>
    <cfRule type="cellIs" dxfId="4713" priority="221" stopIfTrue="1" operator="equal">
      <formula>$G$19</formula>
    </cfRule>
  </conditionalFormatting>
  <conditionalFormatting sqref="H20">
    <cfRule type="cellIs" dxfId="4712" priority="224" stopIfTrue="1" operator="lessThan">
      <formula>$G$20</formula>
    </cfRule>
    <cfRule type="cellIs" dxfId="4711" priority="223" stopIfTrue="1" operator="equal">
      <formula>$G$20</formula>
    </cfRule>
  </conditionalFormatting>
  <conditionalFormatting sqref="H21">
    <cfRule type="cellIs" dxfId="4710" priority="226" stopIfTrue="1" operator="lessThan">
      <formula>$G$21</formula>
    </cfRule>
    <cfRule type="cellIs" dxfId="4709" priority="225" stopIfTrue="1" operator="equal">
      <formula>$G$21</formula>
    </cfRule>
  </conditionalFormatting>
  <conditionalFormatting sqref="H22">
    <cfRule type="cellIs" dxfId="4708" priority="228" stopIfTrue="1" operator="lessThan">
      <formula>$G$22</formula>
    </cfRule>
    <cfRule type="cellIs" dxfId="4707" priority="227" stopIfTrue="1" operator="equal">
      <formula>$G$22</formula>
    </cfRule>
  </conditionalFormatting>
  <conditionalFormatting sqref="H23">
    <cfRule type="cellIs" dxfId="4706" priority="230" stopIfTrue="1" operator="lessThan">
      <formula>$G$23</formula>
    </cfRule>
    <cfRule type="cellIs" dxfId="4705" priority="229" stopIfTrue="1" operator="equal">
      <formula>$G$23</formula>
    </cfRule>
  </conditionalFormatting>
  <conditionalFormatting sqref="H24">
    <cfRule type="cellIs" dxfId="4704" priority="277" stopIfTrue="1" operator="equal">
      <formula>$G$24</formula>
    </cfRule>
    <cfRule type="cellIs" dxfId="4703" priority="278" stopIfTrue="1" operator="lessThan">
      <formula>$G$24</formula>
    </cfRule>
  </conditionalFormatting>
  <conditionalFormatting sqref="H25">
    <cfRule type="cellIs" dxfId="4702" priority="232" stopIfTrue="1" operator="lessThan">
      <formula>$G$25</formula>
    </cfRule>
    <cfRule type="cellIs" dxfId="4701" priority="231" stopIfTrue="1" operator="equal">
      <formula>$G$25</formula>
    </cfRule>
  </conditionalFormatting>
  <conditionalFormatting sqref="H26">
    <cfRule type="cellIs" dxfId="4700" priority="234" stopIfTrue="1" operator="lessThan">
      <formula>$G$26</formula>
    </cfRule>
    <cfRule type="cellIs" dxfId="4699" priority="233" stopIfTrue="1" operator="equal">
      <formula>$G$26</formula>
    </cfRule>
  </conditionalFormatting>
  <conditionalFormatting sqref="H27">
    <cfRule type="cellIs" dxfId="4698" priority="236" stopIfTrue="1" operator="lessThan">
      <formula>$G$27</formula>
    </cfRule>
    <cfRule type="cellIs" dxfId="4697" priority="235" stopIfTrue="1" operator="equal">
      <formula>$G$27</formula>
    </cfRule>
  </conditionalFormatting>
  <conditionalFormatting sqref="H28">
    <cfRule type="cellIs" dxfId="4696" priority="237" stopIfTrue="1" operator="equal">
      <formula>$G$28</formula>
    </cfRule>
    <cfRule type="cellIs" dxfId="4695" priority="238" stopIfTrue="1" operator="lessThan">
      <formula>$G$28</formula>
    </cfRule>
  </conditionalFormatting>
  <conditionalFormatting sqref="I4">
    <cfRule type="cellIs" dxfId="4694" priority="3" stopIfTrue="1" operator="equal">
      <formula>$H$4</formula>
    </cfRule>
    <cfRule type="cellIs" dxfId="4693" priority="2" stopIfTrue="1" operator="lessThan">
      <formula>$H$4</formula>
    </cfRule>
  </conditionalFormatting>
  <conditionalFormatting sqref="I5">
    <cfRule type="cellIs" dxfId="4692" priority="6" stopIfTrue="1" operator="equal">
      <formula>$H$5</formula>
    </cfRule>
    <cfRule type="cellIs" dxfId="4691" priority="7" stopIfTrue="1" operator="lessThan">
      <formula>$H$5</formula>
    </cfRule>
  </conditionalFormatting>
  <conditionalFormatting sqref="I6">
    <cfRule type="cellIs" dxfId="4690" priority="34" stopIfTrue="1" operator="lessThan">
      <formula>$H$6</formula>
    </cfRule>
    <cfRule type="cellIs" dxfId="4689" priority="33" stopIfTrue="1" operator="equal">
      <formula>$H$6</formula>
    </cfRule>
  </conditionalFormatting>
  <conditionalFormatting sqref="I7">
    <cfRule type="cellIs" dxfId="4688" priority="46" stopIfTrue="1" operator="lessThan">
      <formula>$H$7</formula>
    </cfRule>
    <cfRule type="cellIs" dxfId="4687" priority="45" stopIfTrue="1" operator="equal">
      <formula>$H$7</formula>
    </cfRule>
  </conditionalFormatting>
  <conditionalFormatting sqref="I8">
    <cfRule type="cellIs" dxfId="4686" priority="60" stopIfTrue="1" operator="lessThan">
      <formula>$H$8</formula>
    </cfRule>
    <cfRule type="cellIs" dxfId="4685" priority="59" stopIfTrue="1" operator="equal">
      <formula>$H$8</formula>
    </cfRule>
  </conditionalFormatting>
  <conditionalFormatting sqref="I9">
    <cfRule type="cellIs" dxfId="4684" priority="73" stopIfTrue="1" operator="equal">
      <formula>$H$9</formula>
    </cfRule>
    <cfRule type="cellIs" dxfId="4683" priority="74" stopIfTrue="1" operator="lessThan">
      <formula>$H$9</formula>
    </cfRule>
  </conditionalFormatting>
  <conditionalFormatting sqref="I10">
    <cfRule type="cellIs" dxfId="4682" priority="88" stopIfTrue="1" operator="lessThan">
      <formula>$H$10</formula>
    </cfRule>
    <cfRule type="cellIs" dxfId="4681" priority="87" stopIfTrue="1" operator="equal">
      <formula>$H$10</formula>
    </cfRule>
  </conditionalFormatting>
  <conditionalFormatting sqref="I11">
    <cfRule type="cellIs" dxfId="4680" priority="101" stopIfTrue="1" operator="equal">
      <formula>$H$11</formula>
    </cfRule>
    <cfRule type="cellIs" dxfId="4679" priority="102" stopIfTrue="1" operator="lessThan">
      <formula>$H$11</formula>
    </cfRule>
  </conditionalFormatting>
  <conditionalFormatting sqref="I12">
    <cfRule type="cellIs" dxfId="4678" priority="116" stopIfTrue="1" operator="lessThan">
      <formula>$H$12</formula>
    </cfRule>
    <cfRule type="cellIs" dxfId="4677" priority="115" stopIfTrue="1" operator="equal">
      <formula>$H$12</formula>
    </cfRule>
  </conditionalFormatting>
  <conditionalFormatting sqref="I13">
    <cfRule type="cellIs" dxfId="4676" priority="242" stopIfTrue="1" operator="lessThan">
      <formula>$H$13</formula>
    </cfRule>
    <cfRule type="cellIs" dxfId="4675" priority="241" stopIfTrue="1" operator="equal">
      <formula>$H$13</formula>
    </cfRule>
  </conditionalFormatting>
  <conditionalFormatting sqref="I14">
    <cfRule type="cellIs" dxfId="4674" priority="244" stopIfTrue="1" operator="lessThan">
      <formula>$H$14</formula>
    </cfRule>
    <cfRule type="cellIs" dxfId="4673" priority="243" stopIfTrue="1" operator="equal">
      <formula>$H$14</formula>
    </cfRule>
  </conditionalFormatting>
  <conditionalFormatting sqref="I15">
    <cfRule type="cellIs" dxfId="4672" priority="245" stopIfTrue="1" operator="equal">
      <formula>$H$15</formula>
    </cfRule>
    <cfRule type="cellIs" dxfId="4671" priority="246" stopIfTrue="1" operator="lessThan">
      <formula>$H$15</formula>
    </cfRule>
  </conditionalFormatting>
  <conditionalFormatting sqref="I16">
    <cfRule type="cellIs" dxfId="4670" priority="247" stopIfTrue="1" operator="equal">
      <formula>$H$16</formula>
    </cfRule>
    <cfRule type="cellIs" dxfId="4669" priority="248" stopIfTrue="1" operator="lessThan">
      <formula>$H$16</formula>
    </cfRule>
  </conditionalFormatting>
  <conditionalFormatting sqref="I17">
    <cfRule type="cellIs" dxfId="4668" priority="250" stopIfTrue="1" operator="lessThan">
      <formula>$H$17</formula>
    </cfRule>
    <cfRule type="cellIs" dxfId="4667" priority="249" stopIfTrue="1" operator="equal">
      <formula>$H$17</formula>
    </cfRule>
  </conditionalFormatting>
  <conditionalFormatting sqref="I18">
    <cfRule type="cellIs" dxfId="4666" priority="252" stopIfTrue="1" operator="lessThan">
      <formula>$H$18</formula>
    </cfRule>
    <cfRule type="cellIs" dxfId="4665" priority="251" stopIfTrue="1" operator="equal">
      <formula>$H$18</formula>
    </cfRule>
  </conditionalFormatting>
  <conditionalFormatting sqref="I19">
    <cfRule type="cellIs" dxfId="4664" priority="254" stopIfTrue="1" operator="lessThan">
      <formula>$H$19</formula>
    </cfRule>
    <cfRule type="cellIs" dxfId="4663" priority="253" stopIfTrue="1" operator="equal">
      <formula>$H$19</formula>
    </cfRule>
  </conditionalFormatting>
  <conditionalFormatting sqref="I20">
    <cfRule type="cellIs" dxfId="4662" priority="255" stopIfTrue="1" operator="equal">
      <formula>$H$20</formula>
    </cfRule>
    <cfRule type="cellIs" dxfId="4661" priority="256" stopIfTrue="1" operator="lessThan">
      <formula>$H$20</formula>
    </cfRule>
  </conditionalFormatting>
  <conditionalFormatting sqref="I21">
    <cfRule type="cellIs" dxfId="4660" priority="258" stopIfTrue="1" operator="lessThan">
      <formula>$H$21</formula>
    </cfRule>
    <cfRule type="cellIs" dxfId="4659" priority="257" stopIfTrue="1" operator="equal">
      <formula>$H$21</formula>
    </cfRule>
  </conditionalFormatting>
  <conditionalFormatting sqref="I22">
    <cfRule type="cellIs" dxfId="4658" priority="260" stopIfTrue="1" operator="lessThan">
      <formula>$H$22</formula>
    </cfRule>
    <cfRule type="cellIs" dxfId="4657" priority="259" stopIfTrue="1" operator="equal">
      <formula>$H$22</formula>
    </cfRule>
  </conditionalFormatting>
  <conditionalFormatting sqref="I23">
    <cfRule type="cellIs" dxfId="4656" priority="262" stopIfTrue="1" operator="lessThan">
      <formula>$H$23</formula>
    </cfRule>
    <cfRule type="cellIs" dxfId="4655" priority="261" stopIfTrue="1" operator="equal">
      <formula>$H$23</formula>
    </cfRule>
  </conditionalFormatting>
  <conditionalFormatting sqref="I24">
    <cfRule type="cellIs" dxfId="4654" priority="279" stopIfTrue="1" operator="equal">
      <formula>$H$24</formula>
    </cfRule>
    <cfRule type="cellIs" dxfId="4653" priority="280" stopIfTrue="1" operator="lessThan">
      <formula>$H$24</formula>
    </cfRule>
  </conditionalFormatting>
  <conditionalFormatting sqref="I25">
    <cfRule type="cellIs" dxfId="4652" priority="264" stopIfTrue="1" operator="lessThan">
      <formula>$H$25</formula>
    </cfRule>
    <cfRule type="cellIs" dxfId="4651" priority="263" stopIfTrue="1" operator="equal">
      <formula>$H$25</formula>
    </cfRule>
  </conditionalFormatting>
  <conditionalFormatting sqref="I26">
    <cfRule type="cellIs" dxfId="4650" priority="266" stopIfTrue="1" operator="lessThan">
      <formula>$H$26</formula>
    </cfRule>
    <cfRule type="cellIs" dxfId="4649" priority="265" stopIfTrue="1" operator="equal">
      <formula>$H$26</formula>
    </cfRule>
  </conditionalFormatting>
  <conditionalFormatting sqref="I27">
    <cfRule type="cellIs" dxfId="4648" priority="267" stopIfTrue="1" operator="equal">
      <formula>$H$27</formula>
    </cfRule>
    <cfRule type="cellIs" dxfId="4647" priority="268" stopIfTrue="1" operator="lessThan">
      <formula>$H$27</formula>
    </cfRule>
  </conditionalFormatting>
  <conditionalFormatting sqref="I28">
    <cfRule type="cellIs" dxfId="4646" priority="269" stopIfTrue="1" operator="equal">
      <formula>$H$28</formula>
    </cfRule>
    <cfRule type="cellIs" dxfId="4645" priority="270" stopIfTrue="1" operator="lessThan">
      <formula>$H$28</formula>
    </cfRule>
  </conditionalFormatting>
  <conditionalFormatting sqref="J4">
    <cfRule type="cellIs" dxfId="4644" priority="22" stopIfTrue="1" operator="equal">
      <formula>$I$4</formula>
    </cfRule>
  </conditionalFormatting>
  <conditionalFormatting sqref="J5">
    <cfRule type="cellIs" dxfId="4643" priority="8" stopIfTrue="1" operator="equal">
      <formula>$I$5</formula>
    </cfRule>
    <cfRule type="cellIs" dxfId="4642" priority="9" stopIfTrue="1" operator="lessThan">
      <formula>$I$5</formula>
    </cfRule>
  </conditionalFormatting>
  <conditionalFormatting sqref="J6">
    <cfRule type="cellIs" dxfId="4641" priority="35" stopIfTrue="1" operator="equal">
      <formula>$I$6</formula>
    </cfRule>
    <cfRule type="cellIs" dxfId="4640" priority="36" stopIfTrue="1" operator="lessThan">
      <formula>$I$6</formula>
    </cfRule>
  </conditionalFormatting>
  <conditionalFormatting sqref="J7">
    <cfRule type="cellIs" dxfId="4639" priority="48" stopIfTrue="1" operator="lessThan">
      <formula>$I$7</formula>
    </cfRule>
    <cfRule type="cellIs" dxfId="4638" priority="47" stopIfTrue="1" operator="equal">
      <formula>$I$7</formula>
    </cfRule>
  </conditionalFormatting>
  <conditionalFormatting sqref="J8">
    <cfRule type="cellIs" dxfId="4637" priority="62" stopIfTrue="1" operator="lessThan">
      <formula>$I$8</formula>
    </cfRule>
    <cfRule type="cellIs" dxfId="4636" priority="61" stopIfTrue="1" operator="equal">
      <formula>$I$8</formula>
    </cfRule>
  </conditionalFormatting>
  <conditionalFormatting sqref="J9">
    <cfRule type="cellIs" dxfId="4635" priority="76" stopIfTrue="1" operator="lessThan">
      <formula>$I$9</formula>
    </cfRule>
    <cfRule type="cellIs" dxfId="4634" priority="75" stopIfTrue="1" operator="equal">
      <formula>$I$9</formula>
    </cfRule>
  </conditionalFormatting>
  <conditionalFormatting sqref="J10">
    <cfRule type="cellIs" dxfId="4633" priority="89" stopIfTrue="1" operator="equal">
      <formula>$I$10</formula>
    </cfRule>
    <cfRule type="cellIs" dxfId="4632" priority="90" stopIfTrue="1" operator="lessThan">
      <formula>$I$10</formula>
    </cfRule>
  </conditionalFormatting>
  <conditionalFormatting sqref="J11">
    <cfRule type="cellIs" dxfId="4631" priority="103" stopIfTrue="1" operator="equal">
      <formula>$I$11</formula>
    </cfRule>
    <cfRule type="cellIs" dxfId="4630" priority="104" stopIfTrue="1" operator="lessThan">
      <formula>$I$11</formula>
    </cfRule>
  </conditionalFormatting>
  <conditionalFormatting sqref="J12">
    <cfRule type="cellIs" dxfId="4629" priority="118" stopIfTrue="1" operator="lessThan">
      <formula>$I$12</formula>
    </cfRule>
    <cfRule type="cellIs" dxfId="4628" priority="117" stopIfTrue="1" operator="equal">
      <formula>$I$12</formula>
    </cfRule>
  </conditionalFormatting>
  <conditionalFormatting sqref="J13">
    <cfRule type="cellIs" dxfId="4627" priority="287" stopIfTrue="1" operator="equal">
      <formula>$I$13</formula>
    </cfRule>
    <cfRule type="cellIs" dxfId="4626" priority="288" stopIfTrue="1" operator="lessThan">
      <formula>$I$13</formula>
    </cfRule>
  </conditionalFormatting>
  <conditionalFormatting sqref="J14">
    <cfRule type="cellIs" dxfId="4625" priority="289" stopIfTrue="1" operator="equal">
      <formula>$I$14</formula>
    </cfRule>
    <cfRule type="cellIs" dxfId="4624" priority="290" stopIfTrue="1" operator="lessThan">
      <formula>$I$14</formula>
    </cfRule>
  </conditionalFormatting>
  <conditionalFormatting sqref="J15">
    <cfRule type="cellIs" dxfId="4623" priority="291" stopIfTrue="1" operator="equal">
      <formula>$I$15</formula>
    </cfRule>
    <cfRule type="cellIs" dxfId="4622" priority="292" stopIfTrue="1" operator="lessThan">
      <formula>$I$15</formula>
    </cfRule>
  </conditionalFormatting>
  <conditionalFormatting sqref="J16">
    <cfRule type="cellIs" dxfId="4621" priority="293" stopIfTrue="1" operator="equal">
      <formula>$I$16</formula>
    </cfRule>
    <cfRule type="cellIs" dxfId="4620" priority="294" stopIfTrue="1" operator="lessThan">
      <formula>$I$16</formula>
    </cfRule>
  </conditionalFormatting>
  <conditionalFormatting sqref="J17">
    <cfRule type="cellIs" dxfId="4619" priority="295" stopIfTrue="1" operator="equal">
      <formula>$I$17</formula>
    </cfRule>
    <cfRule type="cellIs" dxfId="4618" priority="296" stopIfTrue="1" operator="lessThan">
      <formula>$I$17</formula>
    </cfRule>
  </conditionalFormatting>
  <conditionalFormatting sqref="J18">
    <cfRule type="cellIs" dxfId="4617" priority="298" stopIfTrue="1" operator="lessThan">
      <formula>$I$18</formula>
    </cfRule>
    <cfRule type="cellIs" dxfId="4616" priority="297" stopIfTrue="1" operator="equal">
      <formula>$I$18</formula>
    </cfRule>
  </conditionalFormatting>
  <conditionalFormatting sqref="J19">
    <cfRule type="cellIs" dxfId="4615" priority="299" stopIfTrue="1" operator="equal">
      <formula>$I$19</formula>
    </cfRule>
    <cfRule type="cellIs" dxfId="4614" priority="300" stopIfTrue="1" operator="lessThan">
      <formula>$I$19</formula>
    </cfRule>
  </conditionalFormatting>
  <conditionalFormatting sqref="J20">
    <cfRule type="cellIs" dxfId="4613" priority="301" stopIfTrue="1" operator="equal">
      <formula>$I$20</formula>
    </cfRule>
    <cfRule type="cellIs" dxfId="4612" priority="302" stopIfTrue="1" operator="lessThan">
      <formula>$I$20</formula>
    </cfRule>
  </conditionalFormatting>
  <conditionalFormatting sqref="J21">
    <cfRule type="cellIs" dxfId="4611" priority="303" stopIfTrue="1" operator="equal">
      <formula>$I$21</formula>
    </cfRule>
    <cfRule type="cellIs" dxfId="4610" priority="304" stopIfTrue="1" operator="lessThan">
      <formula>$I$21</formula>
    </cfRule>
  </conditionalFormatting>
  <conditionalFormatting sqref="J22">
    <cfRule type="cellIs" dxfId="4609" priority="306" stopIfTrue="1" operator="lessThan">
      <formula>$I$22</formula>
    </cfRule>
    <cfRule type="cellIs" dxfId="4608" priority="305" stopIfTrue="1" operator="equal">
      <formula>$I$22</formula>
    </cfRule>
  </conditionalFormatting>
  <conditionalFormatting sqref="J23">
    <cfRule type="cellIs" dxfId="4607" priority="308" stopIfTrue="1" operator="lessThan">
      <formula>$I$23</formula>
    </cfRule>
    <cfRule type="cellIs" dxfId="4606" priority="307" stopIfTrue="1" operator="equal">
      <formula>$I$23</formula>
    </cfRule>
  </conditionalFormatting>
  <conditionalFormatting sqref="J24">
    <cfRule type="cellIs" dxfId="4605" priority="310" stopIfTrue="1" operator="lessThan">
      <formula>$I$24</formula>
    </cfRule>
    <cfRule type="cellIs" dxfId="4604" priority="309" stopIfTrue="1" operator="equal">
      <formula>$I$24</formula>
    </cfRule>
  </conditionalFormatting>
  <conditionalFormatting sqref="J25">
    <cfRule type="cellIs" dxfId="4603" priority="312" stopIfTrue="1" operator="lessThan">
      <formula>$I$25</formula>
    </cfRule>
    <cfRule type="cellIs" dxfId="4602" priority="311" stopIfTrue="1" operator="equal">
      <formula>$I$25</formula>
    </cfRule>
  </conditionalFormatting>
  <conditionalFormatting sqref="J26">
    <cfRule type="cellIs" dxfId="4601" priority="314" stopIfTrue="1" operator="lessThan">
      <formula>$I$26</formula>
    </cfRule>
    <cfRule type="cellIs" dxfId="4600" priority="313" stopIfTrue="1" operator="equal">
      <formula>$I$26</formula>
    </cfRule>
  </conditionalFormatting>
  <conditionalFormatting sqref="J27">
    <cfRule type="cellIs" dxfId="4599" priority="315" stopIfTrue="1" operator="equal">
      <formula>$I$27</formula>
    </cfRule>
    <cfRule type="cellIs" dxfId="4598" priority="316" stopIfTrue="1" operator="lessThan">
      <formula>$I$27</formula>
    </cfRule>
  </conditionalFormatting>
  <conditionalFormatting sqref="J28">
    <cfRule type="cellIs" dxfId="4597" priority="318" stopIfTrue="1" operator="equal">
      <formula>$I$28</formula>
    </cfRule>
    <cfRule type="cellIs" dxfId="4596" priority="319" stopIfTrue="1" operator="lessThan">
      <formula>$I$28</formula>
    </cfRule>
  </conditionalFormatting>
  <conditionalFormatting sqref="J29">
    <cfRule type="cellIs" dxfId="4595" priority="320" stopIfTrue="1" operator="equal">
      <formula>$I$29</formula>
    </cfRule>
    <cfRule type="cellIs" dxfId="4594" priority="321" stopIfTrue="1" operator="lessThan">
      <formula>$I$29</formula>
    </cfRule>
  </conditionalFormatting>
  <conditionalFormatting sqref="K4">
    <cfRule type="cellIs" dxfId="4593" priority="24" stopIfTrue="1" operator="equal">
      <formula>$J$4</formula>
    </cfRule>
    <cfRule type="cellIs" dxfId="4592" priority="23" stopIfTrue="1" operator="lessThan">
      <formula>$J$4</formula>
    </cfRule>
  </conditionalFormatting>
  <conditionalFormatting sqref="K5">
    <cfRule type="cellIs" dxfId="4591" priority="11" stopIfTrue="1" operator="lessThan">
      <formula>$J$5</formula>
    </cfRule>
    <cfRule type="cellIs" dxfId="4590" priority="10" stopIfTrue="1" operator="equal">
      <formula>$J$5</formula>
    </cfRule>
  </conditionalFormatting>
  <conditionalFormatting sqref="K6">
    <cfRule type="cellIs" dxfId="4589" priority="38" stopIfTrue="1" operator="lessThan">
      <formula>$J$6</formula>
    </cfRule>
    <cfRule type="cellIs" dxfId="4588" priority="37" stopIfTrue="1" operator="equal">
      <formula>$J$6</formula>
    </cfRule>
  </conditionalFormatting>
  <conditionalFormatting sqref="K7">
    <cfRule type="cellIs" dxfId="4587" priority="50" stopIfTrue="1" operator="lessThan">
      <formula>$J$7</formula>
    </cfRule>
    <cfRule type="cellIs" dxfId="4586" priority="49" stopIfTrue="1" operator="equal">
      <formula>$J$7</formula>
    </cfRule>
  </conditionalFormatting>
  <conditionalFormatting sqref="K8">
    <cfRule type="cellIs" dxfId="4585" priority="63" stopIfTrue="1" operator="equal">
      <formula>$J$8</formula>
    </cfRule>
    <cfRule type="cellIs" dxfId="4584" priority="64" stopIfTrue="1" operator="lessThan">
      <formula>$J$8</formula>
    </cfRule>
  </conditionalFormatting>
  <conditionalFormatting sqref="K9">
    <cfRule type="cellIs" dxfId="4583" priority="78" stopIfTrue="1" operator="lessThan">
      <formula>$J$9</formula>
    </cfRule>
    <cfRule type="cellIs" dxfId="4582" priority="77" stopIfTrue="1" operator="equal">
      <formula>$J$9</formula>
    </cfRule>
  </conditionalFormatting>
  <conditionalFormatting sqref="K10">
    <cfRule type="cellIs" dxfId="4581" priority="91" stopIfTrue="1" operator="equal">
      <formula>$J$10</formula>
    </cfRule>
    <cfRule type="cellIs" dxfId="4580" priority="92" stopIfTrue="1" operator="lessThan">
      <formula>$J$10</formula>
    </cfRule>
  </conditionalFormatting>
  <conditionalFormatting sqref="K11">
    <cfRule type="cellIs" dxfId="4579" priority="106" stopIfTrue="1" operator="lessThan">
      <formula>$J$11</formula>
    </cfRule>
    <cfRule type="cellIs" dxfId="4578" priority="105" stopIfTrue="1" operator="equal">
      <formula>$J$11</formula>
    </cfRule>
  </conditionalFormatting>
  <conditionalFormatting sqref="K12">
    <cfRule type="cellIs" dxfId="4577" priority="120" stopIfTrue="1" operator="lessThan">
      <formula>$J$12</formula>
    </cfRule>
    <cfRule type="cellIs" dxfId="4576" priority="119" stopIfTrue="1" operator="equal">
      <formula>$J$12</formula>
    </cfRule>
  </conditionalFormatting>
  <conditionalFormatting sqref="K13">
    <cfRule type="cellIs" dxfId="4575" priority="322" stopIfTrue="1" operator="equal">
      <formula>$J$13</formula>
    </cfRule>
    <cfRule type="cellIs" dxfId="4574" priority="323" stopIfTrue="1" operator="lessThan">
      <formula>$J$13</formula>
    </cfRule>
  </conditionalFormatting>
  <conditionalFormatting sqref="K14">
    <cfRule type="cellIs" dxfId="4573" priority="324" stopIfTrue="1" operator="equal">
      <formula>$J$14</formula>
    </cfRule>
    <cfRule type="cellIs" dxfId="4572" priority="325" stopIfTrue="1" operator="lessThan">
      <formula>$J$14</formula>
    </cfRule>
  </conditionalFormatting>
  <conditionalFormatting sqref="K15">
    <cfRule type="cellIs" dxfId="4571" priority="326" stopIfTrue="1" operator="equal">
      <formula>$J$15</formula>
    </cfRule>
    <cfRule type="cellIs" dxfId="4570" priority="327" stopIfTrue="1" operator="lessThan">
      <formula>$J$15</formula>
    </cfRule>
  </conditionalFormatting>
  <conditionalFormatting sqref="K16">
    <cfRule type="cellIs" dxfId="4569" priority="328" stopIfTrue="1" operator="equal">
      <formula>$J$16</formula>
    </cfRule>
    <cfRule type="cellIs" dxfId="4568" priority="329" stopIfTrue="1" operator="lessThan">
      <formula>$J$16</formula>
    </cfRule>
  </conditionalFormatting>
  <conditionalFormatting sqref="K17">
    <cfRule type="cellIs" dxfId="4567" priority="331" stopIfTrue="1" operator="lessThan">
      <formula>$J$17</formula>
    </cfRule>
    <cfRule type="cellIs" dxfId="4566" priority="330" stopIfTrue="1" operator="equal">
      <formula>$J$17</formula>
    </cfRule>
  </conditionalFormatting>
  <conditionalFormatting sqref="K18">
    <cfRule type="cellIs" dxfId="4565" priority="333" stopIfTrue="1" operator="lessThan">
      <formula>$J$18</formula>
    </cfRule>
    <cfRule type="cellIs" dxfId="4564" priority="332" stopIfTrue="1" operator="equal">
      <formula>$J$18</formula>
    </cfRule>
  </conditionalFormatting>
  <conditionalFormatting sqref="K19">
    <cfRule type="cellIs" dxfId="4563" priority="334" stopIfTrue="1" operator="equal">
      <formula>$J$19</formula>
    </cfRule>
    <cfRule type="cellIs" dxfId="4562" priority="335" stopIfTrue="1" operator="lessThan">
      <formula>$J$19</formula>
    </cfRule>
  </conditionalFormatting>
  <conditionalFormatting sqref="K20">
    <cfRule type="cellIs" dxfId="4561" priority="336" stopIfTrue="1" operator="equal">
      <formula>$J$20</formula>
    </cfRule>
    <cfRule type="cellIs" dxfId="4560" priority="337" stopIfTrue="1" operator="lessThan">
      <formula>$J$20</formula>
    </cfRule>
  </conditionalFormatting>
  <conditionalFormatting sqref="K21">
    <cfRule type="cellIs" dxfId="4559" priority="338" stopIfTrue="1" operator="equal">
      <formula>$J$21</formula>
    </cfRule>
    <cfRule type="cellIs" dxfId="4558" priority="339" stopIfTrue="1" operator="lessThan">
      <formula>$J$21</formula>
    </cfRule>
  </conditionalFormatting>
  <conditionalFormatting sqref="K22">
    <cfRule type="cellIs" dxfId="4557" priority="340" stopIfTrue="1" operator="equal">
      <formula>$J$22</formula>
    </cfRule>
    <cfRule type="cellIs" dxfId="4556" priority="341" stopIfTrue="1" operator="lessThan">
      <formula>$J$22</formula>
    </cfRule>
  </conditionalFormatting>
  <conditionalFormatting sqref="K23">
    <cfRule type="cellIs" dxfId="4555" priority="342" stopIfTrue="1" operator="equal">
      <formula>$J$23</formula>
    </cfRule>
    <cfRule type="cellIs" dxfId="4554" priority="343" stopIfTrue="1" operator="lessThan">
      <formula>$J$23</formula>
    </cfRule>
  </conditionalFormatting>
  <conditionalFormatting sqref="K24">
    <cfRule type="cellIs" dxfId="4553" priority="344" stopIfTrue="1" operator="equal">
      <formula>$J$24</formula>
    </cfRule>
    <cfRule type="cellIs" dxfId="4552" priority="345" stopIfTrue="1" operator="lessThan">
      <formula>$J$24</formula>
    </cfRule>
  </conditionalFormatting>
  <conditionalFormatting sqref="K25">
    <cfRule type="cellIs" dxfId="4551" priority="346" stopIfTrue="1" operator="equal">
      <formula>$J$25</formula>
    </cfRule>
    <cfRule type="cellIs" dxfId="4550" priority="347" stopIfTrue="1" operator="lessThan">
      <formula>$J$25</formula>
    </cfRule>
  </conditionalFormatting>
  <conditionalFormatting sqref="K26">
    <cfRule type="cellIs" dxfId="4549" priority="349" stopIfTrue="1" operator="lessThan">
      <formula>$J$26</formula>
    </cfRule>
    <cfRule type="cellIs" dxfId="4548" priority="348" stopIfTrue="1" operator="equal">
      <formula>$J$26</formula>
    </cfRule>
  </conditionalFormatting>
  <conditionalFormatting sqref="K27">
    <cfRule type="cellIs" dxfId="4547" priority="351" stopIfTrue="1" operator="lessThan">
      <formula>$J$27</formula>
    </cfRule>
    <cfRule type="cellIs" dxfId="4546" priority="350" stopIfTrue="1" operator="equal">
      <formula>$J$27</formula>
    </cfRule>
  </conditionalFormatting>
  <conditionalFormatting sqref="K28">
    <cfRule type="cellIs" dxfId="4545" priority="352" stopIfTrue="1" operator="equal">
      <formula>$J$28</formula>
    </cfRule>
    <cfRule type="cellIs" dxfId="4544" priority="353" stopIfTrue="1" operator="lessThan">
      <formula>$J$28</formula>
    </cfRule>
  </conditionalFormatting>
  <conditionalFormatting sqref="L4">
    <cfRule type="cellIs" dxfId="4543" priority="354" stopIfTrue="1" operator="equal">
      <formula>$K$4</formula>
    </cfRule>
    <cfRule type="cellIs" dxfId="4542" priority="355" stopIfTrue="1" operator="lessThan">
      <formula>$K$4</formula>
    </cfRule>
  </conditionalFormatting>
  <conditionalFormatting sqref="L5">
    <cfRule type="cellIs" dxfId="4541" priority="356" stopIfTrue="1" operator="equal">
      <formula>$K$5</formula>
    </cfRule>
    <cfRule type="cellIs" dxfId="4540" priority="357" stopIfTrue="1" operator="lessThan">
      <formula>$K$5</formula>
    </cfRule>
  </conditionalFormatting>
  <conditionalFormatting sqref="L6">
    <cfRule type="cellIs" dxfId="4539" priority="358" stopIfTrue="1" operator="equal">
      <formula>$K$6</formula>
    </cfRule>
    <cfRule type="cellIs" dxfId="4538" priority="359" stopIfTrue="1" operator="lessThan">
      <formula>$K$6</formula>
    </cfRule>
  </conditionalFormatting>
  <conditionalFormatting sqref="L7">
    <cfRule type="cellIs" dxfId="4537" priority="360" stopIfTrue="1" operator="equal">
      <formula>$K$7</formula>
    </cfRule>
    <cfRule type="cellIs" dxfId="4536" priority="361" stopIfTrue="1" operator="lessThan">
      <formula>$K$7</formula>
    </cfRule>
  </conditionalFormatting>
  <conditionalFormatting sqref="L8">
    <cfRule type="cellIs" dxfId="4535" priority="362" stopIfTrue="1" operator="equal">
      <formula>$K$8</formula>
    </cfRule>
    <cfRule type="cellIs" dxfId="4534" priority="363" stopIfTrue="1" operator="lessThan">
      <formula>$K$8</formula>
    </cfRule>
  </conditionalFormatting>
  <conditionalFormatting sqref="L9">
    <cfRule type="cellIs" dxfId="4533" priority="364" stopIfTrue="1" operator="equal">
      <formula>$K$9</formula>
    </cfRule>
    <cfRule type="cellIs" dxfId="4532" priority="365" stopIfTrue="1" operator="lessThan">
      <formula>$K$9</formula>
    </cfRule>
  </conditionalFormatting>
  <conditionalFormatting sqref="L10">
    <cfRule type="cellIs" dxfId="4531" priority="367" stopIfTrue="1" operator="lessThan">
      <formula>$K$10</formula>
    </cfRule>
    <cfRule type="cellIs" dxfId="4530" priority="366" stopIfTrue="1" operator="equal">
      <formula>$K$10</formula>
    </cfRule>
  </conditionalFormatting>
  <conditionalFormatting sqref="L11">
    <cfRule type="cellIs" dxfId="4529" priority="369" stopIfTrue="1" operator="lessThan">
      <formula>$K$11</formula>
    </cfRule>
    <cfRule type="cellIs" dxfId="4528" priority="368" stopIfTrue="1" operator="equal">
      <formula>$K$11</formula>
    </cfRule>
  </conditionalFormatting>
  <conditionalFormatting sqref="L12">
    <cfRule type="cellIs" dxfId="4527" priority="370" stopIfTrue="1" operator="equal">
      <formula>$K$12</formula>
    </cfRule>
    <cfRule type="cellIs" dxfId="4526" priority="371" stopIfTrue="1" operator="lessThan">
      <formula>$K$12</formula>
    </cfRule>
  </conditionalFormatting>
  <conditionalFormatting sqref="L13">
    <cfRule type="cellIs" dxfId="4525" priority="372" stopIfTrue="1" operator="equal">
      <formula>$K$13</formula>
    </cfRule>
    <cfRule type="cellIs" dxfId="4524" priority="373" stopIfTrue="1" operator="lessThan">
      <formula>$K$13</formula>
    </cfRule>
  </conditionalFormatting>
  <conditionalFormatting sqref="L14">
    <cfRule type="cellIs" dxfId="4523" priority="374" stopIfTrue="1" operator="equal">
      <formula>$K$14</formula>
    </cfRule>
    <cfRule type="cellIs" dxfId="4522" priority="375" stopIfTrue="1" operator="lessThan">
      <formula>$K$14</formula>
    </cfRule>
  </conditionalFormatting>
  <conditionalFormatting sqref="L15">
    <cfRule type="cellIs" dxfId="4521" priority="376" stopIfTrue="1" operator="equal">
      <formula>$K$15</formula>
    </cfRule>
    <cfRule type="cellIs" dxfId="4520" priority="377" stopIfTrue="1" operator="lessThan">
      <formula>$K$15</formula>
    </cfRule>
  </conditionalFormatting>
  <conditionalFormatting sqref="L16">
    <cfRule type="cellIs" dxfId="4519" priority="378" stopIfTrue="1" operator="equal">
      <formula>$K$16</formula>
    </cfRule>
    <cfRule type="cellIs" dxfId="4518" priority="379" stopIfTrue="1" operator="lessThan">
      <formula>$K$16</formula>
    </cfRule>
  </conditionalFormatting>
  <conditionalFormatting sqref="L17">
    <cfRule type="cellIs" dxfId="4517" priority="380" stopIfTrue="1" operator="equal">
      <formula>$K$17</formula>
    </cfRule>
    <cfRule type="cellIs" dxfId="4516" priority="381" stopIfTrue="1" operator="lessThan">
      <formula>$K$17</formula>
    </cfRule>
  </conditionalFormatting>
  <conditionalFormatting sqref="L18">
    <cfRule type="cellIs" dxfId="4515" priority="382" stopIfTrue="1" operator="equal">
      <formula>$K$18</formula>
    </cfRule>
    <cfRule type="cellIs" dxfId="4514" priority="383" stopIfTrue="1" operator="lessThan">
      <formula>$K$18</formula>
    </cfRule>
  </conditionalFormatting>
  <conditionalFormatting sqref="L19">
    <cfRule type="cellIs" dxfId="4513" priority="384" stopIfTrue="1" operator="equal">
      <formula>$K$19</formula>
    </cfRule>
    <cfRule type="cellIs" dxfId="4512" priority="385" stopIfTrue="1" operator="lessThan">
      <formula>$K$19</formula>
    </cfRule>
  </conditionalFormatting>
  <conditionalFormatting sqref="L20">
    <cfRule type="cellIs" dxfId="4511" priority="387" stopIfTrue="1" operator="lessThan">
      <formula>$K$20</formula>
    </cfRule>
    <cfRule type="cellIs" dxfId="4510" priority="386" stopIfTrue="1" operator="equal">
      <formula>$K$20</formula>
    </cfRule>
  </conditionalFormatting>
  <conditionalFormatting sqref="L21">
    <cfRule type="cellIs" dxfId="4509" priority="389" stopIfTrue="1" operator="lessThan">
      <formula>$K$21</formula>
    </cfRule>
    <cfRule type="cellIs" dxfId="4508" priority="388" stopIfTrue="1" operator="equal">
      <formula>$K$21</formula>
    </cfRule>
  </conditionalFormatting>
  <conditionalFormatting sqref="L22">
    <cfRule type="cellIs" dxfId="4507" priority="390" stopIfTrue="1" operator="equal">
      <formula>$K$22</formula>
    </cfRule>
    <cfRule type="cellIs" dxfId="4506" priority="391" stopIfTrue="1" operator="lessThan">
      <formula>$K$22</formula>
    </cfRule>
  </conditionalFormatting>
  <conditionalFormatting sqref="L23">
    <cfRule type="cellIs" dxfId="4505" priority="392" stopIfTrue="1" operator="equal">
      <formula>$K$23</formula>
    </cfRule>
    <cfRule type="cellIs" dxfId="4504" priority="393" stopIfTrue="1" operator="lessThan">
      <formula>$K$23</formula>
    </cfRule>
  </conditionalFormatting>
  <conditionalFormatting sqref="L24">
    <cfRule type="cellIs" dxfId="4503" priority="394" stopIfTrue="1" operator="equal">
      <formula>$K$24</formula>
    </cfRule>
    <cfRule type="cellIs" dxfId="4502" priority="395" stopIfTrue="1" operator="lessThan">
      <formula>$K$24</formula>
    </cfRule>
  </conditionalFormatting>
  <conditionalFormatting sqref="L25">
    <cfRule type="cellIs" dxfId="4501" priority="396" stopIfTrue="1" operator="equal">
      <formula>$K$25</formula>
    </cfRule>
    <cfRule type="cellIs" dxfId="4500" priority="397" stopIfTrue="1" operator="lessThan">
      <formula>$K$25</formula>
    </cfRule>
  </conditionalFormatting>
  <conditionalFormatting sqref="L26">
    <cfRule type="cellIs" dxfId="4499" priority="398" stopIfTrue="1" operator="equal">
      <formula>$K$26</formula>
    </cfRule>
    <cfRule type="cellIs" dxfId="4498" priority="399" stopIfTrue="1" operator="lessThan">
      <formula>$K$26</formula>
    </cfRule>
  </conditionalFormatting>
  <conditionalFormatting sqref="L27">
    <cfRule type="cellIs" dxfId="4497" priority="400" stopIfTrue="1" operator="equal">
      <formula>$K$27</formula>
    </cfRule>
    <cfRule type="cellIs" dxfId="4496" priority="401" stopIfTrue="1" operator="lessThan">
      <formula>$K$27</formula>
    </cfRule>
  </conditionalFormatting>
  <conditionalFormatting sqref="L28">
    <cfRule type="cellIs" dxfId="4495" priority="402" stopIfTrue="1" operator="lessThan">
      <formula>$K$28</formula>
    </cfRule>
    <cfRule type="cellIs" dxfId="4494" priority="403" stopIfTrue="1" operator="equal">
      <formula>$K$28</formula>
    </cfRule>
  </conditionalFormatting>
  <conditionalFormatting sqref="L29">
    <cfRule type="cellIs" dxfId="4493" priority="404" stopIfTrue="1" operator="equal">
      <formula>$K$29</formula>
    </cfRule>
    <cfRule type="cellIs" dxfId="4492" priority="405" stopIfTrue="1" operator="lessThan">
      <formula>$K$29</formula>
    </cfRule>
  </conditionalFormatting>
  <conditionalFormatting sqref="M4">
    <cfRule type="cellIs" dxfId="4491" priority="407" stopIfTrue="1" operator="lessThan">
      <formula>$L$4</formula>
    </cfRule>
    <cfRule type="cellIs" dxfId="4490" priority="406" stopIfTrue="1" operator="equal">
      <formula>$L$4</formula>
    </cfRule>
  </conditionalFormatting>
  <conditionalFormatting sqref="M5">
    <cfRule type="cellIs" dxfId="4489" priority="409" stopIfTrue="1" operator="lessThan">
      <formula>$L$5</formula>
    </cfRule>
    <cfRule type="cellIs" dxfId="4488" priority="408" stopIfTrue="1" operator="equal">
      <formula>$L$5</formula>
    </cfRule>
  </conditionalFormatting>
  <conditionalFormatting sqref="M6">
    <cfRule type="cellIs" dxfId="4487" priority="410" stopIfTrue="1" operator="equal">
      <formula>$L$6</formula>
    </cfRule>
    <cfRule type="cellIs" dxfId="4486" priority="411" stopIfTrue="1" operator="lessThan">
      <formula>$L$6</formula>
    </cfRule>
  </conditionalFormatting>
  <conditionalFormatting sqref="M7">
    <cfRule type="cellIs" dxfId="4485" priority="412" stopIfTrue="1" operator="equal">
      <formula>$L$7</formula>
    </cfRule>
    <cfRule type="cellIs" dxfId="4484" priority="413" stopIfTrue="1" operator="lessThan">
      <formula>$L$7</formula>
    </cfRule>
  </conditionalFormatting>
  <conditionalFormatting sqref="M8">
    <cfRule type="cellIs" dxfId="4483" priority="414" stopIfTrue="1" operator="equal">
      <formula>$L$8</formula>
    </cfRule>
    <cfRule type="cellIs" dxfId="4482" priority="415" stopIfTrue="1" operator="lessThan">
      <formula>$L$8</formula>
    </cfRule>
  </conditionalFormatting>
  <conditionalFormatting sqref="M9">
    <cfRule type="cellIs" dxfId="4481" priority="416" stopIfTrue="1" operator="equal">
      <formula>$L$9</formula>
    </cfRule>
    <cfRule type="cellIs" dxfId="4480" priority="417" stopIfTrue="1" operator="lessThan">
      <formula>$L$9</formula>
    </cfRule>
  </conditionalFormatting>
  <conditionalFormatting sqref="M10">
    <cfRule type="cellIs" dxfId="4479" priority="418" stopIfTrue="1" operator="equal">
      <formula>$L$10</formula>
    </cfRule>
    <cfRule type="cellIs" dxfId="4478" priority="419" stopIfTrue="1" operator="lessThan">
      <formula>$L$10</formula>
    </cfRule>
  </conditionalFormatting>
  <conditionalFormatting sqref="M11">
    <cfRule type="cellIs" dxfId="4477" priority="440" stopIfTrue="1" operator="equal">
      <formula>$L$11</formula>
    </cfRule>
    <cfRule type="cellIs" dxfId="4476" priority="441" stopIfTrue="1" operator="lessThan">
      <formula>$L$11</formula>
    </cfRule>
  </conditionalFormatting>
  <conditionalFormatting sqref="M12">
    <cfRule type="cellIs" dxfId="4475" priority="420" stopIfTrue="1" operator="equal">
      <formula>$L$12</formula>
    </cfRule>
    <cfRule type="cellIs" dxfId="4474" priority="421" stopIfTrue="1" operator="lessThan">
      <formula>$L$12</formula>
    </cfRule>
  </conditionalFormatting>
  <conditionalFormatting sqref="M13">
    <cfRule type="cellIs" dxfId="4473" priority="422" stopIfTrue="1" operator="equal">
      <formula>$L$13</formula>
    </cfRule>
    <cfRule type="cellIs" dxfId="4472" priority="423" stopIfTrue="1" operator="lessThan">
      <formula>$L$13</formula>
    </cfRule>
  </conditionalFormatting>
  <conditionalFormatting sqref="M14">
    <cfRule type="cellIs" dxfId="4471" priority="424" stopIfTrue="1" operator="equal">
      <formula>$L$14</formula>
    </cfRule>
    <cfRule type="cellIs" dxfId="4470" priority="425" stopIfTrue="1" operator="lessThan">
      <formula>$L$14</formula>
    </cfRule>
  </conditionalFormatting>
  <conditionalFormatting sqref="M15">
    <cfRule type="cellIs" dxfId="4469" priority="427" stopIfTrue="1" operator="lessThan">
      <formula>$L$15</formula>
    </cfRule>
    <cfRule type="cellIs" dxfId="4468" priority="426" stopIfTrue="1" operator="equal">
      <formula>$L$15</formula>
    </cfRule>
  </conditionalFormatting>
  <conditionalFormatting sqref="M16">
    <cfRule type="cellIs" dxfId="4467" priority="429" stopIfTrue="1" operator="lessThan">
      <formula>$L$16</formula>
    </cfRule>
    <cfRule type="cellIs" dxfId="4466" priority="428" stopIfTrue="1" operator="equal">
      <formula>$L$16</formula>
    </cfRule>
  </conditionalFormatting>
  <conditionalFormatting sqref="M17">
    <cfRule type="cellIs" dxfId="4465" priority="430" stopIfTrue="1" operator="equal">
      <formula>$L$17</formula>
    </cfRule>
    <cfRule type="cellIs" dxfId="4464" priority="431" stopIfTrue="1" operator="lessThan">
      <formula>$L$17</formula>
    </cfRule>
  </conditionalFormatting>
  <conditionalFormatting sqref="M18">
    <cfRule type="cellIs" dxfId="4463" priority="432" stopIfTrue="1" operator="equal">
      <formula>$L$18</formula>
    </cfRule>
    <cfRule type="cellIs" dxfId="4462" priority="433" stopIfTrue="1" operator="lessThan">
      <formula>$L$18</formula>
    </cfRule>
  </conditionalFormatting>
  <conditionalFormatting sqref="M19">
    <cfRule type="cellIs" dxfId="4461" priority="434" stopIfTrue="1" operator="equal">
      <formula>$L$19</formula>
    </cfRule>
    <cfRule type="cellIs" dxfId="4460" priority="435" stopIfTrue="1" operator="lessThan">
      <formula>$L$19</formula>
    </cfRule>
  </conditionalFormatting>
  <conditionalFormatting sqref="M20">
    <cfRule type="cellIs" dxfId="4459" priority="436" stopIfTrue="1" operator="equal">
      <formula>$L$20</formula>
    </cfRule>
    <cfRule type="cellIs" dxfId="4458" priority="437" stopIfTrue="1" operator="lessThan">
      <formula>$L$20</formula>
    </cfRule>
  </conditionalFormatting>
  <conditionalFormatting sqref="M21">
    <cfRule type="cellIs" dxfId="4457" priority="438" stopIfTrue="1" operator="equal">
      <formula>$L$21</formula>
    </cfRule>
    <cfRule type="cellIs" dxfId="4456" priority="439" stopIfTrue="1" operator="lessThan">
      <formula>$L$21</formula>
    </cfRule>
  </conditionalFormatting>
  <conditionalFormatting sqref="M22">
    <cfRule type="cellIs" dxfId="4455" priority="442" stopIfTrue="1" operator="equal">
      <formula>$L$22</formula>
    </cfRule>
    <cfRule type="cellIs" dxfId="4454" priority="443" stopIfTrue="1" operator="lessThan">
      <formula>$L$22</formula>
    </cfRule>
  </conditionalFormatting>
  <conditionalFormatting sqref="M23">
    <cfRule type="cellIs" dxfId="4453" priority="445" stopIfTrue="1" operator="lessThan">
      <formula>$L$23</formula>
    </cfRule>
    <cfRule type="cellIs" dxfId="4452" priority="444" stopIfTrue="1" operator="equal">
      <formula>$L$23</formula>
    </cfRule>
  </conditionalFormatting>
  <conditionalFormatting sqref="M24">
    <cfRule type="cellIs" dxfId="4451" priority="447" stopIfTrue="1" operator="lessThan">
      <formula>$L$24</formula>
    </cfRule>
    <cfRule type="cellIs" dxfId="4450" priority="446" stopIfTrue="1" operator="equal">
      <formula>$L$24</formula>
    </cfRule>
  </conditionalFormatting>
  <conditionalFormatting sqref="M25">
    <cfRule type="cellIs" dxfId="4449" priority="448" stopIfTrue="1" operator="equal">
      <formula>$L$25</formula>
    </cfRule>
    <cfRule type="cellIs" dxfId="4448" priority="449" stopIfTrue="1" operator="lessThan">
      <formula>$L$25</formula>
    </cfRule>
  </conditionalFormatting>
  <conditionalFormatting sqref="M26">
    <cfRule type="cellIs" dxfId="4447" priority="450" stopIfTrue="1" operator="equal">
      <formula>$L$26</formula>
    </cfRule>
    <cfRule type="cellIs" dxfId="4446" priority="451" stopIfTrue="1" operator="lessThan">
      <formula>$L$26</formula>
    </cfRule>
  </conditionalFormatting>
  <conditionalFormatting sqref="M27">
    <cfRule type="cellIs" dxfId="4445" priority="452" stopIfTrue="1" operator="equal">
      <formula>$L$27</formula>
    </cfRule>
    <cfRule type="cellIs" dxfId="4444" priority="453" stopIfTrue="1" operator="lessThan">
      <formula>$L$27</formula>
    </cfRule>
  </conditionalFormatting>
  <conditionalFormatting sqref="M28">
    <cfRule type="cellIs" dxfId="4443" priority="454" stopIfTrue="1" operator="equal">
      <formula>$L$28</formula>
    </cfRule>
    <cfRule type="cellIs" dxfId="4442" priority="455" stopIfTrue="1" operator="lessThan">
      <formula>$L$28</formula>
    </cfRule>
  </conditionalFormatting>
  <conditionalFormatting sqref="M29">
    <cfRule type="cellIs" dxfId="4441" priority="456" stopIfTrue="1" operator="equal">
      <formula>$L$29</formula>
    </cfRule>
    <cfRule type="cellIs" dxfId="4440" priority="457" stopIfTrue="1" operator="lessThan">
      <formula>$L$29</formula>
    </cfRule>
  </conditionalFormatting>
  <conditionalFormatting sqref="N4">
    <cfRule type="cellIs" dxfId="4439" priority="458" stopIfTrue="1" operator="lessThan">
      <formula>$M$4</formula>
    </cfRule>
    <cfRule type="cellIs" dxfId="4438" priority="459" stopIfTrue="1" operator="equal">
      <formula>$M$4</formula>
    </cfRule>
  </conditionalFormatting>
  <conditionalFormatting sqref="N5">
    <cfRule type="cellIs" dxfId="4437" priority="460" stopIfTrue="1" operator="equal">
      <formula>$M$5</formula>
    </cfRule>
    <cfRule type="cellIs" dxfId="4436" priority="461" stopIfTrue="1" operator="lessThan">
      <formula>$M$5</formula>
    </cfRule>
  </conditionalFormatting>
  <conditionalFormatting sqref="N6">
    <cfRule type="cellIs" dxfId="4435" priority="463" stopIfTrue="1" operator="lessThan">
      <formula>$M$6</formula>
    </cfRule>
    <cfRule type="cellIs" dxfId="4434" priority="462" stopIfTrue="1" operator="equal">
      <formula>$M$6</formula>
    </cfRule>
  </conditionalFormatting>
  <conditionalFormatting sqref="N7">
    <cfRule type="cellIs" dxfId="4433" priority="465" stopIfTrue="1" operator="lessThan">
      <formula>$M$7</formula>
    </cfRule>
    <cfRule type="cellIs" dxfId="4432" priority="464" stopIfTrue="1" operator="equal">
      <formula>$M$7</formula>
    </cfRule>
  </conditionalFormatting>
  <conditionalFormatting sqref="N8">
    <cfRule type="cellIs" dxfId="4431" priority="466" stopIfTrue="1" operator="equal">
      <formula>$M$8</formula>
    </cfRule>
    <cfRule type="cellIs" dxfId="4430" priority="467" stopIfTrue="1" operator="lessThan">
      <formula>$M$8</formula>
    </cfRule>
  </conditionalFormatting>
  <conditionalFormatting sqref="N9">
    <cfRule type="cellIs" dxfId="4429" priority="468" stopIfTrue="1" operator="equal">
      <formula>$M$9</formula>
    </cfRule>
    <cfRule type="cellIs" dxfId="4428" priority="469" stopIfTrue="1" operator="lessThan">
      <formula>$M$9</formula>
    </cfRule>
  </conditionalFormatting>
  <conditionalFormatting sqref="N10">
    <cfRule type="cellIs" dxfId="4427" priority="470" stopIfTrue="1" operator="equal">
      <formula>$M$10</formula>
    </cfRule>
    <cfRule type="cellIs" dxfId="4426" priority="471" stopIfTrue="1" operator="lessThan">
      <formula>$M$10</formula>
    </cfRule>
  </conditionalFormatting>
  <conditionalFormatting sqref="N11">
    <cfRule type="cellIs" dxfId="4425" priority="472" stopIfTrue="1" operator="equal">
      <formula>$M$11</formula>
    </cfRule>
    <cfRule type="cellIs" dxfId="4424" priority="473" stopIfTrue="1" operator="lessThan">
      <formula>$M$11</formula>
    </cfRule>
  </conditionalFormatting>
  <conditionalFormatting sqref="N12">
    <cfRule type="cellIs" dxfId="4423" priority="474" stopIfTrue="1" operator="equal">
      <formula>$M$12</formula>
    </cfRule>
    <cfRule type="cellIs" dxfId="4422" priority="475" stopIfTrue="1" operator="lessThan">
      <formula>$M$12</formula>
    </cfRule>
  </conditionalFormatting>
  <conditionalFormatting sqref="N13">
    <cfRule type="cellIs" dxfId="4421" priority="476" stopIfTrue="1" operator="equal">
      <formula>$M$13</formula>
    </cfRule>
    <cfRule type="cellIs" dxfId="4420" priority="477" stopIfTrue="1" operator="lessThan">
      <formula>$M$13</formula>
    </cfRule>
  </conditionalFormatting>
  <conditionalFormatting sqref="N14">
    <cfRule type="cellIs" dxfId="4419" priority="478" stopIfTrue="1" operator="equal">
      <formula>$M$14</formula>
    </cfRule>
    <cfRule type="cellIs" dxfId="4418" priority="479" stopIfTrue="1" operator="lessThan">
      <formula>$M$14</formula>
    </cfRule>
  </conditionalFormatting>
  <conditionalFormatting sqref="N15">
    <cfRule type="cellIs" dxfId="4417" priority="480" stopIfTrue="1" operator="equal">
      <formula>$M$15</formula>
    </cfRule>
    <cfRule type="cellIs" dxfId="4416" priority="481" stopIfTrue="1" operator="lessThan">
      <formula>$M$15</formula>
    </cfRule>
  </conditionalFormatting>
  <conditionalFormatting sqref="N16">
    <cfRule type="cellIs" dxfId="4415" priority="483" stopIfTrue="1" operator="lessThan">
      <formula>$M$16</formula>
    </cfRule>
    <cfRule type="cellIs" dxfId="4414" priority="482" stopIfTrue="1" operator="equal">
      <formula>$M$16</formula>
    </cfRule>
  </conditionalFormatting>
  <conditionalFormatting sqref="N17">
    <cfRule type="cellIs" dxfId="4413" priority="485" stopIfTrue="1" operator="lessThan">
      <formula>$M$17</formula>
    </cfRule>
    <cfRule type="cellIs" dxfId="4412" priority="484" stopIfTrue="1" operator="equal">
      <formula>$M$17</formula>
    </cfRule>
  </conditionalFormatting>
  <conditionalFormatting sqref="N18">
    <cfRule type="cellIs" dxfId="4411" priority="487" stopIfTrue="1" operator="lessThan">
      <formula>$M$18</formula>
    </cfRule>
    <cfRule type="cellIs" dxfId="4410" priority="486" stopIfTrue="1" operator="equal">
      <formula>$M$18</formula>
    </cfRule>
  </conditionalFormatting>
  <conditionalFormatting sqref="N19">
    <cfRule type="cellIs" dxfId="4409" priority="488" stopIfTrue="1" operator="equal">
      <formula>$M$19</formula>
    </cfRule>
    <cfRule type="cellIs" dxfId="4408" priority="489" stopIfTrue="1" operator="lessThan">
      <formula>$M$19</formula>
    </cfRule>
  </conditionalFormatting>
  <conditionalFormatting sqref="N20">
    <cfRule type="cellIs" dxfId="4407" priority="490" stopIfTrue="1" operator="equal">
      <formula>$M$20</formula>
    </cfRule>
    <cfRule type="cellIs" dxfId="4406" priority="491" stopIfTrue="1" operator="lessThan">
      <formula>$M$20</formula>
    </cfRule>
  </conditionalFormatting>
  <conditionalFormatting sqref="N21">
    <cfRule type="cellIs" dxfId="4405" priority="492" stopIfTrue="1" operator="equal">
      <formula>$M$21</formula>
    </cfRule>
    <cfRule type="cellIs" dxfId="4404" priority="493" stopIfTrue="1" operator="lessThan">
      <formula>$M$21</formula>
    </cfRule>
  </conditionalFormatting>
  <conditionalFormatting sqref="N22">
    <cfRule type="cellIs" dxfId="4403" priority="494" stopIfTrue="1" operator="equal">
      <formula>$M$22</formula>
    </cfRule>
    <cfRule type="cellIs" dxfId="4402" priority="495" stopIfTrue="1" operator="lessThan">
      <formula>$M$22</formula>
    </cfRule>
  </conditionalFormatting>
  <conditionalFormatting sqref="N23">
    <cfRule type="cellIs" dxfId="4401" priority="496" stopIfTrue="1" operator="equal">
      <formula>$M$23</formula>
    </cfRule>
    <cfRule type="cellIs" dxfId="4400" priority="497" stopIfTrue="1" operator="lessThan">
      <formula>$M$23</formula>
    </cfRule>
  </conditionalFormatting>
  <conditionalFormatting sqref="N24">
    <cfRule type="cellIs" dxfId="4399" priority="498" stopIfTrue="1" operator="equal">
      <formula>$M$24</formula>
    </cfRule>
    <cfRule type="cellIs" dxfId="4398" priority="499" stopIfTrue="1" operator="lessThan">
      <formula>$M$24</formula>
    </cfRule>
  </conditionalFormatting>
  <conditionalFormatting sqref="N25">
    <cfRule type="cellIs" dxfId="4397" priority="501" stopIfTrue="1" operator="lessThan">
      <formula>$M$25</formula>
    </cfRule>
    <cfRule type="cellIs" dxfId="4396" priority="500" stopIfTrue="1" operator="equal">
      <formula>$M$25</formula>
    </cfRule>
  </conditionalFormatting>
  <conditionalFormatting sqref="N26">
    <cfRule type="cellIs" dxfId="4395" priority="502" stopIfTrue="1" operator="equal">
      <formula>$M$26</formula>
    </cfRule>
    <cfRule type="cellIs" dxfId="4394" priority="503" stopIfTrue="1" operator="lessThan">
      <formula>$M$26</formula>
    </cfRule>
  </conditionalFormatting>
  <conditionalFormatting sqref="N27">
    <cfRule type="cellIs" dxfId="4393" priority="504" stopIfTrue="1" operator="equal">
      <formula>$M$27</formula>
    </cfRule>
    <cfRule type="cellIs" dxfId="4392" priority="505" stopIfTrue="1" operator="lessThan">
      <formula>$M$27</formula>
    </cfRule>
  </conditionalFormatting>
  <conditionalFormatting sqref="N28">
    <cfRule type="cellIs" dxfId="4391" priority="506" stopIfTrue="1" operator="equal">
      <formula>$M$28</formula>
    </cfRule>
    <cfRule type="cellIs" dxfId="4390" priority="507" stopIfTrue="1" operator="lessThan">
      <formula>$M$28</formula>
    </cfRule>
  </conditionalFormatting>
  <conditionalFormatting sqref="N29">
    <cfRule type="cellIs" dxfId="4389" priority="508" stopIfTrue="1" operator="equal">
      <formula>$M$29</formula>
    </cfRule>
    <cfRule type="cellIs" dxfId="4388" priority="509" stopIfTrue="1" operator="lessThan">
      <formula>$M$29</formula>
    </cfRule>
  </conditionalFormatting>
  <conditionalFormatting sqref="O4">
    <cfRule type="cellIs" dxfId="4387" priority="510" stopIfTrue="1" operator="equal">
      <formula>$N$4</formula>
    </cfRule>
    <cfRule type="cellIs" dxfId="4386" priority="511" stopIfTrue="1" operator="lessThan">
      <formula>$N$4</formula>
    </cfRule>
  </conditionalFormatting>
  <conditionalFormatting sqref="O5">
    <cfRule type="cellIs" dxfId="4385" priority="512" stopIfTrue="1" operator="equal">
      <formula>$N$5</formula>
    </cfRule>
    <cfRule type="cellIs" dxfId="4384" priority="513" stopIfTrue="1" operator="lessThan">
      <formula>$N$5</formula>
    </cfRule>
  </conditionalFormatting>
  <conditionalFormatting sqref="O6">
    <cfRule type="cellIs" dxfId="4383" priority="514" stopIfTrue="1" operator="equal">
      <formula>$N$6</formula>
    </cfRule>
    <cfRule type="cellIs" dxfId="4382" priority="515" stopIfTrue="1" operator="lessThan">
      <formula>$N$6</formula>
    </cfRule>
  </conditionalFormatting>
  <conditionalFormatting sqref="O7">
    <cfRule type="cellIs" dxfId="4381" priority="516" stopIfTrue="1" operator="equal">
      <formula>$N$7</formula>
    </cfRule>
    <cfRule type="cellIs" dxfId="4380" priority="517" stopIfTrue="1" operator="lessThan">
      <formula>$N$7</formula>
    </cfRule>
  </conditionalFormatting>
  <conditionalFormatting sqref="O8">
    <cfRule type="cellIs" dxfId="4379" priority="518" stopIfTrue="1" operator="equal">
      <formula>$N$8</formula>
    </cfRule>
    <cfRule type="cellIs" dxfId="4378" priority="519" stopIfTrue="1" operator="lessThan">
      <formula>$N$8</formula>
    </cfRule>
  </conditionalFormatting>
  <conditionalFormatting sqref="O9">
    <cfRule type="cellIs" dxfId="4377" priority="520" stopIfTrue="1" operator="equal">
      <formula>$N$9</formula>
    </cfRule>
    <cfRule type="cellIs" dxfId="4376" priority="521" stopIfTrue="1" operator="lessThan">
      <formula>$N$9</formula>
    </cfRule>
  </conditionalFormatting>
  <conditionalFormatting sqref="O10">
    <cfRule type="cellIs" dxfId="4375" priority="522" stopIfTrue="1" operator="equal">
      <formula>$N$10</formula>
    </cfRule>
    <cfRule type="cellIs" dxfId="4374" priority="523" stopIfTrue="1" operator="lessThan">
      <formula>$N$10</formula>
    </cfRule>
  </conditionalFormatting>
  <conditionalFormatting sqref="O11">
    <cfRule type="cellIs" dxfId="4373" priority="524" stopIfTrue="1" operator="equal">
      <formula>$N$11</formula>
    </cfRule>
    <cfRule type="cellIs" dxfId="4372" priority="525" stopIfTrue="1" operator="lessThan">
      <formula>$N$11</formula>
    </cfRule>
  </conditionalFormatting>
  <conditionalFormatting sqref="O12">
    <cfRule type="cellIs" dxfId="4371" priority="526" stopIfTrue="1" operator="equal">
      <formula>$N$12</formula>
    </cfRule>
    <cfRule type="cellIs" dxfId="4370" priority="527" stopIfTrue="1" operator="lessThan">
      <formula>$N$12</formula>
    </cfRule>
  </conditionalFormatting>
  <conditionalFormatting sqref="O13">
    <cfRule type="cellIs" dxfId="4369" priority="528" stopIfTrue="1" operator="equal">
      <formula>$N$13</formula>
    </cfRule>
    <cfRule type="cellIs" dxfId="4368" priority="529" stopIfTrue="1" operator="lessThan">
      <formula>$N$13</formula>
    </cfRule>
  </conditionalFormatting>
  <conditionalFormatting sqref="O14">
    <cfRule type="cellIs" dxfId="4367" priority="530" stopIfTrue="1" operator="equal">
      <formula>$N$14</formula>
    </cfRule>
    <cfRule type="cellIs" dxfId="4366" priority="531" stopIfTrue="1" operator="lessThan">
      <formula>$N$14</formula>
    </cfRule>
  </conditionalFormatting>
  <conditionalFormatting sqref="O15">
    <cfRule type="cellIs" dxfId="4365" priority="532" stopIfTrue="1" operator="equal">
      <formula>$N$15</formula>
    </cfRule>
    <cfRule type="cellIs" dxfId="4364" priority="533" stopIfTrue="1" operator="lessThan">
      <formula>$N$15</formula>
    </cfRule>
  </conditionalFormatting>
  <conditionalFormatting sqref="O16">
    <cfRule type="cellIs" dxfId="4363" priority="534" stopIfTrue="1" operator="equal">
      <formula>$N$16</formula>
    </cfRule>
    <cfRule type="cellIs" dxfId="4362" priority="535" stopIfTrue="1" operator="lessThan">
      <formula>$N$16</formula>
    </cfRule>
  </conditionalFormatting>
  <conditionalFormatting sqref="O17">
    <cfRule type="cellIs" dxfId="4361" priority="537" stopIfTrue="1" operator="lessThan">
      <formula>$N$17</formula>
    </cfRule>
    <cfRule type="cellIs" dxfId="4360" priority="536" stopIfTrue="1" operator="equal">
      <formula>$N$17</formula>
    </cfRule>
  </conditionalFormatting>
  <conditionalFormatting sqref="O18">
    <cfRule type="cellIs" dxfId="4359" priority="539" stopIfTrue="1" operator="lessThan">
      <formula>$N$18</formula>
    </cfRule>
    <cfRule type="cellIs" dxfId="4358" priority="538" stopIfTrue="1" operator="equal">
      <formula>$N$18</formula>
    </cfRule>
  </conditionalFormatting>
  <conditionalFormatting sqref="O19">
    <cfRule type="cellIs" dxfId="4357" priority="540" stopIfTrue="1" operator="equal">
      <formula>$N$19</formula>
    </cfRule>
    <cfRule type="cellIs" dxfId="4356" priority="541" stopIfTrue="1" operator="lessThan">
      <formula>$N$19</formula>
    </cfRule>
  </conditionalFormatting>
  <conditionalFormatting sqref="O20">
    <cfRule type="cellIs" dxfId="4355" priority="542" stopIfTrue="1" operator="equal">
      <formula>$N$20</formula>
    </cfRule>
    <cfRule type="cellIs" dxfId="4354" priority="543" stopIfTrue="1" operator="lessThan">
      <formula>$N$20</formula>
    </cfRule>
  </conditionalFormatting>
  <conditionalFormatting sqref="O21">
    <cfRule type="cellIs" dxfId="4353" priority="544" stopIfTrue="1" operator="equal">
      <formula>$N$21</formula>
    </cfRule>
    <cfRule type="cellIs" dxfId="4352" priority="545" stopIfTrue="1" operator="lessThan">
      <formula>$N$21</formula>
    </cfRule>
  </conditionalFormatting>
  <conditionalFormatting sqref="O22">
    <cfRule type="cellIs" dxfId="4351" priority="546" stopIfTrue="1" operator="equal">
      <formula>$N$22</formula>
    </cfRule>
    <cfRule type="cellIs" dxfId="4350" priority="547" stopIfTrue="1" operator="lessThan">
      <formula>$N$22</formula>
    </cfRule>
  </conditionalFormatting>
  <conditionalFormatting sqref="O23">
    <cfRule type="cellIs" dxfId="4349" priority="548" stopIfTrue="1" operator="equal">
      <formula>$N$23</formula>
    </cfRule>
    <cfRule type="cellIs" dxfId="4348" priority="549" stopIfTrue="1" operator="lessThan">
      <formula>$N$23</formula>
    </cfRule>
  </conditionalFormatting>
  <conditionalFormatting sqref="O24">
    <cfRule type="cellIs" dxfId="4347" priority="550" stopIfTrue="1" operator="equal">
      <formula>$N$24</formula>
    </cfRule>
    <cfRule type="cellIs" dxfId="4346" priority="551" stopIfTrue="1" operator="lessThan">
      <formula>$N$24</formula>
    </cfRule>
  </conditionalFormatting>
  <conditionalFormatting sqref="O25">
    <cfRule type="cellIs" dxfId="4345" priority="552" stopIfTrue="1" operator="equal">
      <formula>$N$25</formula>
    </cfRule>
    <cfRule type="cellIs" dxfId="4344" priority="553" stopIfTrue="1" operator="lessThan">
      <formula>$N$25</formula>
    </cfRule>
  </conditionalFormatting>
  <conditionalFormatting sqref="O26">
    <cfRule type="cellIs" dxfId="4343" priority="555" stopIfTrue="1" operator="lessThan">
      <formula>$N$26</formula>
    </cfRule>
    <cfRule type="cellIs" dxfId="4342" priority="554" stopIfTrue="1" operator="equal">
      <formula>$N$26</formula>
    </cfRule>
  </conditionalFormatting>
  <conditionalFormatting sqref="O27">
    <cfRule type="cellIs" dxfId="4341" priority="557" stopIfTrue="1" operator="lessThan">
      <formula>$N$27</formula>
    </cfRule>
    <cfRule type="cellIs" dxfId="4340" priority="556" stopIfTrue="1" operator="equal">
      <formula>$N$27</formula>
    </cfRule>
  </conditionalFormatting>
  <conditionalFormatting sqref="O28">
    <cfRule type="cellIs" dxfId="4339" priority="558" stopIfTrue="1" operator="equal">
      <formula>$N$28</formula>
    </cfRule>
    <cfRule type="cellIs" dxfId="4338" priority="559" stopIfTrue="1" operator="lessThan">
      <formula>$N$28</formula>
    </cfRule>
  </conditionalFormatting>
  <conditionalFormatting sqref="O29">
    <cfRule type="cellIs" dxfId="4337" priority="560" stopIfTrue="1" operator="equal">
      <formula>$N$29</formula>
    </cfRule>
    <cfRule type="cellIs" dxfId="4336" priority="561" stopIfTrue="1" operator="lessThan">
      <formula>$N$29</formula>
    </cfRule>
  </conditionalFormatting>
  <conditionalFormatting sqref="P4">
    <cfRule type="cellIs" dxfId="4335" priority="562" stopIfTrue="1" operator="equal">
      <formula>$O$4</formula>
    </cfRule>
    <cfRule type="cellIs" dxfId="4334" priority="563" stopIfTrue="1" operator="lessThan">
      <formula>$O$4</formula>
    </cfRule>
  </conditionalFormatting>
  <conditionalFormatting sqref="P5">
    <cfRule type="cellIs" dxfId="4333" priority="564" stopIfTrue="1" operator="equal">
      <formula>$O$5</formula>
    </cfRule>
    <cfRule type="cellIs" dxfId="4332" priority="565" stopIfTrue="1" operator="lessThan">
      <formula>$O$5</formula>
    </cfRule>
  </conditionalFormatting>
  <conditionalFormatting sqref="P6">
    <cfRule type="cellIs" dxfId="4331" priority="566" stopIfTrue="1" operator="equal">
      <formula>$O$6</formula>
    </cfRule>
    <cfRule type="cellIs" dxfId="4330" priority="567" stopIfTrue="1" operator="lessThan">
      <formula>$O$6</formula>
    </cfRule>
  </conditionalFormatting>
  <conditionalFormatting sqref="P7">
    <cfRule type="cellIs" dxfId="4329" priority="568" stopIfTrue="1" operator="equal">
      <formula>$O$7</formula>
    </cfRule>
    <cfRule type="cellIs" dxfId="4328" priority="569" stopIfTrue="1" operator="lessThan">
      <formula>$O$7</formula>
    </cfRule>
  </conditionalFormatting>
  <conditionalFormatting sqref="P8">
    <cfRule type="cellIs" dxfId="4327" priority="570" stopIfTrue="1" operator="equal">
      <formula>$O$8</formula>
    </cfRule>
    <cfRule type="cellIs" dxfId="4326" priority="571" stopIfTrue="1" operator="lessThan">
      <formula>$O$8</formula>
    </cfRule>
  </conditionalFormatting>
  <conditionalFormatting sqref="P9">
    <cfRule type="cellIs" dxfId="4325" priority="572" stopIfTrue="1" operator="equal">
      <formula>$O$9</formula>
    </cfRule>
    <cfRule type="cellIs" dxfId="4324" priority="573" stopIfTrue="1" operator="lessThan">
      <formula>$O$9</formula>
    </cfRule>
  </conditionalFormatting>
  <conditionalFormatting sqref="P10">
    <cfRule type="cellIs" dxfId="4323" priority="575" stopIfTrue="1" operator="lessThan">
      <formula>$O$10</formula>
    </cfRule>
    <cfRule type="cellIs" dxfId="4322" priority="574" stopIfTrue="1" operator="equal">
      <formula>$O$10</formula>
    </cfRule>
  </conditionalFormatting>
  <conditionalFormatting sqref="P11">
    <cfRule type="cellIs" dxfId="4321" priority="577" stopIfTrue="1" operator="lessThan">
      <formula>$O$11</formula>
    </cfRule>
    <cfRule type="cellIs" dxfId="4320" priority="576" stopIfTrue="1" operator="equal">
      <formula>$O$11</formula>
    </cfRule>
  </conditionalFormatting>
  <conditionalFormatting sqref="P12">
    <cfRule type="cellIs" dxfId="4319" priority="578" stopIfTrue="1" operator="equal">
      <formula>$O$12</formula>
    </cfRule>
    <cfRule type="cellIs" dxfId="4318" priority="579" stopIfTrue="1" operator="lessThan">
      <formula>$O$12</formula>
    </cfRule>
  </conditionalFormatting>
  <conditionalFormatting sqref="P13">
    <cfRule type="cellIs" dxfId="4317" priority="580" stopIfTrue="1" operator="equal">
      <formula>$O$13</formula>
    </cfRule>
    <cfRule type="cellIs" dxfId="4316" priority="581" stopIfTrue="1" operator="lessThan">
      <formula>$O$13</formula>
    </cfRule>
  </conditionalFormatting>
  <conditionalFormatting sqref="P14">
    <cfRule type="cellIs" dxfId="4315" priority="582" stopIfTrue="1" operator="equal">
      <formula>$O$14</formula>
    </cfRule>
    <cfRule type="cellIs" dxfId="4314" priority="583" stopIfTrue="1" operator="lessThan">
      <formula>$O$14</formula>
    </cfRule>
  </conditionalFormatting>
  <conditionalFormatting sqref="P15">
    <cfRule type="cellIs" dxfId="4313" priority="584" stopIfTrue="1" operator="equal">
      <formula>$O$15</formula>
    </cfRule>
    <cfRule type="cellIs" dxfId="4312" priority="585" stopIfTrue="1" operator="lessThan">
      <formula>$O$15</formula>
    </cfRule>
  </conditionalFormatting>
  <conditionalFormatting sqref="P16">
    <cfRule type="cellIs" dxfId="4311" priority="586" stopIfTrue="1" operator="equal">
      <formula>$O$16</formula>
    </cfRule>
    <cfRule type="cellIs" dxfId="4310" priority="587" stopIfTrue="1" operator="lessThan">
      <formula>$O$16</formula>
    </cfRule>
  </conditionalFormatting>
  <conditionalFormatting sqref="P17">
    <cfRule type="cellIs" dxfId="4309" priority="588" stopIfTrue="1" operator="equal">
      <formula>$O$17</formula>
    </cfRule>
    <cfRule type="cellIs" dxfId="4308" priority="589" stopIfTrue="1" operator="lessThan">
      <formula>$O$17</formula>
    </cfRule>
  </conditionalFormatting>
  <conditionalFormatting sqref="P18">
    <cfRule type="cellIs" dxfId="4307" priority="590" stopIfTrue="1" operator="equal">
      <formula>$O$18</formula>
    </cfRule>
    <cfRule type="cellIs" dxfId="4306" priority="591" stopIfTrue="1" operator="lessThan">
      <formula>$O$18</formula>
    </cfRule>
  </conditionalFormatting>
  <conditionalFormatting sqref="P19">
    <cfRule type="cellIs" dxfId="4305" priority="593" stopIfTrue="1" operator="lessThan">
      <formula>$O$19</formula>
    </cfRule>
    <cfRule type="cellIs" dxfId="4304" priority="592" stopIfTrue="1" operator="equal">
      <formula>$O$19</formula>
    </cfRule>
  </conditionalFormatting>
  <conditionalFormatting sqref="P20">
    <cfRule type="cellIs" dxfId="4303" priority="595" stopIfTrue="1" operator="lessThan">
      <formula>$O$20</formula>
    </cfRule>
    <cfRule type="cellIs" dxfId="4302" priority="594" stopIfTrue="1" operator="equal">
      <formula>$O$20</formula>
    </cfRule>
  </conditionalFormatting>
  <conditionalFormatting sqref="P21">
    <cfRule type="cellIs" dxfId="4301" priority="596" stopIfTrue="1" operator="equal">
      <formula>$O$21</formula>
    </cfRule>
    <cfRule type="cellIs" dxfId="4300" priority="597" stopIfTrue="1" operator="lessThan">
      <formula>$O$21</formula>
    </cfRule>
  </conditionalFormatting>
  <conditionalFormatting sqref="P22">
    <cfRule type="cellIs" dxfId="4299" priority="598" stopIfTrue="1" operator="equal">
      <formula>$O$22</formula>
    </cfRule>
    <cfRule type="cellIs" dxfId="4298" priority="599" stopIfTrue="1" operator="lessThan">
      <formula>$O$22</formula>
    </cfRule>
  </conditionalFormatting>
  <conditionalFormatting sqref="P23">
    <cfRule type="cellIs" dxfId="4297" priority="600" stopIfTrue="1" operator="equal">
      <formula>$O$23</formula>
    </cfRule>
    <cfRule type="cellIs" dxfId="4296" priority="601" stopIfTrue="1" operator="lessThan">
      <formula>$O$23</formula>
    </cfRule>
  </conditionalFormatting>
  <conditionalFormatting sqref="P24">
    <cfRule type="cellIs" dxfId="4295" priority="602" stopIfTrue="1" operator="equal">
      <formula>$O$24</formula>
    </cfRule>
    <cfRule type="cellIs" dxfId="4294" priority="603" stopIfTrue="1" operator="lessThan">
      <formula>$O$24</formula>
    </cfRule>
  </conditionalFormatting>
  <conditionalFormatting sqref="P25">
    <cfRule type="cellIs" dxfId="4293" priority="604" stopIfTrue="1" operator="equal">
      <formula>$O$25</formula>
    </cfRule>
    <cfRule type="cellIs" dxfId="4292" priority="605" stopIfTrue="1" operator="lessThan">
      <formula>$O$25</formula>
    </cfRule>
  </conditionalFormatting>
  <conditionalFormatting sqref="P26">
    <cfRule type="cellIs" dxfId="4291" priority="606" stopIfTrue="1" operator="equal">
      <formula>$O$26</formula>
    </cfRule>
    <cfRule type="cellIs" dxfId="4290" priority="607" stopIfTrue="1" operator="lessThan">
      <formula>$O$26</formula>
    </cfRule>
  </conditionalFormatting>
  <conditionalFormatting sqref="P27">
    <cfRule type="cellIs" dxfId="4289" priority="608" stopIfTrue="1" operator="equal">
      <formula>$O$27</formula>
    </cfRule>
    <cfRule type="cellIs" dxfId="4288" priority="609" stopIfTrue="1" operator="lessThan">
      <formula>$O$27</formula>
    </cfRule>
  </conditionalFormatting>
  <conditionalFormatting sqref="P28">
    <cfRule type="cellIs" dxfId="4287" priority="610" stopIfTrue="1" operator="equal">
      <formula>$O$28</formula>
    </cfRule>
    <cfRule type="cellIs" dxfId="4286" priority="611" stopIfTrue="1" operator="lessThan">
      <formula>$O$28</formula>
    </cfRule>
  </conditionalFormatting>
  <conditionalFormatting sqref="P29">
    <cfRule type="cellIs" dxfId="4285" priority="613" stopIfTrue="1" operator="lessThan">
      <formula>$O$29</formula>
    </cfRule>
    <cfRule type="cellIs" dxfId="4284" priority="612" stopIfTrue="1" operator="equal">
      <formula>$O$29</formula>
    </cfRule>
  </conditionalFormatting>
  <conditionalFormatting sqref="V4:AG23">
    <cfRule type="cellIs" dxfId="4283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63"/>
  <sheetViews>
    <sheetView zoomScaleNormal="100" zoomScaleSheetLayoutView="100" workbookViewId="0">
      <selection activeCell="G2" sqref="G2"/>
    </sheetView>
  </sheetViews>
  <sheetFormatPr defaultRowHeight="14.5" x14ac:dyDescent="0.35"/>
  <cols>
    <col min="1" max="1" width="8.26953125" style="120" customWidth="1"/>
    <col min="2" max="2" width="8.54296875" style="1" customWidth="1"/>
    <col min="3" max="3" width="14.81640625" customWidth="1"/>
    <col min="4" max="4" width="12.7265625" style="93" customWidth="1"/>
    <col min="5" max="17" width="10.1796875" customWidth="1"/>
    <col min="18" max="18" width="11.81640625" bestFit="1" customWidth="1"/>
    <col min="21" max="21" width="5.54296875" customWidth="1"/>
    <col min="37" max="37" width="11.81640625" customWidth="1"/>
    <col min="38" max="50" width="7.453125" style="238" customWidth="1"/>
  </cols>
  <sheetData>
    <row r="1" spans="1:66" ht="15" thickBot="1" x14ac:dyDescent="0.4">
      <c r="A1"/>
      <c r="B1"/>
      <c r="AF1" s="148" t="s">
        <v>106</v>
      </c>
      <c r="AG1" s="148"/>
      <c r="AH1" s="148"/>
    </row>
    <row r="2" spans="1:66" s="1" customFormat="1" ht="21" customHeight="1" thickBot="1" x14ac:dyDescent="0.55000000000000004">
      <c r="A2" s="115" t="s">
        <v>17</v>
      </c>
      <c r="B2" s="112">
        <v>1851</v>
      </c>
      <c r="C2" s="2"/>
      <c r="D2" s="315"/>
      <c r="E2" s="3">
        <f>'1850'!D2</f>
        <v>46022</v>
      </c>
      <c r="F2" s="3">
        <f>'1850'!E2</f>
        <v>46055</v>
      </c>
      <c r="G2" s="3">
        <f>'1850'!F2</f>
        <v>46083</v>
      </c>
      <c r="H2" s="3"/>
      <c r="I2" s="3"/>
      <c r="J2" s="3"/>
      <c r="K2" s="3"/>
      <c r="L2" s="3"/>
      <c r="M2" s="3"/>
      <c r="N2" s="3"/>
      <c r="O2" s="3"/>
      <c r="P2" s="3"/>
      <c r="Q2" s="3"/>
      <c r="R2" s="1" t="s">
        <v>0</v>
      </c>
      <c r="S2" s="1" t="s">
        <v>1</v>
      </c>
      <c r="T2" s="1" t="s">
        <v>27</v>
      </c>
      <c r="W2" s="142"/>
      <c r="X2" s="143"/>
      <c r="Y2" s="143"/>
      <c r="Z2" s="143"/>
      <c r="AA2" s="143" t="s">
        <v>105</v>
      </c>
      <c r="AB2" s="143"/>
      <c r="AC2" s="143"/>
      <c r="AD2" s="143"/>
      <c r="AE2" s="143"/>
      <c r="AF2" s="143"/>
      <c r="AG2" s="143"/>
      <c r="AH2" s="147"/>
      <c r="AL2" s="239" t="s">
        <v>205</v>
      </c>
      <c r="AM2" s="240"/>
      <c r="AN2" s="240"/>
      <c r="AO2" s="240"/>
      <c r="AP2" s="240"/>
      <c r="AQ2" s="240"/>
      <c r="AR2" s="240"/>
      <c r="AS2" s="240"/>
      <c r="AT2" s="240"/>
      <c r="AU2" s="240"/>
      <c r="AV2" s="240"/>
      <c r="AW2" s="243" t="s">
        <v>192</v>
      </c>
      <c r="AX2" s="241" t="e">
        <f>(AX6+AX12+AX14+AX18+AX54+AX56+AX58+AX60+AX62)/9</f>
        <v>#DIV/0!</v>
      </c>
    </row>
    <row r="3" spans="1:66" s="1" customFormat="1" ht="15" thickBot="1" x14ac:dyDescent="0.4">
      <c r="A3" s="116" t="s">
        <v>18</v>
      </c>
      <c r="B3" s="4" t="s">
        <v>2</v>
      </c>
      <c r="C3" s="5"/>
      <c r="D3" s="316"/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3</v>
      </c>
      <c r="R3" s="1" t="s">
        <v>79</v>
      </c>
      <c r="S3" s="1" t="s">
        <v>78</v>
      </c>
      <c r="T3" s="1" t="s">
        <v>80</v>
      </c>
      <c r="V3" s="1" t="s">
        <v>104</v>
      </c>
      <c r="W3" s="4" t="s">
        <v>4</v>
      </c>
      <c r="X3" s="4" t="s">
        <v>5</v>
      </c>
      <c r="Y3" s="4" t="s">
        <v>6</v>
      </c>
      <c r="Z3" s="4" t="s">
        <v>7</v>
      </c>
      <c r="AA3" s="4" t="s">
        <v>8</v>
      </c>
      <c r="AB3" s="4" t="s">
        <v>9</v>
      </c>
      <c r="AC3" s="4" t="s">
        <v>10</v>
      </c>
      <c r="AD3" s="4" t="s">
        <v>11</v>
      </c>
      <c r="AE3" s="4" t="s">
        <v>12</v>
      </c>
      <c r="AF3" s="4" t="s">
        <v>13</v>
      </c>
      <c r="AG3" s="4" t="s">
        <v>14</v>
      </c>
      <c r="AH3" s="4" t="s">
        <v>3</v>
      </c>
      <c r="AL3" s="244" t="s">
        <v>179</v>
      </c>
      <c r="AM3" s="244" t="s">
        <v>180</v>
      </c>
      <c r="AN3" s="244" t="s">
        <v>181</v>
      </c>
      <c r="AO3" s="244" t="s">
        <v>182</v>
      </c>
      <c r="AP3" s="244" t="s">
        <v>183</v>
      </c>
      <c r="AQ3" s="244" t="s">
        <v>184</v>
      </c>
      <c r="AR3" s="244" t="s">
        <v>185</v>
      </c>
      <c r="AS3" s="244" t="s">
        <v>186</v>
      </c>
      <c r="AT3" s="244" t="s">
        <v>187</v>
      </c>
      <c r="AU3" s="244" t="s">
        <v>188</v>
      </c>
      <c r="AV3" s="244" t="s">
        <v>189</v>
      </c>
      <c r="AW3" s="244" t="s">
        <v>190</v>
      </c>
      <c r="AX3" s="244" t="s">
        <v>191</v>
      </c>
    </row>
    <row r="4" spans="1:66" ht="15" thickBot="1" x14ac:dyDescent="0.4">
      <c r="A4" s="375">
        <v>1</v>
      </c>
      <c r="B4" s="371">
        <v>1</v>
      </c>
      <c r="C4" s="6" t="s">
        <v>244</v>
      </c>
      <c r="D4" s="312">
        <v>241010644</v>
      </c>
      <c r="E4" s="7">
        <v>199.73</v>
      </c>
      <c r="F4" s="7">
        <v>214.10599999999999</v>
      </c>
      <c r="G4" s="7">
        <v>228.285</v>
      </c>
      <c r="H4" s="7"/>
      <c r="I4" s="7"/>
      <c r="J4" s="7"/>
      <c r="K4" s="7"/>
      <c r="L4" s="7"/>
      <c r="M4" s="7"/>
      <c r="N4" s="8"/>
      <c r="O4" s="7"/>
      <c r="P4" s="7"/>
      <c r="Q4" s="7"/>
      <c r="R4" s="9">
        <f>Q4-E4</f>
        <v>-199.73</v>
      </c>
      <c r="V4" s="1">
        <v>1</v>
      </c>
      <c r="W4" s="144">
        <f t="shared" ref="W4:AH4" si="0">F4-E4</f>
        <v>14.376000000000005</v>
      </c>
      <c r="X4" s="144">
        <f t="shared" si="0"/>
        <v>14.179000000000002</v>
      </c>
      <c r="Y4" s="144">
        <f t="shared" si="0"/>
        <v>-228.285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  <c r="AH4" s="144">
        <f t="shared" si="0"/>
        <v>0</v>
      </c>
      <c r="AI4" s="9"/>
    </row>
    <row r="5" spans="1:66" x14ac:dyDescent="0.35">
      <c r="A5" s="376"/>
      <c r="B5" s="371"/>
      <c r="C5" s="10" t="s">
        <v>245</v>
      </c>
      <c r="D5" s="313">
        <v>71182262</v>
      </c>
      <c r="E5" s="11">
        <v>122.956</v>
      </c>
      <c r="F5" s="11">
        <v>129.37299999999999</v>
      </c>
      <c r="G5" s="11">
        <v>133.40899999999999</v>
      </c>
      <c r="H5" s="11"/>
      <c r="I5" s="11"/>
      <c r="J5" s="11"/>
      <c r="K5" s="11"/>
      <c r="L5" s="11"/>
      <c r="M5" s="11"/>
      <c r="N5" s="12"/>
      <c r="O5" s="11"/>
      <c r="P5" s="11"/>
      <c r="Q5" s="11"/>
      <c r="R5" s="9"/>
      <c r="S5" s="9">
        <f>Q5-E5</f>
        <v>-122.956</v>
      </c>
      <c r="V5" s="149" t="s">
        <v>107</v>
      </c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9"/>
    </row>
    <row r="6" spans="1:66" x14ac:dyDescent="0.35">
      <c r="A6" s="117">
        <v>2</v>
      </c>
      <c r="B6" s="372">
        <v>2</v>
      </c>
      <c r="C6" s="10" t="s">
        <v>248</v>
      </c>
      <c r="D6" s="313">
        <v>241010636</v>
      </c>
      <c r="E6" s="11">
        <v>90.242000000000004</v>
      </c>
      <c r="F6" s="11">
        <v>97.117000000000004</v>
      </c>
      <c r="G6" s="11">
        <v>103.517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9">
        <f>Q6-E6</f>
        <v>-90.242000000000004</v>
      </c>
      <c r="V6" s="1">
        <v>2</v>
      </c>
      <c r="W6" s="146">
        <f t="shared" ref="W6:AH6" si="1">F6-E6</f>
        <v>6.875</v>
      </c>
      <c r="X6" s="146">
        <f t="shared" si="1"/>
        <v>6.3999999999999915</v>
      </c>
      <c r="Y6" s="146">
        <f t="shared" si="1"/>
        <v>-103.517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  <c r="AH6" s="146">
        <f t="shared" si="1"/>
        <v>0</v>
      </c>
      <c r="AI6" s="9"/>
      <c r="AK6" s="245" t="s">
        <v>194</v>
      </c>
      <c r="AL6" s="242">
        <f>W7/(W6+W7)</f>
        <v>0.33983099673516431</v>
      </c>
      <c r="AM6" s="242">
        <f t="shared" ref="AM6:AW6" si="2">X7/(X6+X7)</f>
        <v>0.35794542536115587</v>
      </c>
      <c r="AN6" s="242">
        <f t="shared" si="2"/>
        <v>0.31298282407284506</v>
      </c>
      <c r="AO6" s="242" t="e">
        <f t="shared" si="2"/>
        <v>#DIV/0!</v>
      </c>
      <c r="AP6" s="242" t="e">
        <f t="shared" si="2"/>
        <v>#DIV/0!</v>
      </c>
      <c r="AQ6" s="242" t="e">
        <f t="shared" si="2"/>
        <v>#DIV/0!</v>
      </c>
      <c r="AR6" s="242" t="e">
        <f t="shared" si="2"/>
        <v>#DIV/0!</v>
      </c>
      <c r="AS6" s="242" t="e">
        <f t="shared" si="2"/>
        <v>#DIV/0!</v>
      </c>
      <c r="AT6" s="242" t="e">
        <f t="shared" si="2"/>
        <v>#DIV/0!</v>
      </c>
      <c r="AU6" s="242" t="e">
        <f t="shared" si="2"/>
        <v>#DIV/0!</v>
      </c>
      <c r="AV6" s="242" t="e">
        <f t="shared" si="2"/>
        <v>#DIV/0!</v>
      </c>
      <c r="AW6" s="242" t="e">
        <f t="shared" si="2"/>
        <v>#DIV/0!</v>
      </c>
      <c r="AX6" s="242" t="e">
        <f>SUM(AL6:AW6)/12</f>
        <v>#DIV/0!</v>
      </c>
    </row>
    <row r="7" spans="1:66" x14ac:dyDescent="0.35">
      <c r="A7" s="117" t="s">
        <v>19</v>
      </c>
      <c r="B7" s="372"/>
      <c r="C7" s="10" t="s">
        <v>245</v>
      </c>
      <c r="D7" s="313">
        <v>71182271</v>
      </c>
      <c r="E7" s="11">
        <v>148.721</v>
      </c>
      <c r="F7" s="11">
        <v>153.82300000000001</v>
      </c>
      <c r="G7" s="11">
        <v>157.31200000000001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9"/>
      <c r="S7" s="9">
        <f>Q7-E7</f>
        <v>-148.721</v>
      </c>
      <c r="V7" s="149" t="s">
        <v>108</v>
      </c>
      <c r="W7" s="153">
        <f t="shared" ref="W7:AG7" si="3">W40</f>
        <v>3.5390000000000015</v>
      </c>
      <c r="X7" s="153">
        <f t="shared" si="3"/>
        <v>3.5679999999999978</v>
      </c>
      <c r="Y7" s="153">
        <f t="shared" si="3"/>
        <v>-47.158999999999999</v>
      </c>
      <c r="Z7" s="153">
        <f t="shared" si="3"/>
        <v>0</v>
      </c>
      <c r="AA7" s="153">
        <f t="shared" si="3"/>
        <v>0</v>
      </c>
      <c r="AB7" s="153">
        <f t="shared" si="3"/>
        <v>0</v>
      </c>
      <c r="AC7" s="153">
        <f t="shared" si="3"/>
        <v>0</v>
      </c>
      <c r="AD7" s="153">
        <f t="shared" si="3"/>
        <v>0</v>
      </c>
      <c r="AE7" s="153">
        <f t="shared" si="3"/>
        <v>0</v>
      </c>
      <c r="AF7" s="153">
        <f t="shared" si="3"/>
        <v>0</v>
      </c>
      <c r="AG7" s="153">
        <f t="shared" si="3"/>
        <v>0</v>
      </c>
      <c r="AH7" s="153">
        <f>AH40</f>
        <v>0</v>
      </c>
      <c r="AI7" s="294"/>
      <c r="AK7" s="245"/>
    </row>
    <row r="8" spans="1:66" x14ac:dyDescent="0.35">
      <c r="A8" s="117">
        <v>5</v>
      </c>
      <c r="B8" s="377">
        <v>3</v>
      </c>
      <c r="C8" s="10" t="s">
        <v>248</v>
      </c>
      <c r="D8" s="313">
        <v>241010648</v>
      </c>
      <c r="E8" s="11">
        <v>17.065000000000001</v>
      </c>
      <c r="F8" s="11">
        <v>18.402999999999999</v>
      </c>
      <c r="G8" s="11">
        <v>19.771999999999998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9">
        <f>Q8-E8</f>
        <v>-17.065000000000001</v>
      </c>
      <c r="V8" s="1">
        <v>5</v>
      </c>
      <c r="W8" s="146">
        <f t="shared" ref="W8:AH8" si="4">F8-E8</f>
        <v>1.3379999999999974</v>
      </c>
      <c r="X8" s="146">
        <f t="shared" si="4"/>
        <v>1.3689999999999998</v>
      </c>
      <c r="Y8" s="146">
        <f t="shared" si="4"/>
        <v>-19.771999999999998</v>
      </c>
      <c r="Z8" s="146">
        <f t="shared" si="4"/>
        <v>0</v>
      </c>
      <c r="AA8" s="146">
        <f t="shared" si="4"/>
        <v>0</v>
      </c>
      <c r="AB8" s="146">
        <f t="shared" si="4"/>
        <v>0</v>
      </c>
      <c r="AC8" s="146">
        <f t="shared" si="4"/>
        <v>0</v>
      </c>
      <c r="AD8" s="146">
        <f t="shared" si="4"/>
        <v>0</v>
      </c>
      <c r="AE8" s="146">
        <f t="shared" si="4"/>
        <v>0</v>
      </c>
      <c r="AF8" s="146">
        <f t="shared" si="4"/>
        <v>0</v>
      </c>
      <c r="AG8" s="146">
        <f t="shared" si="4"/>
        <v>0</v>
      </c>
      <c r="AH8" s="146">
        <f t="shared" si="4"/>
        <v>0</v>
      </c>
      <c r="AI8" s="9"/>
      <c r="AK8" s="245" t="s">
        <v>195</v>
      </c>
      <c r="AL8" s="242">
        <f t="shared" ref="AL8:AW8" si="5">W9/(W8+W9)</f>
        <v>0.2397727272727275</v>
      </c>
      <c r="AM8" s="242">
        <f t="shared" si="5"/>
        <v>0.22655367231638451</v>
      </c>
      <c r="AN8" s="242">
        <f t="shared" si="5"/>
        <v>0.2255689162194979</v>
      </c>
      <c r="AO8" s="242" t="e">
        <f t="shared" si="5"/>
        <v>#DIV/0!</v>
      </c>
      <c r="AP8" s="242" t="e">
        <f t="shared" si="5"/>
        <v>#DIV/0!</v>
      </c>
      <c r="AQ8" s="242" t="e">
        <f t="shared" si="5"/>
        <v>#DIV/0!</v>
      </c>
      <c r="AR8" s="242" t="e">
        <f t="shared" si="5"/>
        <v>#DIV/0!</v>
      </c>
      <c r="AS8" s="242" t="e">
        <f t="shared" si="5"/>
        <v>#DIV/0!</v>
      </c>
      <c r="AT8" s="242" t="e">
        <f t="shared" si="5"/>
        <v>#DIV/0!</v>
      </c>
      <c r="AU8" s="242" t="e">
        <f t="shared" si="5"/>
        <v>#DIV/0!</v>
      </c>
      <c r="AV8" s="242" t="e">
        <f t="shared" si="5"/>
        <v>#DIV/0!</v>
      </c>
      <c r="AW8" s="242" t="e">
        <f t="shared" si="5"/>
        <v>#DIV/0!</v>
      </c>
      <c r="AX8" s="242" t="e">
        <f>SUM(AL8:AW8)/12</f>
        <v>#DIV/0!</v>
      </c>
    </row>
    <row r="9" spans="1:66" x14ac:dyDescent="0.35">
      <c r="A9" s="117" t="s">
        <v>20</v>
      </c>
      <c r="B9" s="377"/>
      <c r="C9" s="10" t="s">
        <v>245</v>
      </c>
      <c r="D9" s="313">
        <v>71182241</v>
      </c>
      <c r="E9" s="11">
        <v>144.35900000000001</v>
      </c>
      <c r="F9" s="11">
        <v>149.68199999999999</v>
      </c>
      <c r="G9" s="11">
        <v>153.40700000000001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9"/>
      <c r="S9" s="9">
        <f>Q9-E9</f>
        <v>-144.35900000000001</v>
      </c>
      <c r="V9" s="149" t="s">
        <v>108</v>
      </c>
      <c r="W9" s="153">
        <f t="shared" ref="W9:AG9" si="6">W42</f>
        <v>0.42199999999999971</v>
      </c>
      <c r="X9" s="153">
        <f t="shared" si="6"/>
        <v>0.40100000000000069</v>
      </c>
      <c r="Y9" s="153">
        <f t="shared" si="6"/>
        <v>-5.7590000000000003</v>
      </c>
      <c r="Z9" s="153">
        <f t="shared" si="6"/>
        <v>0</v>
      </c>
      <c r="AA9" s="153">
        <f t="shared" si="6"/>
        <v>0</v>
      </c>
      <c r="AB9" s="153">
        <f t="shared" si="6"/>
        <v>0</v>
      </c>
      <c r="AC9" s="153">
        <f t="shared" si="6"/>
        <v>0</v>
      </c>
      <c r="AD9" s="153">
        <f t="shared" si="6"/>
        <v>0</v>
      </c>
      <c r="AE9" s="153">
        <f t="shared" si="6"/>
        <v>0</v>
      </c>
      <c r="AF9" s="153">
        <f t="shared" si="6"/>
        <v>0</v>
      </c>
      <c r="AG9" s="153">
        <f t="shared" si="6"/>
        <v>0</v>
      </c>
      <c r="AH9" s="153">
        <f>AH42</f>
        <v>0</v>
      </c>
      <c r="AI9" s="294"/>
      <c r="AK9" s="245"/>
    </row>
    <row r="10" spans="1:66" x14ac:dyDescent="0.35">
      <c r="A10" s="378">
        <v>4</v>
      </c>
      <c r="B10" s="372">
        <v>4</v>
      </c>
      <c r="C10" s="10" t="s">
        <v>244</v>
      </c>
      <c r="D10" s="313">
        <v>241010642</v>
      </c>
      <c r="E10" s="11">
        <v>104.28</v>
      </c>
      <c r="F10" s="11">
        <v>113.38</v>
      </c>
      <c r="G10" s="11">
        <v>121.348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9">
        <f>Q10-E10</f>
        <v>-104.28</v>
      </c>
      <c r="V10" s="1">
        <v>4</v>
      </c>
      <c r="W10" s="146">
        <f t="shared" ref="W10:AH10" si="7">F10-E10</f>
        <v>9.0999999999999943</v>
      </c>
      <c r="X10" s="146">
        <f t="shared" si="7"/>
        <v>7.9680000000000035</v>
      </c>
      <c r="Y10" s="146">
        <f t="shared" si="7"/>
        <v>-121.348</v>
      </c>
      <c r="Z10" s="146">
        <f t="shared" si="7"/>
        <v>0</v>
      </c>
      <c r="AA10" s="146">
        <f t="shared" si="7"/>
        <v>0</v>
      </c>
      <c r="AB10" s="146">
        <f t="shared" si="7"/>
        <v>0</v>
      </c>
      <c r="AC10" s="146">
        <f t="shared" si="7"/>
        <v>0</v>
      </c>
      <c r="AD10" s="146">
        <f t="shared" si="7"/>
        <v>0</v>
      </c>
      <c r="AE10" s="146">
        <f t="shared" si="7"/>
        <v>0</v>
      </c>
      <c r="AF10" s="146">
        <f t="shared" si="7"/>
        <v>0</v>
      </c>
      <c r="AG10" s="146">
        <f t="shared" si="7"/>
        <v>0</v>
      </c>
      <c r="AH10" s="146">
        <f t="shared" si="7"/>
        <v>0</v>
      </c>
      <c r="AI10" s="9"/>
      <c r="AK10" s="245"/>
    </row>
    <row r="11" spans="1:66" x14ac:dyDescent="0.35">
      <c r="A11" s="378"/>
      <c r="B11" s="372"/>
      <c r="C11" s="10" t="s">
        <v>245</v>
      </c>
      <c r="D11" s="313">
        <v>71182237</v>
      </c>
      <c r="E11" s="11">
        <v>30.652999999999999</v>
      </c>
      <c r="F11" s="11">
        <v>33.401000000000003</v>
      </c>
      <c r="G11" s="11">
        <v>35.164999999999999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9"/>
      <c r="S11" s="9">
        <f>Q11-E11</f>
        <v>-30.652999999999999</v>
      </c>
      <c r="V11" s="149" t="s">
        <v>107</v>
      </c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H11" s="145"/>
      <c r="AI11" s="9"/>
      <c r="AK11" s="245"/>
      <c r="BA11" s="148" t="s">
        <v>232</v>
      </c>
    </row>
    <row r="12" spans="1:66" x14ac:dyDescent="0.35">
      <c r="A12" s="117">
        <v>9</v>
      </c>
      <c r="B12" s="372">
        <v>5</v>
      </c>
      <c r="C12" s="10" t="s">
        <v>248</v>
      </c>
      <c r="D12" s="313">
        <v>241010637</v>
      </c>
      <c r="E12" s="11">
        <v>1.5880000000000001</v>
      </c>
      <c r="F12" s="11">
        <v>1.627</v>
      </c>
      <c r="G12" s="11">
        <v>1.6359999999999999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9">
        <f>Q12-E12</f>
        <v>-1.5880000000000001</v>
      </c>
      <c r="V12" s="1">
        <v>9</v>
      </c>
      <c r="W12" s="146">
        <f t="shared" ref="W12:AH12" si="8">F12-E12</f>
        <v>3.8999999999999924E-2</v>
      </c>
      <c r="X12" s="146">
        <f t="shared" si="8"/>
        <v>8.999999999999897E-3</v>
      </c>
      <c r="Y12" s="146">
        <f t="shared" si="8"/>
        <v>-1.6359999999999999</v>
      </c>
      <c r="Z12" s="146">
        <f t="shared" si="8"/>
        <v>0</v>
      </c>
      <c r="AA12" s="146">
        <f t="shared" si="8"/>
        <v>0</v>
      </c>
      <c r="AB12" s="146">
        <f t="shared" si="8"/>
        <v>0</v>
      </c>
      <c r="AC12" s="146">
        <f t="shared" si="8"/>
        <v>0</v>
      </c>
      <c r="AD12" s="146">
        <f t="shared" si="8"/>
        <v>0</v>
      </c>
      <c r="AE12" s="146">
        <f t="shared" si="8"/>
        <v>0</v>
      </c>
      <c r="AF12" s="146">
        <f t="shared" si="8"/>
        <v>0</v>
      </c>
      <c r="AG12" s="146">
        <f t="shared" si="8"/>
        <v>0</v>
      </c>
      <c r="AH12" s="146">
        <f t="shared" si="8"/>
        <v>0</v>
      </c>
      <c r="AI12" s="9"/>
      <c r="AK12" s="245" t="s">
        <v>196</v>
      </c>
      <c r="AL12" s="290"/>
      <c r="AM12" s="290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290">
        <f>SUM(AL12:AW12)/12</f>
        <v>0</v>
      </c>
      <c r="BA12" s="245" t="s">
        <v>196</v>
      </c>
      <c r="BB12" s="242" t="e">
        <f t="shared" ref="BB12:BM12" si="9">AM13/(AM12+AM13)</f>
        <v>#DIV/0!</v>
      </c>
      <c r="BC12" s="242" t="e">
        <f t="shared" si="9"/>
        <v>#DIV/0!</v>
      </c>
      <c r="BD12" s="242" t="e">
        <f t="shared" si="9"/>
        <v>#DIV/0!</v>
      </c>
      <c r="BE12" s="242" t="e">
        <f t="shared" si="9"/>
        <v>#DIV/0!</v>
      </c>
      <c r="BF12" s="242" t="e">
        <f t="shared" si="9"/>
        <v>#DIV/0!</v>
      </c>
      <c r="BG12" s="242" t="e">
        <f t="shared" si="9"/>
        <v>#DIV/0!</v>
      </c>
      <c r="BH12" s="242" t="e">
        <f t="shared" si="9"/>
        <v>#DIV/0!</v>
      </c>
      <c r="BI12" s="242" t="e">
        <f t="shared" si="9"/>
        <v>#DIV/0!</v>
      </c>
      <c r="BJ12" s="242" t="e">
        <f t="shared" si="9"/>
        <v>#DIV/0!</v>
      </c>
      <c r="BK12" s="242" t="e">
        <f t="shared" si="9"/>
        <v>#DIV/0!</v>
      </c>
      <c r="BL12" s="242" t="e">
        <f t="shared" si="9"/>
        <v>#DIV/0!</v>
      </c>
      <c r="BM12" s="242" t="e">
        <f t="shared" si="9"/>
        <v>#DIV/0!</v>
      </c>
      <c r="BN12" s="242" t="e">
        <f>SUM(BB12:BM12)/12</f>
        <v>#DIV/0!</v>
      </c>
    </row>
    <row r="13" spans="1:66" x14ac:dyDescent="0.35">
      <c r="A13" s="117" t="s">
        <v>21</v>
      </c>
      <c r="B13" s="372"/>
      <c r="C13" s="10" t="s">
        <v>245</v>
      </c>
      <c r="D13" s="313">
        <v>71182221</v>
      </c>
      <c r="E13" s="11">
        <v>118.131</v>
      </c>
      <c r="F13" s="11">
        <v>123.93600000000001</v>
      </c>
      <c r="G13" s="11">
        <v>127.60899999999999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9"/>
      <c r="S13" s="9">
        <f>Q13-E13</f>
        <v>-118.131</v>
      </c>
      <c r="V13" s="149" t="s">
        <v>108</v>
      </c>
      <c r="W13" s="153">
        <f t="shared" ref="W13:AG13" si="10">W44</f>
        <v>2.5999999999999801E-2</v>
      </c>
      <c r="X13" s="153">
        <f t="shared" si="10"/>
        <v>4.0000000000000036E-3</v>
      </c>
      <c r="Y13" s="153">
        <f t="shared" si="10"/>
        <v>-1.4039999999999999</v>
      </c>
      <c r="Z13" s="153">
        <f t="shared" si="10"/>
        <v>0</v>
      </c>
      <c r="AA13" s="153">
        <f t="shared" si="10"/>
        <v>0</v>
      </c>
      <c r="AB13" s="153">
        <f t="shared" si="10"/>
        <v>0</v>
      </c>
      <c r="AC13" s="153">
        <f t="shared" si="10"/>
        <v>0</v>
      </c>
      <c r="AD13" s="153">
        <f t="shared" si="10"/>
        <v>0</v>
      </c>
      <c r="AE13" s="153">
        <f t="shared" si="10"/>
        <v>0</v>
      </c>
      <c r="AF13" s="153">
        <f t="shared" si="10"/>
        <v>0</v>
      </c>
      <c r="AG13" s="153">
        <f t="shared" si="10"/>
        <v>0</v>
      </c>
      <c r="AH13" s="153">
        <f>AH44</f>
        <v>0</v>
      </c>
      <c r="AI13" s="294"/>
      <c r="AK13" s="245"/>
    </row>
    <row r="14" spans="1:66" x14ac:dyDescent="0.35">
      <c r="A14" s="117">
        <v>15</v>
      </c>
      <c r="B14" s="372">
        <v>6</v>
      </c>
      <c r="C14" s="10" t="s">
        <v>248</v>
      </c>
      <c r="D14" s="313">
        <v>241010633</v>
      </c>
      <c r="E14" s="11">
        <v>25.972999999999999</v>
      </c>
      <c r="F14" s="11">
        <v>28.35</v>
      </c>
      <c r="G14" s="11">
        <v>30.14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9">
        <f>Q14-E14</f>
        <v>-25.972999999999999</v>
      </c>
      <c r="V14" s="1">
        <v>15</v>
      </c>
      <c r="W14" s="146">
        <f t="shared" ref="W14:AH14" si="11">F14-E14</f>
        <v>2.3770000000000024</v>
      </c>
      <c r="X14" s="146">
        <f t="shared" si="11"/>
        <v>1.7899999999999991</v>
      </c>
      <c r="Y14" s="146">
        <f t="shared" si="11"/>
        <v>-30.14</v>
      </c>
      <c r="Z14" s="146">
        <f t="shared" si="11"/>
        <v>0</v>
      </c>
      <c r="AA14" s="146">
        <f t="shared" si="11"/>
        <v>0</v>
      </c>
      <c r="AB14" s="146">
        <f t="shared" si="11"/>
        <v>0</v>
      </c>
      <c r="AC14" s="146">
        <f t="shared" si="11"/>
        <v>0</v>
      </c>
      <c r="AD14" s="146">
        <f t="shared" si="11"/>
        <v>0</v>
      </c>
      <c r="AE14" s="146">
        <f t="shared" si="11"/>
        <v>0</v>
      </c>
      <c r="AF14" s="146">
        <f t="shared" si="11"/>
        <v>0</v>
      </c>
      <c r="AG14" s="146">
        <f t="shared" si="11"/>
        <v>0</v>
      </c>
      <c r="AH14" s="146">
        <f t="shared" si="11"/>
        <v>0</v>
      </c>
      <c r="AI14" s="9"/>
      <c r="AK14" s="245" t="s">
        <v>197</v>
      </c>
      <c r="AL14" s="242">
        <f t="shared" ref="AL14:AW14" si="12">W15/(W14+W15)</f>
        <v>0.38800205973223478</v>
      </c>
      <c r="AM14" s="242">
        <f t="shared" si="12"/>
        <v>0.36659589525831526</v>
      </c>
      <c r="AN14" s="242">
        <f t="shared" si="12"/>
        <v>0.39182372169982643</v>
      </c>
      <c r="AO14" s="242" t="e">
        <f t="shared" si="12"/>
        <v>#DIV/0!</v>
      </c>
      <c r="AP14" s="242" t="e">
        <f t="shared" si="12"/>
        <v>#DIV/0!</v>
      </c>
      <c r="AQ14" s="242" t="e">
        <f t="shared" si="12"/>
        <v>#DIV/0!</v>
      </c>
      <c r="AR14" s="242" t="e">
        <f t="shared" si="12"/>
        <v>#DIV/0!</v>
      </c>
      <c r="AS14" s="242" t="e">
        <f t="shared" si="12"/>
        <v>#DIV/0!</v>
      </c>
      <c r="AT14" s="242" t="e">
        <f t="shared" si="12"/>
        <v>#DIV/0!</v>
      </c>
      <c r="AU14" s="242" t="e">
        <f t="shared" si="12"/>
        <v>#DIV/0!</v>
      </c>
      <c r="AV14" s="242" t="e">
        <f t="shared" si="12"/>
        <v>#DIV/0!</v>
      </c>
      <c r="AW14" s="242" t="e">
        <f t="shared" si="12"/>
        <v>#DIV/0!</v>
      </c>
      <c r="AX14" s="242" t="e">
        <f>SUM(AL14:AW14)/12</f>
        <v>#DIV/0!</v>
      </c>
    </row>
    <row r="15" spans="1:66" x14ac:dyDescent="0.35">
      <c r="A15" s="117" t="s">
        <v>22</v>
      </c>
      <c r="B15" s="372"/>
      <c r="C15" s="10" t="s">
        <v>245</v>
      </c>
      <c r="D15" s="313">
        <v>71182276</v>
      </c>
      <c r="E15" s="11">
        <v>69.055000000000007</v>
      </c>
      <c r="F15" s="11">
        <v>73.91</v>
      </c>
      <c r="G15" s="11">
        <v>76.638999999999996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9"/>
      <c r="S15" s="9">
        <f>Q15-E15</f>
        <v>-69.055000000000007</v>
      </c>
      <c r="V15" s="149" t="s">
        <v>108</v>
      </c>
      <c r="W15" s="153">
        <f t="shared" ref="W15:AG15" si="13">W46</f>
        <v>1.5070000000000014</v>
      </c>
      <c r="X15" s="153">
        <f t="shared" si="13"/>
        <v>1.0359999999999978</v>
      </c>
      <c r="Y15" s="153">
        <f t="shared" si="13"/>
        <v>-19.417999999999999</v>
      </c>
      <c r="Z15" s="153">
        <f t="shared" si="13"/>
        <v>0</v>
      </c>
      <c r="AA15" s="153">
        <f t="shared" si="13"/>
        <v>0</v>
      </c>
      <c r="AB15" s="153">
        <f t="shared" si="13"/>
        <v>0</v>
      </c>
      <c r="AC15" s="153">
        <f t="shared" si="13"/>
        <v>0</v>
      </c>
      <c r="AD15" s="153">
        <f t="shared" si="13"/>
        <v>0</v>
      </c>
      <c r="AE15" s="153">
        <f t="shared" si="13"/>
        <v>0</v>
      </c>
      <c r="AF15" s="153">
        <f t="shared" si="13"/>
        <v>0</v>
      </c>
      <c r="AG15" s="153">
        <f t="shared" si="13"/>
        <v>0</v>
      </c>
      <c r="AH15" s="153">
        <f>AH46</f>
        <v>0</v>
      </c>
      <c r="AI15" s="294"/>
      <c r="AK15" s="245"/>
    </row>
    <row r="16" spans="1:66" x14ac:dyDescent="0.35">
      <c r="A16" s="378">
        <v>7</v>
      </c>
      <c r="B16" s="372">
        <v>7</v>
      </c>
      <c r="C16" s="10" t="s">
        <v>244</v>
      </c>
      <c r="D16" s="313">
        <v>241010643</v>
      </c>
      <c r="E16" s="11">
        <v>108.226</v>
      </c>
      <c r="F16" s="11">
        <v>121.363</v>
      </c>
      <c r="G16" s="11">
        <v>128.55600000000001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9">
        <f>Q16-E16</f>
        <v>-108.226</v>
      </c>
      <c r="V16" s="1">
        <v>7</v>
      </c>
      <c r="W16" s="146">
        <f t="shared" ref="W16:AH16" si="14">F16-E16</f>
        <v>13.137</v>
      </c>
      <c r="X16" s="146">
        <f t="shared" si="14"/>
        <v>7.1930000000000121</v>
      </c>
      <c r="Y16" s="146">
        <f t="shared" si="14"/>
        <v>-128.55600000000001</v>
      </c>
      <c r="Z16" s="146">
        <f t="shared" si="14"/>
        <v>0</v>
      </c>
      <c r="AA16" s="146">
        <f t="shared" si="14"/>
        <v>0</v>
      </c>
      <c r="AB16" s="146">
        <f t="shared" si="14"/>
        <v>0</v>
      </c>
      <c r="AC16" s="146">
        <f t="shared" si="14"/>
        <v>0</v>
      </c>
      <c r="AD16" s="146">
        <f t="shared" si="14"/>
        <v>0</v>
      </c>
      <c r="AE16" s="146">
        <f t="shared" si="14"/>
        <v>0</v>
      </c>
      <c r="AF16" s="146">
        <f t="shared" si="14"/>
        <v>0</v>
      </c>
      <c r="AG16" s="146">
        <f t="shared" si="14"/>
        <v>0</v>
      </c>
      <c r="AH16" s="146">
        <f t="shared" si="14"/>
        <v>0</v>
      </c>
      <c r="AI16" s="9"/>
      <c r="AK16" s="245"/>
    </row>
    <row r="17" spans="1:72" x14ac:dyDescent="0.35">
      <c r="A17" s="378"/>
      <c r="B17" s="372"/>
      <c r="C17" s="10" t="s">
        <v>245</v>
      </c>
      <c r="D17" s="313">
        <v>71182256</v>
      </c>
      <c r="E17" s="11">
        <v>21.263000000000002</v>
      </c>
      <c r="F17" s="11">
        <v>22.439</v>
      </c>
      <c r="G17" s="11">
        <v>23.018000000000001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9"/>
      <c r="S17" s="9">
        <f>Q17-E17</f>
        <v>-21.263000000000002</v>
      </c>
      <c r="V17" s="149" t="s">
        <v>107</v>
      </c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H17" s="145"/>
      <c r="AI17" s="9"/>
      <c r="AK17" s="245"/>
    </row>
    <row r="18" spans="1:72" x14ac:dyDescent="0.35">
      <c r="A18" s="117">
        <v>13</v>
      </c>
      <c r="B18" s="372">
        <v>8</v>
      </c>
      <c r="C18" s="10" t="s">
        <v>248</v>
      </c>
      <c r="D18" s="313">
        <v>241010631</v>
      </c>
      <c r="E18" s="11">
        <v>29.93</v>
      </c>
      <c r="F18" s="11">
        <v>32.268000000000001</v>
      </c>
      <c r="G18" s="11">
        <v>34.28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9">
        <f>Q18-E18</f>
        <v>-29.93</v>
      </c>
      <c r="V18" s="1">
        <v>13</v>
      </c>
      <c r="W18" s="146">
        <f t="shared" ref="W18:AH18" si="15">F18-E18</f>
        <v>2.338000000000001</v>
      </c>
      <c r="X18" s="146">
        <f t="shared" si="15"/>
        <v>2.0120000000000005</v>
      </c>
      <c r="Y18" s="146">
        <f t="shared" si="15"/>
        <v>-34.28</v>
      </c>
      <c r="Z18" s="146">
        <f t="shared" si="15"/>
        <v>0</v>
      </c>
      <c r="AA18" s="146">
        <f t="shared" si="15"/>
        <v>0</v>
      </c>
      <c r="AB18" s="146">
        <f t="shared" si="15"/>
        <v>0</v>
      </c>
      <c r="AC18" s="146">
        <f t="shared" si="15"/>
        <v>0</v>
      </c>
      <c r="AD18" s="146">
        <f t="shared" si="15"/>
        <v>0</v>
      </c>
      <c r="AE18" s="146">
        <f t="shared" si="15"/>
        <v>0</v>
      </c>
      <c r="AF18" s="146">
        <f t="shared" si="15"/>
        <v>0</v>
      </c>
      <c r="AG18" s="146">
        <f t="shared" si="15"/>
        <v>0</v>
      </c>
      <c r="AH18" s="146">
        <f t="shared" si="15"/>
        <v>0</v>
      </c>
      <c r="AI18" s="9"/>
      <c r="AK18" s="245" t="s">
        <v>198</v>
      </c>
      <c r="AL18" s="242">
        <f t="shared" ref="AL18:AW18" si="16">W19/(W18+W19)</f>
        <v>0.47777529595711438</v>
      </c>
      <c r="AM18" s="242">
        <f t="shared" si="16"/>
        <v>0.45326086956521722</v>
      </c>
      <c r="AN18" s="242">
        <f t="shared" si="16"/>
        <v>0.41641130405175347</v>
      </c>
      <c r="AO18" s="242" t="e">
        <f t="shared" si="16"/>
        <v>#DIV/0!</v>
      </c>
      <c r="AP18" s="242" t="e">
        <f t="shared" si="16"/>
        <v>#DIV/0!</v>
      </c>
      <c r="AQ18" s="242" t="e">
        <f t="shared" si="16"/>
        <v>#DIV/0!</v>
      </c>
      <c r="AR18" s="242" t="e">
        <f t="shared" si="16"/>
        <v>#DIV/0!</v>
      </c>
      <c r="AS18" s="242" t="e">
        <f t="shared" si="16"/>
        <v>#DIV/0!</v>
      </c>
      <c r="AT18" s="242" t="e">
        <f t="shared" si="16"/>
        <v>#DIV/0!</v>
      </c>
      <c r="AU18" s="242" t="e">
        <f t="shared" si="16"/>
        <v>#DIV/0!</v>
      </c>
      <c r="AV18" s="242" t="e">
        <f t="shared" si="16"/>
        <v>#DIV/0!</v>
      </c>
      <c r="AW18" s="242" t="e">
        <f t="shared" si="16"/>
        <v>#DIV/0!</v>
      </c>
      <c r="AX18" s="242" t="e">
        <f>SUM(AL18:AW18)/12</f>
        <v>#DIV/0!</v>
      </c>
    </row>
    <row r="19" spans="1:72" x14ac:dyDescent="0.35">
      <c r="A19" s="117" t="s">
        <v>23</v>
      </c>
      <c r="B19" s="372"/>
      <c r="C19" s="10" t="s">
        <v>245</v>
      </c>
      <c r="D19" s="313">
        <v>71182279</v>
      </c>
      <c r="E19" s="11">
        <v>107.747</v>
      </c>
      <c r="F19" s="11">
        <v>112.938</v>
      </c>
      <c r="G19" s="11">
        <v>116.593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9"/>
      <c r="S19" s="9">
        <f>Q19-E19</f>
        <v>-107.747</v>
      </c>
      <c r="V19" s="149" t="s">
        <v>108</v>
      </c>
      <c r="W19" s="153">
        <f t="shared" ref="W19:AG19" si="17">W48</f>
        <v>2.1390000000000029</v>
      </c>
      <c r="X19" s="153">
        <f t="shared" si="17"/>
        <v>1.6679999999999993</v>
      </c>
      <c r="Y19" s="153">
        <f t="shared" si="17"/>
        <v>-24.46</v>
      </c>
      <c r="Z19" s="153">
        <f t="shared" si="17"/>
        <v>0</v>
      </c>
      <c r="AA19" s="153">
        <f t="shared" si="17"/>
        <v>0</v>
      </c>
      <c r="AB19" s="153">
        <f t="shared" si="17"/>
        <v>0</v>
      </c>
      <c r="AC19" s="153">
        <f t="shared" si="17"/>
        <v>0</v>
      </c>
      <c r="AD19" s="153">
        <f t="shared" si="17"/>
        <v>0</v>
      </c>
      <c r="AE19" s="153">
        <f t="shared" si="17"/>
        <v>0</v>
      </c>
      <c r="AF19" s="153">
        <f t="shared" si="17"/>
        <v>0</v>
      </c>
      <c r="AG19" s="153">
        <f t="shared" si="17"/>
        <v>0</v>
      </c>
      <c r="AH19" s="153">
        <f>AH48</f>
        <v>0</v>
      </c>
      <c r="AI19" s="294"/>
    </row>
    <row r="20" spans="1:72" x14ac:dyDescent="0.35">
      <c r="A20" s="378">
        <v>14</v>
      </c>
      <c r="B20" s="372">
        <v>9</v>
      </c>
      <c r="C20" s="10" t="s">
        <v>244</v>
      </c>
      <c r="D20" s="313">
        <v>241010632</v>
      </c>
      <c r="E20" s="11">
        <v>120.691</v>
      </c>
      <c r="F20" s="11">
        <v>130.33699999999999</v>
      </c>
      <c r="G20" s="11">
        <v>139.005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9">
        <f>Q20-E20</f>
        <v>-120.691</v>
      </c>
      <c r="V20" s="1">
        <v>14</v>
      </c>
      <c r="W20" s="146">
        <f t="shared" ref="W20:AH20" si="18">F20-E20</f>
        <v>9.6459999999999866</v>
      </c>
      <c r="X20" s="146">
        <f t="shared" si="18"/>
        <v>8.6680000000000064</v>
      </c>
      <c r="Y20" s="146">
        <f t="shared" si="18"/>
        <v>-139.005</v>
      </c>
      <c r="Z20" s="146">
        <f t="shared" si="18"/>
        <v>0</v>
      </c>
      <c r="AA20" s="146">
        <f t="shared" si="18"/>
        <v>0</v>
      </c>
      <c r="AB20" s="146">
        <f t="shared" si="18"/>
        <v>0</v>
      </c>
      <c r="AC20" s="146">
        <f t="shared" si="18"/>
        <v>0</v>
      </c>
      <c r="AD20" s="146">
        <f t="shared" si="18"/>
        <v>0</v>
      </c>
      <c r="AE20" s="146">
        <f t="shared" si="18"/>
        <v>0</v>
      </c>
      <c r="AF20" s="146">
        <f t="shared" si="18"/>
        <v>0</v>
      </c>
      <c r="AG20" s="146">
        <f t="shared" si="18"/>
        <v>0</v>
      </c>
      <c r="AH20" s="146">
        <f t="shared" si="18"/>
        <v>0</v>
      </c>
      <c r="AI20" s="9"/>
    </row>
    <row r="21" spans="1:72" x14ac:dyDescent="0.35">
      <c r="A21" s="378"/>
      <c r="B21" s="372"/>
      <c r="C21" s="10" t="s">
        <v>245</v>
      </c>
      <c r="D21" s="313">
        <v>71182252</v>
      </c>
      <c r="E21" s="11">
        <v>113.934</v>
      </c>
      <c r="F21" s="11">
        <v>120.249</v>
      </c>
      <c r="G21" s="11">
        <v>124.188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9"/>
      <c r="S21" s="9">
        <f>Q21-E21</f>
        <v>-113.934</v>
      </c>
      <c r="V21" s="149" t="s">
        <v>107</v>
      </c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9"/>
    </row>
    <row r="22" spans="1:72" x14ac:dyDescent="0.35">
      <c r="A22" s="378">
        <v>10</v>
      </c>
      <c r="B22" s="372">
        <v>10</v>
      </c>
      <c r="C22" s="10" t="s">
        <v>244</v>
      </c>
      <c r="D22" s="313">
        <v>241010635</v>
      </c>
      <c r="E22" s="11">
        <v>32.06</v>
      </c>
      <c r="F22" s="11">
        <v>33.981999999999999</v>
      </c>
      <c r="G22" s="11">
        <v>36.04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9">
        <f>Q22-E22</f>
        <v>-32.06</v>
      </c>
      <c r="V22" s="1">
        <v>10</v>
      </c>
      <c r="W22" s="146">
        <f t="shared" ref="W22:AH22" si="19">F22-E22</f>
        <v>1.921999999999997</v>
      </c>
      <c r="X22" s="146">
        <f t="shared" si="19"/>
        <v>2.0579999999999998</v>
      </c>
      <c r="Y22" s="146">
        <f t="shared" si="19"/>
        <v>-36.04</v>
      </c>
      <c r="Z22" s="146">
        <f t="shared" si="19"/>
        <v>0</v>
      </c>
      <c r="AA22" s="146">
        <f t="shared" si="19"/>
        <v>0</v>
      </c>
      <c r="AB22" s="146">
        <f t="shared" si="19"/>
        <v>0</v>
      </c>
      <c r="AC22" s="146">
        <f t="shared" si="19"/>
        <v>0</v>
      </c>
      <c r="AD22" s="146">
        <f t="shared" si="19"/>
        <v>0</v>
      </c>
      <c r="AE22" s="146">
        <f t="shared" si="19"/>
        <v>0</v>
      </c>
      <c r="AF22" s="146">
        <f t="shared" si="19"/>
        <v>0</v>
      </c>
      <c r="AG22" s="146">
        <f t="shared" si="19"/>
        <v>0</v>
      </c>
      <c r="AH22" s="146">
        <f t="shared" si="19"/>
        <v>0</v>
      </c>
      <c r="AI22" s="9"/>
    </row>
    <row r="23" spans="1:72" x14ac:dyDescent="0.35">
      <c r="A23" s="378"/>
      <c r="B23" s="372"/>
      <c r="C23" s="10" t="s">
        <v>245</v>
      </c>
      <c r="D23" s="313">
        <v>71182234</v>
      </c>
      <c r="E23" s="11">
        <v>71.66</v>
      </c>
      <c r="F23" s="11">
        <v>77.504000000000005</v>
      </c>
      <c r="G23" s="11">
        <v>81.534999999999997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85"/>
      <c r="S23" s="97">
        <f>Q23-E23</f>
        <v>-71.66</v>
      </c>
      <c r="V23" s="149" t="s">
        <v>107</v>
      </c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9"/>
    </row>
    <row r="24" spans="1:72" x14ac:dyDescent="0.35">
      <c r="A24"/>
      <c r="B24" s="118" t="s">
        <v>15</v>
      </c>
      <c r="C24" s="10" t="s">
        <v>249</v>
      </c>
      <c r="D24" s="313">
        <v>2080200096</v>
      </c>
      <c r="E24" s="15">
        <v>16972</v>
      </c>
      <c r="F24" s="15">
        <v>17186</v>
      </c>
      <c r="G24" s="15">
        <v>17374</v>
      </c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9">
        <f>SUM(R4:R23)+SUM(R33:R49)</f>
        <v>-1044.7460000000001</v>
      </c>
      <c r="S24" s="9">
        <f>SUM(S4:S23)</f>
        <v>-948.47899999999993</v>
      </c>
      <c r="T24" s="16">
        <f>Q24-E24</f>
        <v>-16972</v>
      </c>
      <c r="V24" t="s">
        <v>109</v>
      </c>
      <c r="AL24" s="239" t="s">
        <v>206</v>
      </c>
    </row>
    <row r="25" spans="1:72" x14ac:dyDescent="0.35">
      <c r="A25"/>
      <c r="B25" s="118"/>
      <c r="C25" s="10"/>
      <c r="D25" s="313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9"/>
      <c r="T25" s="16"/>
      <c r="AK25" s="1" t="s">
        <v>193</v>
      </c>
      <c r="AL25" s="231" t="s">
        <v>179</v>
      </c>
      <c r="AM25" s="231" t="s">
        <v>180</v>
      </c>
      <c r="AN25" s="231" t="s">
        <v>181</v>
      </c>
      <c r="AO25" s="231" t="s">
        <v>182</v>
      </c>
      <c r="AP25" s="231" t="s">
        <v>183</v>
      </c>
      <c r="AQ25" s="231" t="s">
        <v>184</v>
      </c>
      <c r="AR25" s="231" t="s">
        <v>185</v>
      </c>
      <c r="AS25" s="231" t="s">
        <v>186</v>
      </c>
      <c r="AT25" s="231" t="s">
        <v>187</v>
      </c>
      <c r="AU25" s="231" t="s">
        <v>188</v>
      </c>
      <c r="AV25" s="231" t="s">
        <v>189</v>
      </c>
      <c r="AW25" s="231" t="s">
        <v>190</v>
      </c>
      <c r="AX25" s="1" t="s">
        <v>191</v>
      </c>
      <c r="BG25" s="148" t="s">
        <v>232</v>
      </c>
      <c r="BH25" s="231" t="s">
        <v>179</v>
      </c>
      <c r="BI25" s="231" t="s">
        <v>180</v>
      </c>
      <c r="BJ25" s="231" t="s">
        <v>181</v>
      </c>
      <c r="BK25" s="231" t="s">
        <v>182</v>
      </c>
      <c r="BL25" s="231" t="s">
        <v>183</v>
      </c>
      <c r="BM25" s="231" t="s">
        <v>184</v>
      </c>
      <c r="BN25" s="231" t="s">
        <v>185</v>
      </c>
      <c r="BO25" s="231" t="s">
        <v>186</v>
      </c>
      <c r="BP25" s="231" t="s">
        <v>187</v>
      </c>
      <c r="BQ25" s="231" t="s">
        <v>188</v>
      </c>
      <c r="BR25" s="231" t="s">
        <v>189</v>
      </c>
      <c r="BS25" s="231" t="s">
        <v>190</v>
      </c>
      <c r="BT25" s="1" t="s">
        <v>191</v>
      </c>
    </row>
    <row r="26" spans="1:72" ht="15" thickBot="1" x14ac:dyDescent="0.4">
      <c r="A26"/>
      <c r="B26" s="113"/>
      <c r="C26" s="282" t="s">
        <v>247</v>
      </c>
      <c r="D26" s="317">
        <v>241175208</v>
      </c>
      <c r="E26" s="18">
        <v>1140.0999999999999</v>
      </c>
      <c r="F26" s="18">
        <v>1235.0999999999999</v>
      </c>
      <c r="G26" s="18">
        <v>1314.7</v>
      </c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9">
        <f>Q26-E26</f>
        <v>-1140.0999999999999</v>
      </c>
      <c r="AK26" s="382" t="s">
        <v>207</v>
      </c>
      <c r="AL26" s="290">
        <f>(AL6+AL8+AL12+AL14+AL18+AL54+AL56+AL58+AL60+AL62)/9</f>
        <v>0.32294621570820509</v>
      </c>
      <c r="AM26" s="290">
        <f t="shared" ref="AM26:AX26" si="20">(AM6+AM8+AM12+AM14+AM18+AM54+AM56+AM58+AM60+AM62)/9</f>
        <v>0.32407051362014777</v>
      </c>
      <c r="AN26" s="290">
        <f t="shared" si="20"/>
        <v>0.31092872038904651</v>
      </c>
      <c r="AO26" s="290" t="e">
        <f t="shared" si="20"/>
        <v>#DIV/0!</v>
      </c>
      <c r="AP26" s="290" t="e">
        <f t="shared" si="20"/>
        <v>#DIV/0!</v>
      </c>
      <c r="AQ26" s="290" t="e">
        <f t="shared" si="20"/>
        <v>#DIV/0!</v>
      </c>
      <c r="AR26" s="290" t="e">
        <f t="shared" si="20"/>
        <v>#DIV/0!</v>
      </c>
      <c r="AS26" s="290" t="e">
        <f t="shared" si="20"/>
        <v>#DIV/0!</v>
      </c>
      <c r="AT26" s="291" t="e">
        <f>(AT6+AT8+AT12+AT14+AT18+AT56+AT58+AT60+AT62)/8</f>
        <v>#DIV/0!</v>
      </c>
      <c r="AU26" s="291" t="e">
        <f>(AU6+AU8+AU12+AU14+AU18+AU56+AU58+AU60+AU62)/8</f>
        <v>#DIV/0!</v>
      </c>
      <c r="AV26" s="291" t="e">
        <f>(AV6+AV8+AV12+AV14+AV18+AV56+AV58+AV60+AV62)/8</f>
        <v>#DIV/0!</v>
      </c>
      <c r="AW26" s="291" t="e">
        <f>(AW6+AW8+AW12+AW14+AW18+AW56+AW58+AW60+AW62)/8</f>
        <v>#DIV/0!</v>
      </c>
      <c r="AX26" s="290" t="e">
        <f t="shared" si="20"/>
        <v>#DIV/0!</v>
      </c>
      <c r="BA26" s="246" t="s">
        <v>204</v>
      </c>
      <c r="BG26" s="382" t="s">
        <v>207</v>
      </c>
      <c r="BH26" s="242" t="e">
        <f>(BH6+BH8+BH12+BH14+BH18+BH54+BH56+BH58+BH60+BH62)/10</f>
        <v>#DIV/0!</v>
      </c>
      <c r="BI26" s="242" t="e">
        <f t="shared" ref="BI26:BT26" si="21">(BI6+BI8+BI12+BI14+BI18+BI54+BI56+BI58+BI60+BI62)/10</f>
        <v>#DIV/0!</v>
      </c>
      <c r="BJ26" s="242" t="e">
        <f t="shared" si="21"/>
        <v>#DIV/0!</v>
      </c>
      <c r="BK26" s="242" t="e">
        <f t="shared" si="21"/>
        <v>#DIV/0!</v>
      </c>
      <c r="BL26" s="242" t="e">
        <f t="shared" si="21"/>
        <v>#DIV/0!</v>
      </c>
      <c r="BM26" s="242" t="e">
        <f t="shared" si="21"/>
        <v>#DIV/0!</v>
      </c>
      <c r="BN26" s="242" t="e">
        <f t="shared" si="21"/>
        <v>#DIV/0!</v>
      </c>
      <c r="BO26" s="242" t="e">
        <f t="shared" si="21"/>
        <v>#DIV/0!</v>
      </c>
      <c r="BP26" s="242" t="e">
        <f t="shared" si="21"/>
        <v>#DIV/0!</v>
      </c>
      <c r="BQ26" s="242" t="e">
        <f t="shared" si="21"/>
        <v>#DIV/0!</v>
      </c>
      <c r="BR26" s="242" t="e">
        <f t="shared" si="21"/>
        <v>#DIV/0!</v>
      </c>
      <c r="BS26" s="242" t="e">
        <f t="shared" si="21"/>
        <v>#DIV/0!</v>
      </c>
      <c r="BT26" s="242">
        <f t="shared" si="21"/>
        <v>0</v>
      </c>
    </row>
    <row r="27" spans="1:72" x14ac:dyDescent="0.35">
      <c r="A27"/>
      <c r="B27" s="119"/>
      <c r="C27" s="10" t="s">
        <v>215</v>
      </c>
      <c r="D27" s="313"/>
      <c r="E27" s="19">
        <v>570.14</v>
      </c>
      <c r="F27" s="19">
        <v>622.34</v>
      </c>
      <c r="G27" s="19">
        <v>655.85</v>
      </c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9"/>
      <c r="S27" s="9">
        <f>(Q27-E27)</f>
        <v>-570.14</v>
      </c>
      <c r="T27" t="s">
        <v>78</v>
      </c>
      <c r="AK27" s="383"/>
      <c r="BG27" s="383"/>
    </row>
    <row r="28" spans="1:72" ht="15" thickBot="1" x14ac:dyDescent="0.4">
      <c r="A28"/>
      <c r="B28" s="4"/>
      <c r="C28" s="26" t="s">
        <v>16</v>
      </c>
      <c r="D28" s="318"/>
      <c r="E28" s="21">
        <v>7626</v>
      </c>
      <c r="F28" s="21">
        <v>8105</v>
      </c>
      <c r="G28" s="21">
        <v>8416</v>
      </c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9"/>
      <c r="S28" s="16">
        <f>Q28-E28</f>
        <v>-7626</v>
      </c>
      <c r="T28" t="s">
        <v>79</v>
      </c>
      <c r="AK28" s="383"/>
      <c r="BG28" s="383"/>
    </row>
    <row r="29" spans="1:72" ht="15" thickBot="1" x14ac:dyDescent="0.4">
      <c r="A29"/>
      <c r="B29" s="114" t="str">
        <f>'1850'!A29</f>
        <v xml:space="preserve">fakturační vodoměr č.         </v>
      </c>
      <c r="C29" s="22"/>
      <c r="D29" s="319">
        <f>'1850'!C29</f>
        <v>63796</v>
      </c>
      <c r="E29" s="82">
        <f>'1850'!D29</f>
        <v>65454</v>
      </c>
      <c r="F29" s="82">
        <f>'1850'!E29</f>
        <v>65848.899999999994</v>
      </c>
      <c r="G29" s="82">
        <f>'1850'!F29</f>
        <v>66193.7</v>
      </c>
      <c r="H29" s="82">
        <f>'1850'!G29</f>
        <v>0</v>
      </c>
      <c r="I29" s="82">
        <f>'1850'!H29</f>
        <v>0</v>
      </c>
      <c r="J29" s="82">
        <f>'1850'!I29</f>
        <v>0</v>
      </c>
      <c r="K29" s="82">
        <f>'1850'!J29</f>
        <v>0</v>
      </c>
      <c r="L29" s="82">
        <f>'1850'!K29</f>
        <v>0</v>
      </c>
      <c r="M29" s="82">
        <f>'1850'!L29</f>
        <v>0</v>
      </c>
      <c r="N29" s="82">
        <f>'1850'!M29</f>
        <v>0</v>
      </c>
      <c r="O29" s="82">
        <f>'1850'!N29</f>
        <v>0</v>
      </c>
      <c r="P29" s="82">
        <f>'1850'!O29</f>
        <v>0</v>
      </c>
      <c r="Q29" s="82">
        <f>'1850'!P29</f>
        <v>0</v>
      </c>
      <c r="R29" s="9">
        <f>Q29-E29</f>
        <v>-65454</v>
      </c>
      <c r="W29" t="s">
        <v>110</v>
      </c>
    </row>
    <row r="30" spans="1:72" ht="3.75" customHeight="1" x14ac:dyDescent="0.35">
      <c r="A30"/>
      <c r="B30"/>
    </row>
    <row r="31" spans="1:72" ht="15" thickBot="1" x14ac:dyDescent="0.4">
      <c r="A31"/>
      <c r="F31" s="25"/>
      <c r="V31" s="1" t="s">
        <v>104</v>
      </c>
      <c r="W31" s="4" t="s">
        <v>4</v>
      </c>
      <c r="X31" s="4" t="s">
        <v>5</v>
      </c>
      <c r="Y31" s="4" t="s">
        <v>6</v>
      </c>
      <c r="Z31" s="4" t="s">
        <v>7</v>
      </c>
      <c r="AA31" s="4" t="s">
        <v>8</v>
      </c>
      <c r="AB31" s="4" t="s">
        <v>9</v>
      </c>
      <c r="AC31" s="4" t="s">
        <v>10</v>
      </c>
      <c r="AD31" s="4" t="s">
        <v>11</v>
      </c>
      <c r="AE31" s="4" t="s">
        <v>12</v>
      </c>
      <c r="AF31" s="4" t="s">
        <v>13</v>
      </c>
      <c r="AG31" s="4" t="s">
        <v>14</v>
      </c>
      <c r="AH31" s="4" t="s">
        <v>3</v>
      </c>
    </row>
    <row r="32" spans="1:72" ht="3.75" customHeight="1" thickBot="1" x14ac:dyDescent="0.4">
      <c r="A32"/>
      <c r="B32"/>
    </row>
    <row r="33" spans="1:50" x14ac:dyDescent="0.35">
      <c r="A33" s="107">
        <v>3</v>
      </c>
      <c r="B33" s="84" t="s">
        <v>73</v>
      </c>
      <c r="C33" s="320" t="s">
        <v>251</v>
      </c>
      <c r="D33" s="323">
        <v>241010630</v>
      </c>
      <c r="E33" s="321">
        <v>21.355</v>
      </c>
      <c r="F33" s="7">
        <v>21.355</v>
      </c>
      <c r="G33" s="7">
        <v>21.356999999999999</v>
      </c>
      <c r="H33" s="7"/>
      <c r="I33" s="7"/>
      <c r="J33" s="7"/>
      <c r="K33" s="7"/>
      <c r="L33" s="7"/>
      <c r="M33" s="7"/>
      <c r="N33" s="8"/>
      <c r="O33" s="7"/>
      <c r="P33" s="7"/>
      <c r="Q33" s="7"/>
      <c r="R33" s="9">
        <f>Q33-E33</f>
        <v>-21.355</v>
      </c>
      <c r="V33" s="120">
        <v>3</v>
      </c>
      <c r="W33" s="109">
        <f t="shared" ref="W33:AH37" si="22">F33-E33</f>
        <v>0</v>
      </c>
      <c r="X33" s="109">
        <f t="shared" si="22"/>
        <v>1.9999999999988916E-3</v>
      </c>
      <c r="Y33" s="109">
        <f t="shared" si="22"/>
        <v>-21.356999999999999</v>
      </c>
      <c r="Z33" s="109">
        <f t="shared" si="22"/>
        <v>0</v>
      </c>
      <c r="AA33" s="109">
        <f t="shared" si="22"/>
        <v>0</v>
      </c>
      <c r="AB33" s="109">
        <f t="shared" si="22"/>
        <v>0</v>
      </c>
      <c r="AC33" s="109">
        <f t="shared" si="22"/>
        <v>0</v>
      </c>
      <c r="AD33" s="109">
        <f t="shared" si="22"/>
        <v>0</v>
      </c>
      <c r="AE33" s="109">
        <f t="shared" si="22"/>
        <v>0</v>
      </c>
      <c r="AF33" s="109">
        <f t="shared" si="22"/>
        <v>0</v>
      </c>
      <c r="AG33" s="109">
        <f t="shared" si="22"/>
        <v>0</v>
      </c>
      <c r="AH33" s="109">
        <f t="shared" si="22"/>
        <v>0</v>
      </c>
      <c r="AI33" s="9"/>
    </row>
    <row r="34" spans="1:50" x14ac:dyDescent="0.35">
      <c r="A34" s="107">
        <v>6</v>
      </c>
      <c r="B34" s="84" t="s">
        <v>74</v>
      </c>
      <c r="C34" s="10" t="s">
        <v>251</v>
      </c>
      <c r="D34" s="324">
        <v>241010640</v>
      </c>
      <c r="E34" s="322">
        <v>20.181000000000001</v>
      </c>
      <c r="F34" s="11">
        <v>21.36</v>
      </c>
      <c r="G34" s="11">
        <v>22.634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9">
        <f>Q34-E34</f>
        <v>-20.181000000000001</v>
      </c>
      <c r="V34" s="120">
        <v>6</v>
      </c>
      <c r="W34" s="109">
        <f t="shared" si="22"/>
        <v>1.1789999999999985</v>
      </c>
      <c r="X34" s="109">
        <f t="shared" si="22"/>
        <v>1.2740000000000009</v>
      </c>
      <c r="Y34" s="109">
        <f t="shared" si="22"/>
        <v>-22.634</v>
      </c>
      <c r="Z34" s="109">
        <f t="shared" si="22"/>
        <v>0</v>
      </c>
      <c r="AA34" s="109">
        <f t="shared" si="22"/>
        <v>0</v>
      </c>
      <c r="AB34" s="109">
        <f t="shared" si="22"/>
        <v>0</v>
      </c>
      <c r="AC34" s="109">
        <f t="shared" si="22"/>
        <v>0</v>
      </c>
      <c r="AD34" s="109">
        <f t="shared" si="22"/>
        <v>0</v>
      </c>
      <c r="AE34" s="109">
        <f t="shared" si="22"/>
        <v>0</v>
      </c>
      <c r="AF34" s="109">
        <f t="shared" si="22"/>
        <v>0</v>
      </c>
      <c r="AG34" s="109">
        <f t="shared" si="22"/>
        <v>0</v>
      </c>
      <c r="AH34" s="109">
        <f t="shared" si="22"/>
        <v>0</v>
      </c>
      <c r="AI34" s="9"/>
    </row>
    <row r="35" spans="1:50" x14ac:dyDescent="0.35">
      <c r="A35" s="107">
        <v>8</v>
      </c>
      <c r="B35" s="84" t="s">
        <v>75</v>
      </c>
      <c r="C35" s="10" t="s">
        <v>251</v>
      </c>
      <c r="D35" s="324">
        <v>241010650</v>
      </c>
      <c r="E35" s="322">
        <v>61.994999999999997</v>
      </c>
      <c r="F35" s="11">
        <v>67.914000000000001</v>
      </c>
      <c r="G35" s="11">
        <v>72.66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9">
        <f>Q35-E35</f>
        <v>-61.994999999999997</v>
      </c>
      <c r="V35" s="120">
        <v>8</v>
      </c>
      <c r="W35" s="109">
        <f t="shared" si="22"/>
        <v>5.919000000000004</v>
      </c>
      <c r="X35" s="109">
        <f t="shared" si="22"/>
        <v>4.7459999999999951</v>
      </c>
      <c r="Y35" s="109">
        <f t="shared" si="22"/>
        <v>-72.66</v>
      </c>
      <c r="Z35" s="109">
        <f t="shared" si="22"/>
        <v>0</v>
      </c>
      <c r="AA35" s="109">
        <f t="shared" si="22"/>
        <v>0</v>
      </c>
      <c r="AB35" s="109">
        <f t="shared" si="22"/>
        <v>0</v>
      </c>
      <c r="AC35" s="109">
        <f t="shared" si="22"/>
        <v>0</v>
      </c>
      <c r="AD35" s="109">
        <f t="shared" si="22"/>
        <v>0</v>
      </c>
      <c r="AE35" s="109">
        <f t="shared" si="22"/>
        <v>0</v>
      </c>
      <c r="AF35" s="109">
        <f t="shared" si="22"/>
        <v>0</v>
      </c>
      <c r="AG35" s="109">
        <f t="shared" si="22"/>
        <v>0</v>
      </c>
      <c r="AH35" s="109">
        <f t="shared" si="22"/>
        <v>0</v>
      </c>
      <c r="AI35" s="9"/>
    </row>
    <row r="36" spans="1:50" x14ac:dyDescent="0.35">
      <c r="A36" s="107">
        <v>11</v>
      </c>
      <c r="B36" s="84" t="s">
        <v>76</v>
      </c>
      <c r="C36" s="10" t="s">
        <v>252</v>
      </c>
      <c r="D36" s="324">
        <v>241010639</v>
      </c>
      <c r="E36" s="322">
        <v>24.088000000000001</v>
      </c>
      <c r="F36" s="11">
        <v>27.97</v>
      </c>
      <c r="G36" s="11">
        <v>29.992000000000001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9">
        <f>Q36-E36</f>
        <v>-24.088000000000001</v>
      </c>
      <c r="V36" s="120">
        <v>11</v>
      </c>
      <c r="W36" s="109">
        <f t="shared" si="22"/>
        <v>3.8819999999999979</v>
      </c>
      <c r="X36" s="109">
        <f t="shared" si="22"/>
        <v>2.022000000000002</v>
      </c>
      <c r="Y36" s="109">
        <f t="shared" si="22"/>
        <v>-29.992000000000001</v>
      </c>
      <c r="Z36" s="109">
        <f t="shared" si="22"/>
        <v>0</v>
      </c>
      <c r="AA36" s="109">
        <f t="shared" si="22"/>
        <v>0</v>
      </c>
      <c r="AB36" s="109">
        <f t="shared" si="22"/>
        <v>0</v>
      </c>
      <c r="AC36" s="109">
        <f t="shared" si="22"/>
        <v>0</v>
      </c>
      <c r="AD36" s="109">
        <f t="shared" si="22"/>
        <v>0</v>
      </c>
      <c r="AE36" s="109">
        <f t="shared" si="22"/>
        <v>0</v>
      </c>
      <c r="AF36" s="109">
        <f t="shared" si="22"/>
        <v>0</v>
      </c>
      <c r="AG36" s="109">
        <f t="shared" si="22"/>
        <v>0</v>
      </c>
      <c r="AH36" s="109">
        <f t="shared" si="22"/>
        <v>0</v>
      </c>
      <c r="AI36" s="9"/>
    </row>
    <row r="37" spans="1:50" ht="15" thickBot="1" x14ac:dyDescent="0.4">
      <c r="A37" s="107">
        <v>12</v>
      </c>
      <c r="B37" s="84" t="s">
        <v>77</v>
      </c>
      <c r="C37" s="282" t="s">
        <v>251</v>
      </c>
      <c r="D37" s="325">
        <v>241010641</v>
      </c>
      <c r="E37" s="322">
        <v>22.68</v>
      </c>
      <c r="F37" s="11">
        <v>23.050999999999998</v>
      </c>
      <c r="G37" s="11">
        <v>23.504999999999999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9">
        <f>Q37-E37</f>
        <v>-22.68</v>
      </c>
      <c r="V37" s="120">
        <v>12</v>
      </c>
      <c r="W37" s="109">
        <f t="shared" si="22"/>
        <v>0.37099999999999866</v>
      </c>
      <c r="X37" s="109">
        <f t="shared" si="22"/>
        <v>0.45400000000000063</v>
      </c>
      <c r="Y37" s="109">
        <f t="shared" si="22"/>
        <v>-23.504999999999999</v>
      </c>
      <c r="Z37" s="109">
        <f t="shared" si="22"/>
        <v>0</v>
      </c>
      <c r="AA37" s="109">
        <f t="shared" si="22"/>
        <v>0</v>
      </c>
      <c r="AB37" s="109">
        <f t="shared" si="22"/>
        <v>0</v>
      </c>
      <c r="AC37" s="109">
        <f t="shared" si="22"/>
        <v>0</v>
      </c>
      <c r="AD37" s="109">
        <f t="shared" si="22"/>
        <v>0</v>
      </c>
      <c r="AE37" s="109">
        <f t="shared" si="22"/>
        <v>0</v>
      </c>
      <c r="AF37" s="109">
        <f t="shared" si="22"/>
        <v>0</v>
      </c>
      <c r="AG37" s="109">
        <f t="shared" si="22"/>
        <v>0</v>
      </c>
      <c r="AH37" s="109">
        <f t="shared" si="22"/>
        <v>0</v>
      </c>
      <c r="AI37" s="9"/>
    </row>
    <row r="38" spans="1:50" x14ac:dyDescent="0.35">
      <c r="A38"/>
      <c r="B38"/>
    </row>
    <row r="39" spans="1:50" ht="15" thickBot="1" x14ac:dyDescent="0.4">
      <c r="A39"/>
      <c r="B39"/>
      <c r="C39" t="s">
        <v>24</v>
      </c>
      <c r="W39" t="s">
        <v>111</v>
      </c>
    </row>
    <row r="40" spans="1:50" x14ac:dyDescent="0.35">
      <c r="A40" s="117">
        <v>2</v>
      </c>
      <c r="B40" s="83">
        <v>2</v>
      </c>
      <c r="C40" s="326" t="s">
        <v>253</v>
      </c>
      <c r="D40" s="330">
        <v>240093441</v>
      </c>
      <c r="E40" s="329">
        <v>40.052</v>
      </c>
      <c r="F40" s="8">
        <v>43.591000000000001</v>
      </c>
      <c r="G40" s="8">
        <v>47.158999999999999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9">
        <f t="shared" ref="R40:R49" si="23">Q40-E40</f>
        <v>-40.052</v>
      </c>
      <c r="V40" s="120">
        <v>2</v>
      </c>
      <c r="W40" s="109">
        <f t="shared" ref="W40:AH49" si="24">F40-E40</f>
        <v>3.5390000000000015</v>
      </c>
      <c r="X40" s="109">
        <f t="shared" si="24"/>
        <v>3.5679999999999978</v>
      </c>
      <c r="Y40" s="109">
        <f t="shared" si="24"/>
        <v>-47.158999999999999</v>
      </c>
      <c r="Z40" s="109">
        <f t="shared" si="24"/>
        <v>0</v>
      </c>
      <c r="AA40" s="109">
        <f t="shared" si="24"/>
        <v>0</v>
      </c>
      <c r="AB40" s="109">
        <f t="shared" si="24"/>
        <v>0</v>
      </c>
      <c r="AC40" s="109">
        <f t="shared" si="24"/>
        <v>0</v>
      </c>
      <c r="AD40" s="109">
        <f t="shared" si="24"/>
        <v>0</v>
      </c>
      <c r="AE40" s="109">
        <f t="shared" si="24"/>
        <v>0</v>
      </c>
      <c r="AF40" s="109">
        <f t="shared" si="24"/>
        <v>0</v>
      </c>
      <c r="AG40" s="109">
        <f t="shared" si="24"/>
        <v>0</v>
      </c>
      <c r="AH40" s="109">
        <f t="shared" si="24"/>
        <v>0</v>
      </c>
      <c r="AI40" s="9"/>
    </row>
    <row r="41" spans="1:50" x14ac:dyDescent="0.35">
      <c r="A41" s="117">
        <v>3</v>
      </c>
      <c r="B41" s="83" t="s">
        <v>73</v>
      </c>
      <c r="C41" s="327" t="s">
        <v>253</v>
      </c>
      <c r="D41" s="324">
        <v>240093452</v>
      </c>
      <c r="E41" s="322">
        <v>12.202999999999999</v>
      </c>
      <c r="F41" s="11">
        <v>12.204000000000001</v>
      </c>
      <c r="G41" s="11">
        <v>12.205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9">
        <f t="shared" si="23"/>
        <v>-12.202999999999999</v>
      </c>
      <c r="V41" s="120">
        <v>3</v>
      </c>
      <c r="W41" s="109">
        <f t="shared" si="24"/>
        <v>1.0000000000012221E-3</v>
      </c>
      <c r="X41" s="109">
        <f t="shared" si="24"/>
        <v>9.9999999999944578E-4</v>
      </c>
      <c r="Y41" s="109">
        <f t="shared" si="24"/>
        <v>-12.205</v>
      </c>
      <c r="Z41" s="109">
        <f t="shared" si="24"/>
        <v>0</v>
      </c>
      <c r="AA41" s="109">
        <f t="shared" si="24"/>
        <v>0</v>
      </c>
      <c r="AB41" s="109">
        <f t="shared" si="24"/>
        <v>0</v>
      </c>
      <c r="AC41" s="109">
        <f t="shared" si="24"/>
        <v>0</v>
      </c>
      <c r="AD41" s="109">
        <f t="shared" si="24"/>
        <v>0</v>
      </c>
      <c r="AE41" s="109">
        <f t="shared" si="24"/>
        <v>0</v>
      </c>
      <c r="AF41" s="109">
        <f t="shared" si="24"/>
        <v>0</v>
      </c>
      <c r="AG41" s="109">
        <f t="shared" si="24"/>
        <v>0</v>
      </c>
      <c r="AH41" s="109">
        <f t="shared" si="24"/>
        <v>0</v>
      </c>
      <c r="AI41" s="9"/>
    </row>
    <row r="42" spans="1:50" x14ac:dyDescent="0.35">
      <c r="A42" s="117">
        <v>5</v>
      </c>
      <c r="B42" s="83">
        <v>3</v>
      </c>
      <c r="C42" s="327" t="s">
        <v>253</v>
      </c>
      <c r="D42" s="324">
        <v>240093448</v>
      </c>
      <c r="E42" s="322">
        <v>4.9359999999999999</v>
      </c>
      <c r="F42" s="11">
        <v>5.3579999999999997</v>
      </c>
      <c r="G42" s="11">
        <v>5.7590000000000003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9">
        <f t="shared" si="23"/>
        <v>-4.9359999999999999</v>
      </c>
      <c r="V42" s="120">
        <v>5</v>
      </c>
      <c r="W42" s="109">
        <f t="shared" si="24"/>
        <v>0.42199999999999971</v>
      </c>
      <c r="X42" s="109">
        <f t="shared" si="24"/>
        <v>0.40100000000000069</v>
      </c>
      <c r="Y42" s="109">
        <f t="shared" si="24"/>
        <v>-5.7590000000000003</v>
      </c>
      <c r="Z42" s="109">
        <f t="shared" si="24"/>
        <v>0</v>
      </c>
      <c r="AA42" s="109">
        <f t="shared" si="24"/>
        <v>0</v>
      </c>
      <c r="AB42" s="109">
        <f t="shared" si="24"/>
        <v>0</v>
      </c>
      <c r="AC42" s="109">
        <f t="shared" si="24"/>
        <v>0</v>
      </c>
      <c r="AD42" s="109">
        <f t="shared" si="24"/>
        <v>0</v>
      </c>
      <c r="AE42" s="109">
        <f t="shared" si="24"/>
        <v>0</v>
      </c>
      <c r="AF42" s="109">
        <f t="shared" si="24"/>
        <v>0</v>
      </c>
      <c r="AG42" s="109">
        <f t="shared" si="24"/>
        <v>0</v>
      </c>
      <c r="AH42" s="109">
        <f t="shared" si="24"/>
        <v>0</v>
      </c>
      <c r="AI42" s="9"/>
    </row>
    <row r="43" spans="1:50" x14ac:dyDescent="0.35">
      <c r="A43" s="117">
        <v>6</v>
      </c>
      <c r="B43" s="83" t="s">
        <v>74</v>
      </c>
      <c r="C43" s="327" t="s">
        <v>253</v>
      </c>
      <c r="D43" s="324">
        <v>240093431</v>
      </c>
      <c r="E43" s="322">
        <v>14.064</v>
      </c>
      <c r="F43" s="11">
        <v>15.25</v>
      </c>
      <c r="G43" s="11">
        <v>16.664000000000001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9">
        <f t="shared" si="23"/>
        <v>-14.064</v>
      </c>
      <c r="V43" s="120">
        <v>6</v>
      </c>
      <c r="W43" s="109">
        <f t="shared" si="24"/>
        <v>1.1859999999999999</v>
      </c>
      <c r="X43" s="109">
        <f t="shared" si="24"/>
        <v>1.4140000000000015</v>
      </c>
      <c r="Y43" s="109">
        <f t="shared" si="24"/>
        <v>-16.664000000000001</v>
      </c>
      <c r="Z43" s="109">
        <f t="shared" si="24"/>
        <v>0</v>
      </c>
      <c r="AA43" s="109">
        <f t="shared" si="24"/>
        <v>0</v>
      </c>
      <c r="AB43" s="109">
        <f t="shared" si="24"/>
        <v>0</v>
      </c>
      <c r="AC43" s="109">
        <f t="shared" si="24"/>
        <v>0</v>
      </c>
      <c r="AD43" s="109">
        <f t="shared" si="24"/>
        <v>0</v>
      </c>
      <c r="AE43" s="109">
        <f t="shared" si="24"/>
        <v>0</v>
      </c>
      <c r="AF43" s="109">
        <f t="shared" si="24"/>
        <v>0</v>
      </c>
      <c r="AG43" s="109">
        <f t="shared" si="24"/>
        <v>0</v>
      </c>
      <c r="AH43" s="109">
        <f t="shared" si="24"/>
        <v>0</v>
      </c>
      <c r="AI43" s="9"/>
    </row>
    <row r="44" spans="1:50" x14ac:dyDescent="0.35">
      <c r="A44" s="117">
        <v>9</v>
      </c>
      <c r="B44" s="83">
        <v>5</v>
      </c>
      <c r="C44" s="327" t="s">
        <v>253</v>
      </c>
      <c r="D44" s="324">
        <v>240093433</v>
      </c>
      <c r="E44" s="322">
        <v>1.3740000000000001</v>
      </c>
      <c r="F44" s="11">
        <v>1.4</v>
      </c>
      <c r="G44" s="11">
        <v>1.4039999999999999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9">
        <f t="shared" si="23"/>
        <v>-1.3740000000000001</v>
      </c>
      <c r="V44" s="120">
        <v>9</v>
      </c>
      <c r="W44" s="109">
        <f t="shared" si="24"/>
        <v>2.5999999999999801E-2</v>
      </c>
      <c r="X44" s="109">
        <f t="shared" si="24"/>
        <v>4.0000000000000036E-3</v>
      </c>
      <c r="Y44" s="109">
        <f t="shared" si="24"/>
        <v>-1.4039999999999999</v>
      </c>
      <c r="Z44" s="109">
        <f t="shared" si="24"/>
        <v>0</v>
      </c>
      <c r="AA44" s="109">
        <f t="shared" si="24"/>
        <v>0</v>
      </c>
      <c r="AB44" s="109">
        <f t="shared" si="24"/>
        <v>0</v>
      </c>
      <c r="AC44" s="109">
        <f t="shared" si="24"/>
        <v>0</v>
      </c>
      <c r="AD44" s="109">
        <f t="shared" si="24"/>
        <v>0</v>
      </c>
      <c r="AE44" s="109">
        <f t="shared" si="24"/>
        <v>0</v>
      </c>
      <c r="AF44" s="109">
        <f t="shared" si="24"/>
        <v>0</v>
      </c>
      <c r="AG44" s="109">
        <f t="shared" si="24"/>
        <v>0</v>
      </c>
      <c r="AH44" s="109">
        <f t="shared" si="24"/>
        <v>0</v>
      </c>
      <c r="AI44" s="9"/>
    </row>
    <row r="45" spans="1:50" x14ac:dyDescent="0.35">
      <c r="A45" s="117">
        <v>8</v>
      </c>
      <c r="B45" s="83" t="s">
        <v>75</v>
      </c>
      <c r="C45" s="327" t="s">
        <v>253</v>
      </c>
      <c r="D45" s="324">
        <v>240093446</v>
      </c>
      <c r="E45" s="322">
        <v>29.33</v>
      </c>
      <c r="F45" s="11">
        <v>32.411999999999999</v>
      </c>
      <c r="G45" s="11">
        <v>35.023000000000003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9">
        <f t="shared" si="23"/>
        <v>-29.33</v>
      </c>
      <c r="V45" s="120">
        <v>8</v>
      </c>
      <c r="W45" s="109">
        <f t="shared" si="24"/>
        <v>3.0820000000000007</v>
      </c>
      <c r="X45" s="109">
        <f t="shared" si="24"/>
        <v>2.6110000000000042</v>
      </c>
      <c r="Y45" s="109">
        <f t="shared" si="24"/>
        <v>-35.023000000000003</v>
      </c>
      <c r="Z45" s="109">
        <f t="shared" si="24"/>
        <v>0</v>
      </c>
      <c r="AA45" s="109">
        <f t="shared" si="24"/>
        <v>0</v>
      </c>
      <c r="AB45" s="109">
        <f t="shared" si="24"/>
        <v>0</v>
      </c>
      <c r="AC45" s="109">
        <f t="shared" si="24"/>
        <v>0</v>
      </c>
      <c r="AD45" s="109">
        <f t="shared" si="24"/>
        <v>0</v>
      </c>
      <c r="AE45" s="109">
        <f t="shared" si="24"/>
        <v>0</v>
      </c>
      <c r="AF45" s="109">
        <f t="shared" si="24"/>
        <v>0</v>
      </c>
      <c r="AG45" s="109">
        <f t="shared" si="24"/>
        <v>0</v>
      </c>
      <c r="AH45" s="109">
        <f t="shared" si="24"/>
        <v>0</v>
      </c>
      <c r="AI45" s="9"/>
      <c r="AL45" s="238" t="s">
        <v>208</v>
      </c>
    </row>
    <row r="46" spans="1:50" x14ac:dyDescent="0.35">
      <c r="A46" s="117">
        <v>15</v>
      </c>
      <c r="B46" s="83">
        <v>6</v>
      </c>
      <c r="C46" s="327" t="s">
        <v>253</v>
      </c>
      <c r="D46" s="324">
        <v>240093449</v>
      </c>
      <c r="E46" s="322">
        <v>16.875</v>
      </c>
      <c r="F46" s="11">
        <v>18.382000000000001</v>
      </c>
      <c r="G46" s="11">
        <v>19.417999999999999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9">
        <f t="shared" si="23"/>
        <v>-16.875</v>
      </c>
      <c r="V46" s="120">
        <v>15</v>
      </c>
      <c r="W46" s="109">
        <f t="shared" si="24"/>
        <v>1.5070000000000014</v>
      </c>
      <c r="X46" s="109">
        <f t="shared" si="24"/>
        <v>1.0359999999999978</v>
      </c>
      <c r="Y46" s="109">
        <f t="shared" si="24"/>
        <v>-19.417999999999999</v>
      </c>
      <c r="Z46" s="109">
        <f t="shared" si="24"/>
        <v>0</v>
      </c>
      <c r="AA46" s="109">
        <f t="shared" si="24"/>
        <v>0</v>
      </c>
      <c r="AB46" s="109">
        <f t="shared" si="24"/>
        <v>0</v>
      </c>
      <c r="AC46" s="109">
        <f t="shared" si="24"/>
        <v>0</v>
      </c>
      <c r="AD46" s="109">
        <f t="shared" si="24"/>
        <v>0</v>
      </c>
      <c r="AE46" s="109">
        <f t="shared" si="24"/>
        <v>0</v>
      </c>
      <c r="AF46" s="109">
        <f t="shared" si="24"/>
        <v>0</v>
      </c>
      <c r="AG46" s="109">
        <f t="shared" si="24"/>
        <v>0</v>
      </c>
      <c r="AH46" s="109">
        <f t="shared" si="24"/>
        <v>0</v>
      </c>
      <c r="AI46" s="9"/>
      <c r="AK46" s="245" t="s">
        <v>193</v>
      </c>
      <c r="AL46" s="231" t="s">
        <v>179</v>
      </c>
      <c r="AM46" s="231" t="s">
        <v>180</v>
      </c>
      <c r="AN46" s="231" t="s">
        <v>181</v>
      </c>
      <c r="AO46" s="231" t="s">
        <v>182</v>
      </c>
      <c r="AP46" s="231" t="s">
        <v>183</v>
      </c>
      <c r="AQ46" s="231" t="s">
        <v>184</v>
      </c>
      <c r="AR46" s="231" t="s">
        <v>185</v>
      </c>
      <c r="AS46" s="231" t="s">
        <v>186</v>
      </c>
      <c r="AT46" s="231" t="s">
        <v>187</v>
      </c>
      <c r="AU46" s="231" t="s">
        <v>188</v>
      </c>
      <c r="AV46" s="231" t="s">
        <v>189</v>
      </c>
      <c r="AW46" s="231" t="s">
        <v>190</v>
      </c>
      <c r="AX46" s="1" t="s">
        <v>191</v>
      </c>
    </row>
    <row r="47" spans="1:50" x14ac:dyDescent="0.35">
      <c r="A47" s="117">
        <v>11</v>
      </c>
      <c r="B47" s="83" t="s">
        <v>76</v>
      </c>
      <c r="C47" s="327" t="s">
        <v>253</v>
      </c>
      <c r="D47" s="324">
        <v>240092369</v>
      </c>
      <c r="E47" s="322">
        <v>11.613</v>
      </c>
      <c r="F47" s="11">
        <v>13.654999999999999</v>
      </c>
      <c r="G47" s="11">
        <v>14.865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9">
        <f t="shared" si="23"/>
        <v>-11.613</v>
      </c>
      <c r="V47" s="120">
        <v>11</v>
      </c>
      <c r="W47" s="109">
        <f t="shared" si="24"/>
        <v>2.0419999999999998</v>
      </c>
      <c r="X47" s="109">
        <f t="shared" si="24"/>
        <v>1.2100000000000009</v>
      </c>
      <c r="Y47" s="109">
        <f t="shared" si="24"/>
        <v>-14.865</v>
      </c>
      <c r="Z47" s="109">
        <f t="shared" si="24"/>
        <v>0</v>
      </c>
      <c r="AA47" s="109">
        <f t="shared" si="24"/>
        <v>0</v>
      </c>
      <c r="AB47" s="109">
        <f t="shared" si="24"/>
        <v>0</v>
      </c>
      <c r="AC47" s="109">
        <f t="shared" si="24"/>
        <v>0</v>
      </c>
      <c r="AD47" s="109">
        <f t="shared" si="24"/>
        <v>0</v>
      </c>
      <c r="AE47" s="109">
        <f t="shared" si="24"/>
        <v>0</v>
      </c>
      <c r="AF47" s="109">
        <f t="shared" si="24"/>
        <v>0</v>
      </c>
      <c r="AG47" s="109">
        <f t="shared" si="24"/>
        <v>0</v>
      </c>
      <c r="AH47" s="109">
        <f t="shared" si="24"/>
        <v>0</v>
      </c>
      <c r="AI47" s="9"/>
      <c r="AK47" s="245" t="s">
        <v>108</v>
      </c>
      <c r="AL47" s="247">
        <f>SUM(W40:W49)</f>
        <v>14.083000000000009</v>
      </c>
      <c r="AM47" s="247">
        <f>SUM(X40:X49)</f>
        <v>12.070000000000002</v>
      </c>
      <c r="AN47" s="247"/>
      <c r="AO47" s="247"/>
      <c r="AP47" s="247"/>
      <c r="AQ47" s="247"/>
      <c r="AR47" s="247"/>
      <c r="AS47" s="247"/>
      <c r="AT47" s="247"/>
      <c r="AU47" s="247"/>
      <c r="AV47" s="247"/>
      <c r="AW47" s="247"/>
      <c r="AX47" s="238">
        <f>(AL47+AM47+AN47+AO47+AP47+AQ47+AR47+AS47+AT47+AU47+AV47+AW47)/12</f>
        <v>2.1794166666666679</v>
      </c>
    </row>
    <row r="48" spans="1:50" x14ac:dyDescent="0.35">
      <c r="A48" s="117">
        <v>13</v>
      </c>
      <c r="B48" s="83">
        <v>8</v>
      </c>
      <c r="C48" s="327" t="s">
        <v>253</v>
      </c>
      <c r="D48" s="324">
        <v>240093432</v>
      </c>
      <c r="E48" s="322">
        <v>20.652999999999999</v>
      </c>
      <c r="F48" s="11">
        <v>22.792000000000002</v>
      </c>
      <c r="G48" s="11">
        <v>24.46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9">
        <f t="shared" si="23"/>
        <v>-20.652999999999999</v>
      </c>
      <c r="V48" s="120">
        <v>13</v>
      </c>
      <c r="W48" s="109">
        <f t="shared" si="24"/>
        <v>2.1390000000000029</v>
      </c>
      <c r="X48" s="109">
        <f t="shared" si="24"/>
        <v>1.6679999999999993</v>
      </c>
      <c r="Y48" s="109">
        <f t="shared" si="24"/>
        <v>-24.46</v>
      </c>
      <c r="Z48" s="109">
        <f t="shared" si="24"/>
        <v>0</v>
      </c>
      <c r="AA48" s="109">
        <f t="shared" si="24"/>
        <v>0</v>
      </c>
      <c r="AB48" s="109">
        <f t="shared" si="24"/>
        <v>0</v>
      </c>
      <c r="AC48" s="109">
        <f t="shared" si="24"/>
        <v>0</v>
      </c>
      <c r="AD48" s="109">
        <f t="shared" si="24"/>
        <v>0</v>
      </c>
      <c r="AE48" s="109">
        <f t="shared" si="24"/>
        <v>0</v>
      </c>
      <c r="AF48" s="109">
        <f t="shared" si="24"/>
        <v>0</v>
      </c>
      <c r="AG48" s="109">
        <f t="shared" si="24"/>
        <v>0</v>
      </c>
      <c r="AH48" s="109">
        <f t="shared" si="24"/>
        <v>0</v>
      </c>
      <c r="AI48" s="9"/>
      <c r="AK48" s="245" t="s">
        <v>114</v>
      </c>
      <c r="AL48" s="220">
        <f>W6+W8+W12+W14+W18+W54+W56+W58+W60+W62</f>
        <v>24.318000000000001</v>
      </c>
      <c r="AM48" s="220">
        <f>X6+X8+X12+X14+X18+X54+X56+X58+X60+X62</f>
        <v>20.077999999999989</v>
      </c>
      <c r="AN48" s="220"/>
      <c r="AO48" s="220"/>
      <c r="AP48" s="220"/>
      <c r="AQ48" s="220"/>
      <c r="AR48" s="220"/>
      <c r="AS48" s="220"/>
      <c r="AT48" s="220"/>
      <c r="AU48" s="220"/>
      <c r="AV48" s="220"/>
      <c r="AW48" s="220"/>
      <c r="AX48" s="238">
        <f>(AL48+AM48+AN48+AO48+AP48+AQ48+AR48+AS48+AT48+AU48+AV48+AW48)/12</f>
        <v>3.6996666666666655</v>
      </c>
    </row>
    <row r="49" spans="1:71" ht="15" thickBot="1" x14ac:dyDescent="0.4">
      <c r="A49" s="117">
        <v>12</v>
      </c>
      <c r="B49" s="83" t="s">
        <v>77</v>
      </c>
      <c r="C49" s="328" t="s">
        <v>253</v>
      </c>
      <c r="D49" s="325">
        <v>240093416</v>
      </c>
      <c r="E49" s="322">
        <v>13.561999999999999</v>
      </c>
      <c r="F49" s="11">
        <v>13.701000000000001</v>
      </c>
      <c r="G49" s="11">
        <v>13.858000000000001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9">
        <f t="shared" si="23"/>
        <v>-13.561999999999999</v>
      </c>
      <c r="V49" s="120">
        <v>12</v>
      </c>
      <c r="W49" s="109">
        <f t="shared" si="24"/>
        <v>0.13900000000000112</v>
      </c>
      <c r="X49" s="109">
        <f t="shared" si="24"/>
        <v>0.15700000000000003</v>
      </c>
      <c r="Y49" s="109">
        <f t="shared" si="24"/>
        <v>-13.858000000000001</v>
      </c>
      <c r="Z49" s="109">
        <f t="shared" si="24"/>
        <v>0</v>
      </c>
      <c r="AA49" s="109">
        <f t="shared" si="24"/>
        <v>0</v>
      </c>
      <c r="AB49" s="109">
        <f t="shared" si="24"/>
        <v>0</v>
      </c>
      <c r="AC49" s="109">
        <f t="shared" si="24"/>
        <v>0</v>
      </c>
      <c r="AD49" s="109">
        <f t="shared" si="24"/>
        <v>0</v>
      </c>
      <c r="AE49" s="109">
        <f t="shared" si="24"/>
        <v>0</v>
      </c>
      <c r="AF49" s="109">
        <f t="shared" si="24"/>
        <v>0</v>
      </c>
      <c r="AG49" s="109">
        <f t="shared" si="24"/>
        <v>0</v>
      </c>
      <c r="AH49" s="109">
        <f t="shared" si="24"/>
        <v>0</v>
      </c>
      <c r="AI49" s="9"/>
    </row>
    <row r="50" spans="1:71" x14ac:dyDescent="0.35">
      <c r="A50"/>
      <c r="B50"/>
      <c r="M50" s="9"/>
      <c r="N50" s="9"/>
      <c r="O50" s="9"/>
    </row>
    <row r="52" spans="1:71" x14ac:dyDescent="0.35">
      <c r="F52" s="25" t="s">
        <v>172</v>
      </c>
      <c r="H52" s="136"/>
      <c r="I52" s="1" t="s">
        <v>169</v>
      </c>
      <c r="J52" s="1" t="s">
        <v>170</v>
      </c>
      <c r="L52" s="254" t="s">
        <v>210</v>
      </c>
      <c r="M52" s="225"/>
      <c r="N52" s="225"/>
      <c r="O52" s="225"/>
      <c r="P52" s="224" t="s">
        <v>166</v>
      </c>
      <c r="Q52" s="255">
        <v>339.11</v>
      </c>
      <c r="R52" s="225" t="s">
        <v>127</v>
      </c>
      <c r="W52" t="s">
        <v>112</v>
      </c>
      <c r="AL52" s="239" t="s">
        <v>205</v>
      </c>
      <c r="AM52" s="240"/>
      <c r="AN52" s="240"/>
      <c r="AO52" s="240"/>
      <c r="AP52" s="240"/>
      <c r="AQ52" s="240"/>
      <c r="AR52" s="240"/>
    </row>
    <row r="53" spans="1:71" ht="15" thickBot="1" x14ac:dyDescent="0.4">
      <c r="C53" s="332"/>
      <c r="D53" s="381">
        <v>5</v>
      </c>
      <c r="E53" s="379" t="s">
        <v>173</v>
      </c>
      <c r="F53" s="380">
        <v>44895</v>
      </c>
      <c r="G53" s="84" t="s">
        <v>115</v>
      </c>
      <c r="H53" s="384">
        <v>190834093</v>
      </c>
      <c r="I53" s="384"/>
      <c r="J53" s="109">
        <v>23.23</v>
      </c>
      <c r="L53" s="254" t="s">
        <v>211</v>
      </c>
      <c r="M53" s="225"/>
      <c r="N53" s="225"/>
      <c r="O53" s="225"/>
      <c r="P53" s="224" t="s">
        <v>166</v>
      </c>
      <c r="Q53" s="255">
        <v>0</v>
      </c>
      <c r="R53" s="254" t="s">
        <v>78</v>
      </c>
      <c r="U53" s="1" t="s">
        <v>104</v>
      </c>
      <c r="V53" s="1" t="s">
        <v>113</v>
      </c>
      <c r="W53" s="4" t="s">
        <v>4</v>
      </c>
      <c r="X53" s="4" t="s">
        <v>5</v>
      </c>
      <c r="Y53" s="4" t="s">
        <v>6</v>
      </c>
      <c r="Z53" s="4" t="s">
        <v>7</v>
      </c>
      <c r="AA53" s="4" t="s">
        <v>8</v>
      </c>
      <c r="AB53" s="4" t="s">
        <v>9</v>
      </c>
      <c r="AC53" s="4" t="s">
        <v>10</v>
      </c>
      <c r="AD53" s="4" t="s">
        <v>11</v>
      </c>
      <c r="AE53" s="4" t="s">
        <v>12</v>
      </c>
      <c r="AF53" s="4" t="s">
        <v>13</v>
      </c>
      <c r="AG53" s="4" t="s">
        <v>14</v>
      </c>
      <c r="AH53" s="4" t="s">
        <v>3</v>
      </c>
      <c r="AL53" s="231" t="s">
        <v>179</v>
      </c>
      <c r="AM53" s="231" t="s">
        <v>180</v>
      </c>
      <c r="AN53" s="231" t="s">
        <v>181</v>
      </c>
      <c r="AO53" s="231" t="s">
        <v>182</v>
      </c>
      <c r="AP53" s="231" t="s">
        <v>183</v>
      </c>
      <c r="AQ53" s="231" t="s">
        <v>184</v>
      </c>
      <c r="AR53" s="231" t="s">
        <v>185</v>
      </c>
      <c r="AS53" s="231" t="s">
        <v>186</v>
      </c>
      <c r="AT53" s="231" t="s">
        <v>187</v>
      </c>
      <c r="AU53" s="231" t="s">
        <v>188</v>
      </c>
      <c r="AV53" s="231" t="s">
        <v>189</v>
      </c>
      <c r="AW53" s="231" t="s">
        <v>190</v>
      </c>
      <c r="AX53" s="1" t="s">
        <v>191</v>
      </c>
      <c r="BG53" s="277" t="s">
        <v>232</v>
      </c>
      <c r="BH53" s="231" t="s">
        <v>179</v>
      </c>
      <c r="BI53" s="231" t="s">
        <v>180</v>
      </c>
      <c r="BJ53" s="231" t="s">
        <v>181</v>
      </c>
      <c r="BK53" s="231" t="s">
        <v>182</v>
      </c>
      <c r="BL53" s="231" t="s">
        <v>183</v>
      </c>
      <c r="BM53" s="231" t="s">
        <v>184</v>
      </c>
      <c r="BN53" s="231" t="s">
        <v>185</v>
      </c>
      <c r="BO53" s="231" t="s">
        <v>186</v>
      </c>
      <c r="BP53" s="231" t="s">
        <v>187</v>
      </c>
      <c r="BQ53" s="231" t="s">
        <v>188</v>
      </c>
      <c r="BR53" s="231" t="s">
        <v>189</v>
      </c>
      <c r="BS53" s="231" t="s">
        <v>190</v>
      </c>
    </row>
    <row r="54" spans="1:71" x14ac:dyDescent="0.35">
      <c r="C54" s="332"/>
      <c r="D54" s="381"/>
      <c r="E54" s="379"/>
      <c r="F54" s="380"/>
      <c r="G54" s="84" t="s">
        <v>116</v>
      </c>
      <c r="H54" s="384">
        <v>221525378</v>
      </c>
      <c r="I54" s="384"/>
      <c r="J54" s="109">
        <v>0.02</v>
      </c>
      <c r="U54" s="373">
        <v>3</v>
      </c>
      <c r="V54" s="150" t="s">
        <v>114</v>
      </c>
      <c r="W54" s="109">
        <f t="shared" ref="W54:AH54" si="25">W33</f>
        <v>0</v>
      </c>
      <c r="X54" s="109">
        <f t="shared" si="25"/>
        <v>1.9999999999988916E-3</v>
      </c>
      <c r="Y54" s="109">
        <f t="shared" si="25"/>
        <v>-21.356999999999999</v>
      </c>
      <c r="Z54" s="109">
        <f t="shared" si="25"/>
        <v>0</v>
      </c>
      <c r="AA54" s="109">
        <f t="shared" si="25"/>
        <v>0</v>
      </c>
      <c r="AB54" s="109">
        <f t="shared" si="25"/>
        <v>0</v>
      </c>
      <c r="AC54" s="109">
        <f t="shared" si="25"/>
        <v>0</v>
      </c>
      <c r="AD54" s="109">
        <f t="shared" si="25"/>
        <v>0</v>
      </c>
      <c r="AE54" s="109">
        <f t="shared" si="25"/>
        <v>0</v>
      </c>
      <c r="AF54" s="109">
        <f t="shared" si="25"/>
        <v>0</v>
      </c>
      <c r="AG54" s="109">
        <f t="shared" si="25"/>
        <v>0</v>
      </c>
      <c r="AH54" s="109">
        <f t="shared" si="25"/>
        <v>0</v>
      </c>
      <c r="AI54" s="9"/>
      <c r="AK54" s="245" t="s">
        <v>199</v>
      </c>
      <c r="AL54" s="291"/>
      <c r="AM54" s="291"/>
      <c r="AN54" s="291"/>
      <c r="AO54" s="291"/>
      <c r="AP54" s="291"/>
      <c r="AQ54" s="291"/>
      <c r="AR54" s="291"/>
      <c r="AS54" s="291"/>
      <c r="AT54" s="291"/>
      <c r="AU54" s="291"/>
      <c r="AV54" s="291"/>
      <c r="AW54" s="291"/>
      <c r="AX54" s="291">
        <f>SUM(AL54:AW54)/12</f>
        <v>0</v>
      </c>
      <c r="BG54" s="245" t="s">
        <v>199</v>
      </c>
      <c r="BH54" s="242" t="e">
        <f t="shared" ref="BH54:BS54" si="26">AS55/(AS54+AS55)</f>
        <v>#DIV/0!</v>
      </c>
      <c r="BI54" s="242" t="e">
        <f t="shared" si="26"/>
        <v>#DIV/0!</v>
      </c>
      <c r="BJ54" s="242" t="e">
        <f t="shared" si="26"/>
        <v>#DIV/0!</v>
      </c>
      <c r="BK54" s="242" t="e">
        <f t="shared" si="26"/>
        <v>#DIV/0!</v>
      </c>
      <c r="BL54" s="242" t="e">
        <f t="shared" si="26"/>
        <v>#DIV/0!</v>
      </c>
      <c r="BM54" s="242" t="e">
        <f t="shared" si="26"/>
        <v>#DIV/0!</v>
      </c>
      <c r="BN54" s="242" t="e">
        <f t="shared" si="26"/>
        <v>#DIV/0!</v>
      </c>
      <c r="BO54" s="242" t="e">
        <f t="shared" si="26"/>
        <v>#DIV/0!</v>
      </c>
      <c r="BP54" s="242" t="e">
        <f t="shared" si="26"/>
        <v>#DIV/0!</v>
      </c>
      <c r="BQ54" s="242" t="e">
        <f t="shared" si="26"/>
        <v>#DIV/0!</v>
      </c>
      <c r="BR54" s="242" t="e">
        <f t="shared" si="26"/>
        <v>#DIV/0!</v>
      </c>
      <c r="BS54" s="242" t="e">
        <f t="shared" si="26"/>
        <v>#DIV/0!</v>
      </c>
    </row>
    <row r="55" spans="1:71" x14ac:dyDescent="0.35">
      <c r="U55" s="374"/>
      <c r="V55" s="151" t="s">
        <v>108</v>
      </c>
      <c r="W55" s="152">
        <f t="shared" ref="W55:AH55" si="27">W41</f>
        <v>1.0000000000012221E-3</v>
      </c>
      <c r="X55" s="152">
        <f t="shared" si="27"/>
        <v>9.9999999999944578E-4</v>
      </c>
      <c r="Y55" s="152">
        <f t="shared" si="27"/>
        <v>-12.205</v>
      </c>
      <c r="Z55" s="152">
        <f t="shared" si="27"/>
        <v>0</v>
      </c>
      <c r="AA55" s="152">
        <f t="shared" si="27"/>
        <v>0</v>
      </c>
      <c r="AB55" s="152">
        <f t="shared" si="27"/>
        <v>0</v>
      </c>
      <c r="AC55" s="152">
        <f t="shared" si="27"/>
        <v>0</v>
      </c>
      <c r="AD55" s="152">
        <f t="shared" si="27"/>
        <v>0</v>
      </c>
      <c r="AE55" s="152">
        <f t="shared" si="27"/>
        <v>0</v>
      </c>
      <c r="AF55" s="152">
        <f t="shared" si="27"/>
        <v>0</v>
      </c>
      <c r="AG55" s="152">
        <f t="shared" si="27"/>
        <v>0</v>
      </c>
      <c r="AH55" s="152">
        <f t="shared" si="27"/>
        <v>0</v>
      </c>
      <c r="AI55" s="9"/>
      <c r="AK55" s="245"/>
      <c r="AL55" s="242"/>
      <c r="AM55" s="242"/>
      <c r="AN55" s="242"/>
      <c r="AO55" s="242"/>
      <c r="AP55" s="242"/>
      <c r="AQ55" s="242"/>
      <c r="AR55" s="242"/>
      <c r="AS55" s="242"/>
      <c r="AT55" s="242"/>
      <c r="AU55" s="242"/>
      <c r="AV55" s="242"/>
      <c r="AW55" s="242"/>
      <c r="AX55" s="242"/>
    </row>
    <row r="56" spans="1:71" x14ac:dyDescent="0.35">
      <c r="F56" t="s">
        <v>123</v>
      </c>
      <c r="U56" s="373">
        <v>6</v>
      </c>
      <c r="V56" s="150" t="s">
        <v>114</v>
      </c>
      <c r="W56" s="109">
        <f t="shared" ref="W56:AH56" si="28">W34</f>
        <v>1.1789999999999985</v>
      </c>
      <c r="X56" s="109">
        <f t="shared" si="28"/>
        <v>1.2740000000000009</v>
      </c>
      <c r="Y56" s="109">
        <f t="shared" si="28"/>
        <v>-22.634</v>
      </c>
      <c r="Z56" s="109">
        <f t="shared" si="28"/>
        <v>0</v>
      </c>
      <c r="AA56" s="109">
        <f t="shared" si="28"/>
        <v>0</v>
      </c>
      <c r="AB56" s="109">
        <f t="shared" si="28"/>
        <v>0</v>
      </c>
      <c r="AC56" s="109">
        <f t="shared" si="28"/>
        <v>0</v>
      </c>
      <c r="AD56" s="109">
        <f t="shared" si="28"/>
        <v>0</v>
      </c>
      <c r="AE56" s="109">
        <f t="shared" si="28"/>
        <v>0</v>
      </c>
      <c r="AF56" s="109">
        <f t="shared" si="28"/>
        <v>0</v>
      </c>
      <c r="AG56" s="109">
        <f t="shared" si="28"/>
        <v>0</v>
      </c>
      <c r="AH56" s="109">
        <f t="shared" si="28"/>
        <v>0</v>
      </c>
      <c r="AI56" s="9"/>
      <c r="AK56" s="245" t="s">
        <v>200</v>
      </c>
      <c r="AL56" s="242">
        <f t="shared" ref="AL56:AW56" si="29">W57/(W56+W57)</f>
        <v>0.50147991543340409</v>
      </c>
      <c r="AM56" s="242">
        <f t="shared" si="29"/>
        <v>0.52604166666666674</v>
      </c>
      <c r="AN56" s="242">
        <f t="shared" si="29"/>
        <v>0.42404193597638556</v>
      </c>
      <c r="AO56" s="242" t="e">
        <f t="shared" si="29"/>
        <v>#DIV/0!</v>
      </c>
      <c r="AP56" s="242" t="e">
        <f t="shared" si="29"/>
        <v>#DIV/0!</v>
      </c>
      <c r="AQ56" s="242" t="e">
        <f t="shared" si="29"/>
        <v>#DIV/0!</v>
      </c>
      <c r="AR56" s="242" t="e">
        <f t="shared" si="29"/>
        <v>#DIV/0!</v>
      </c>
      <c r="AS56" s="242" t="e">
        <f t="shared" si="29"/>
        <v>#DIV/0!</v>
      </c>
      <c r="AT56" s="242" t="e">
        <f t="shared" si="29"/>
        <v>#DIV/0!</v>
      </c>
      <c r="AU56" s="242" t="e">
        <f t="shared" si="29"/>
        <v>#DIV/0!</v>
      </c>
      <c r="AV56" s="242" t="e">
        <f t="shared" si="29"/>
        <v>#DIV/0!</v>
      </c>
      <c r="AW56" s="242" t="e">
        <f t="shared" si="29"/>
        <v>#DIV/0!</v>
      </c>
      <c r="AX56" s="242" t="e">
        <f>SUM(AL56:AW56)/12</f>
        <v>#DIV/0!</v>
      </c>
    </row>
    <row r="57" spans="1:71" x14ac:dyDescent="0.35">
      <c r="F57" s="380">
        <v>43956</v>
      </c>
      <c r="G57" s="84" t="s">
        <v>115</v>
      </c>
      <c r="H57" s="384"/>
      <c r="I57" s="384"/>
      <c r="J57" s="106"/>
      <c r="U57" s="374"/>
      <c r="V57" s="151" t="s">
        <v>108</v>
      </c>
      <c r="W57" s="152">
        <f t="shared" ref="W57:AH57" si="30">W43</f>
        <v>1.1859999999999999</v>
      </c>
      <c r="X57" s="152">
        <f t="shared" si="30"/>
        <v>1.4140000000000015</v>
      </c>
      <c r="Y57" s="152">
        <f t="shared" si="30"/>
        <v>-16.664000000000001</v>
      </c>
      <c r="Z57" s="152">
        <f t="shared" si="30"/>
        <v>0</v>
      </c>
      <c r="AA57" s="152">
        <f t="shared" si="30"/>
        <v>0</v>
      </c>
      <c r="AB57" s="152">
        <f t="shared" si="30"/>
        <v>0</v>
      </c>
      <c r="AC57" s="152">
        <f t="shared" si="30"/>
        <v>0</v>
      </c>
      <c r="AD57" s="152">
        <f t="shared" si="30"/>
        <v>0</v>
      </c>
      <c r="AE57" s="152">
        <f t="shared" si="30"/>
        <v>0</v>
      </c>
      <c r="AF57" s="152">
        <f t="shared" si="30"/>
        <v>0</v>
      </c>
      <c r="AG57" s="152">
        <f t="shared" si="30"/>
        <v>0</v>
      </c>
      <c r="AH57" s="152">
        <f t="shared" si="30"/>
        <v>0</v>
      </c>
      <c r="AI57" s="9"/>
      <c r="AK57" s="245"/>
      <c r="AL57" s="242"/>
      <c r="AM57" s="242"/>
      <c r="AN57" s="242"/>
      <c r="AO57" s="242"/>
      <c r="AP57" s="242"/>
      <c r="AQ57" s="242"/>
      <c r="AR57" s="242"/>
      <c r="AS57" s="242"/>
      <c r="AT57" s="242"/>
      <c r="AU57" s="242"/>
      <c r="AV57" s="242"/>
      <c r="AW57" s="242"/>
      <c r="AX57" s="242"/>
    </row>
    <row r="58" spans="1:71" x14ac:dyDescent="0.35">
      <c r="F58" s="380"/>
      <c r="G58" s="84" t="s">
        <v>116</v>
      </c>
      <c r="H58" s="384"/>
      <c r="I58" s="384"/>
      <c r="J58" s="106"/>
      <c r="U58" s="373">
        <v>8</v>
      </c>
      <c r="V58" s="150" t="s">
        <v>114</v>
      </c>
      <c r="W58" s="109">
        <f t="shared" ref="W58:AH58" si="31">W35</f>
        <v>5.919000000000004</v>
      </c>
      <c r="X58" s="109">
        <f t="shared" si="31"/>
        <v>4.7459999999999951</v>
      </c>
      <c r="Y58" s="109">
        <f t="shared" si="31"/>
        <v>-72.66</v>
      </c>
      <c r="Z58" s="109">
        <f t="shared" si="31"/>
        <v>0</v>
      </c>
      <c r="AA58" s="109">
        <f t="shared" si="31"/>
        <v>0</v>
      </c>
      <c r="AB58" s="109">
        <f t="shared" si="31"/>
        <v>0</v>
      </c>
      <c r="AC58" s="109">
        <f t="shared" si="31"/>
        <v>0</v>
      </c>
      <c r="AD58" s="109">
        <f t="shared" si="31"/>
        <v>0</v>
      </c>
      <c r="AE58" s="109">
        <f t="shared" si="31"/>
        <v>0</v>
      </c>
      <c r="AF58" s="109">
        <f t="shared" si="31"/>
        <v>0</v>
      </c>
      <c r="AG58" s="109">
        <f t="shared" si="31"/>
        <v>0</v>
      </c>
      <c r="AH58" s="109">
        <f t="shared" si="31"/>
        <v>0</v>
      </c>
      <c r="AI58" s="9"/>
      <c r="AK58" s="245" t="s">
        <v>201</v>
      </c>
      <c r="AL58" s="242">
        <f t="shared" ref="AL58:AW58" si="32">W59/(W58+W59)</f>
        <v>0.34240639928896777</v>
      </c>
      <c r="AM58" s="242">
        <f t="shared" si="32"/>
        <v>0.35490009514747922</v>
      </c>
      <c r="AN58" s="242">
        <f t="shared" si="32"/>
        <v>0.3252416816024814</v>
      </c>
      <c r="AO58" s="242" t="e">
        <f t="shared" si="32"/>
        <v>#DIV/0!</v>
      </c>
      <c r="AP58" s="242" t="e">
        <f t="shared" si="32"/>
        <v>#DIV/0!</v>
      </c>
      <c r="AQ58" s="242" t="e">
        <f t="shared" si="32"/>
        <v>#DIV/0!</v>
      </c>
      <c r="AR58" s="242" t="e">
        <f t="shared" si="32"/>
        <v>#DIV/0!</v>
      </c>
      <c r="AS58" s="242" t="e">
        <f t="shared" si="32"/>
        <v>#DIV/0!</v>
      </c>
      <c r="AT58" s="242" t="e">
        <f t="shared" si="32"/>
        <v>#DIV/0!</v>
      </c>
      <c r="AU58" s="242" t="e">
        <f t="shared" si="32"/>
        <v>#DIV/0!</v>
      </c>
      <c r="AV58" s="242" t="e">
        <f t="shared" si="32"/>
        <v>#DIV/0!</v>
      </c>
      <c r="AW58" s="242" t="e">
        <f t="shared" si="32"/>
        <v>#DIV/0!</v>
      </c>
      <c r="AX58" s="242" t="e">
        <f>SUM(AL58:AW58)/12</f>
        <v>#DIV/0!</v>
      </c>
    </row>
    <row r="59" spans="1:71" x14ac:dyDescent="0.35">
      <c r="U59" s="374"/>
      <c r="V59" s="151" t="s">
        <v>108</v>
      </c>
      <c r="W59" s="152">
        <f t="shared" ref="W59:AH59" si="33">W45</f>
        <v>3.0820000000000007</v>
      </c>
      <c r="X59" s="152">
        <f t="shared" si="33"/>
        <v>2.6110000000000042</v>
      </c>
      <c r="Y59" s="152">
        <f t="shared" si="33"/>
        <v>-35.023000000000003</v>
      </c>
      <c r="Z59" s="152">
        <f t="shared" si="33"/>
        <v>0</v>
      </c>
      <c r="AA59" s="152">
        <f t="shared" si="33"/>
        <v>0</v>
      </c>
      <c r="AB59" s="152">
        <f t="shared" si="33"/>
        <v>0</v>
      </c>
      <c r="AC59" s="152">
        <f t="shared" si="33"/>
        <v>0</v>
      </c>
      <c r="AD59" s="152">
        <f t="shared" si="33"/>
        <v>0</v>
      </c>
      <c r="AE59" s="152">
        <f t="shared" si="33"/>
        <v>0</v>
      </c>
      <c r="AF59" s="152">
        <f t="shared" si="33"/>
        <v>0</v>
      </c>
      <c r="AG59" s="152">
        <f t="shared" si="33"/>
        <v>0</v>
      </c>
      <c r="AH59" s="152">
        <f t="shared" si="33"/>
        <v>0</v>
      </c>
      <c r="AI59" s="9"/>
      <c r="AK59" s="245"/>
      <c r="AL59" s="242"/>
      <c r="AM59" s="242"/>
      <c r="AN59" s="242"/>
      <c r="AO59" s="242"/>
      <c r="AP59" s="242"/>
      <c r="AQ59" s="242"/>
      <c r="AR59" s="242"/>
      <c r="AS59" s="242"/>
      <c r="AT59" s="242"/>
      <c r="AU59" s="242"/>
      <c r="AV59" s="242"/>
      <c r="AW59" s="242"/>
      <c r="AX59" s="242"/>
    </row>
    <row r="60" spans="1:71" x14ac:dyDescent="0.35">
      <c r="U60" s="373">
        <v>11</v>
      </c>
      <c r="V60" s="150" t="s">
        <v>114</v>
      </c>
      <c r="W60" s="109">
        <f t="shared" ref="W60:AH60" si="34">W36</f>
        <v>3.8819999999999979</v>
      </c>
      <c r="X60" s="109">
        <f t="shared" si="34"/>
        <v>2.022000000000002</v>
      </c>
      <c r="Y60" s="109">
        <f t="shared" si="34"/>
        <v>-29.992000000000001</v>
      </c>
      <c r="Z60" s="109">
        <f t="shared" si="34"/>
        <v>0</v>
      </c>
      <c r="AA60" s="109">
        <f t="shared" si="34"/>
        <v>0</v>
      </c>
      <c r="AB60" s="109">
        <f t="shared" si="34"/>
        <v>0</v>
      </c>
      <c r="AC60" s="109">
        <f t="shared" si="34"/>
        <v>0</v>
      </c>
      <c r="AD60" s="109">
        <f t="shared" si="34"/>
        <v>0</v>
      </c>
      <c r="AE60" s="109">
        <f t="shared" si="34"/>
        <v>0</v>
      </c>
      <c r="AF60" s="109">
        <f t="shared" si="34"/>
        <v>0</v>
      </c>
      <c r="AG60" s="109">
        <f t="shared" si="34"/>
        <v>0</v>
      </c>
      <c r="AH60" s="109">
        <f t="shared" si="34"/>
        <v>0</v>
      </c>
      <c r="AI60" s="9"/>
      <c r="AK60" s="245" t="s">
        <v>202</v>
      </c>
      <c r="AL60" s="242">
        <f t="shared" ref="AL60:AW60" si="35">W61/(W60+W61)</f>
        <v>0.3446995273463877</v>
      </c>
      <c r="AM60" s="242">
        <f t="shared" si="35"/>
        <v>0.37438118811881183</v>
      </c>
      <c r="AN60" s="242">
        <f t="shared" si="35"/>
        <v>0.33138640568919009</v>
      </c>
      <c r="AO60" s="242" t="e">
        <f t="shared" si="35"/>
        <v>#DIV/0!</v>
      </c>
      <c r="AP60" s="242" t="e">
        <f t="shared" si="35"/>
        <v>#DIV/0!</v>
      </c>
      <c r="AQ60" s="242" t="e">
        <f t="shared" si="35"/>
        <v>#DIV/0!</v>
      </c>
      <c r="AR60" s="242" t="e">
        <f t="shared" si="35"/>
        <v>#DIV/0!</v>
      </c>
      <c r="AS60" s="242" t="e">
        <f t="shared" si="35"/>
        <v>#DIV/0!</v>
      </c>
      <c r="AT60" s="242" t="e">
        <f t="shared" si="35"/>
        <v>#DIV/0!</v>
      </c>
      <c r="AU60" s="242" t="e">
        <f t="shared" si="35"/>
        <v>#DIV/0!</v>
      </c>
      <c r="AV60" s="242" t="e">
        <f t="shared" si="35"/>
        <v>#DIV/0!</v>
      </c>
      <c r="AW60" s="242" t="e">
        <f t="shared" si="35"/>
        <v>#DIV/0!</v>
      </c>
      <c r="AX60" s="242" t="e">
        <f>SUM(AL60:AW60)/12</f>
        <v>#DIV/0!</v>
      </c>
    </row>
    <row r="61" spans="1:71" x14ac:dyDescent="0.35">
      <c r="U61" s="374"/>
      <c r="V61" s="151" t="s">
        <v>108</v>
      </c>
      <c r="W61" s="152">
        <f t="shared" ref="W61:AH61" si="36">W47</f>
        <v>2.0419999999999998</v>
      </c>
      <c r="X61" s="152">
        <f t="shared" si="36"/>
        <v>1.2100000000000009</v>
      </c>
      <c r="Y61" s="152">
        <f t="shared" si="36"/>
        <v>-14.865</v>
      </c>
      <c r="Z61" s="152">
        <f t="shared" si="36"/>
        <v>0</v>
      </c>
      <c r="AA61" s="152">
        <f t="shared" si="36"/>
        <v>0</v>
      </c>
      <c r="AB61" s="152">
        <f t="shared" si="36"/>
        <v>0</v>
      </c>
      <c r="AC61" s="152">
        <f t="shared" si="36"/>
        <v>0</v>
      </c>
      <c r="AD61" s="152">
        <f t="shared" si="36"/>
        <v>0</v>
      </c>
      <c r="AE61" s="152">
        <f t="shared" si="36"/>
        <v>0</v>
      </c>
      <c r="AF61" s="152">
        <f t="shared" si="36"/>
        <v>0</v>
      </c>
      <c r="AG61" s="152">
        <f t="shared" si="36"/>
        <v>0</v>
      </c>
      <c r="AH61" s="152">
        <f t="shared" si="36"/>
        <v>0</v>
      </c>
      <c r="AI61" s="9"/>
      <c r="AK61" s="245"/>
      <c r="AL61" s="242"/>
      <c r="AM61" s="242"/>
      <c r="AN61" s="242"/>
      <c r="AO61" s="242"/>
      <c r="AP61" s="242"/>
      <c r="AQ61" s="242"/>
      <c r="AR61" s="242"/>
      <c r="AS61" s="242"/>
      <c r="AT61" s="242"/>
      <c r="AU61" s="242"/>
      <c r="AV61" s="242"/>
      <c r="AW61" s="242"/>
      <c r="AX61" s="242"/>
    </row>
    <row r="62" spans="1:71" x14ac:dyDescent="0.35">
      <c r="U62" s="373">
        <v>12</v>
      </c>
      <c r="V62" s="150" t="s">
        <v>114</v>
      </c>
      <c r="W62" s="109">
        <f t="shared" ref="W62:AH62" si="37">W37</f>
        <v>0.37099999999999866</v>
      </c>
      <c r="X62" s="109">
        <f t="shared" si="37"/>
        <v>0.45400000000000063</v>
      </c>
      <c r="Y62" s="109">
        <f t="shared" si="37"/>
        <v>-23.504999999999999</v>
      </c>
      <c r="Z62" s="109">
        <f t="shared" si="37"/>
        <v>0</v>
      </c>
      <c r="AA62" s="109">
        <f t="shared" si="37"/>
        <v>0</v>
      </c>
      <c r="AB62" s="109">
        <f t="shared" si="37"/>
        <v>0</v>
      </c>
      <c r="AC62" s="109">
        <f t="shared" si="37"/>
        <v>0</v>
      </c>
      <c r="AD62" s="109">
        <f t="shared" si="37"/>
        <v>0</v>
      </c>
      <c r="AE62" s="109">
        <f t="shared" si="37"/>
        <v>0</v>
      </c>
      <c r="AF62" s="109">
        <f t="shared" si="37"/>
        <v>0</v>
      </c>
      <c r="AG62" s="109">
        <f t="shared" si="37"/>
        <v>0</v>
      </c>
      <c r="AH62" s="109">
        <f t="shared" si="37"/>
        <v>0</v>
      </c>
      <c r="AI62" s="9"/>
      <c r="AK62" s="245" t="s">
        <v>203</v>
      </c>
      <c r="AL62" s="242">
        <f t="shared" ref="AL62:AW62" si="38">W63/(W62+W63)</f>
        <v>0.27254901960784544</v>
      </c>
      <c r="AM62" s="242">
        <f t="shared" si="38"/>
        <v>0.25695581014729929</v>
      </c>
      <c r="AN62" s="242">
        <f t="shared" si="38"/>
        <v>0.37090169418943875</v>
      </c>
      <c r="AO62" s="242" t="e">
        <f t="shared" si="38"/>
        <v>#DIV/0!</v>
      </c>
      <c r="AP62" s="242" t="e">
        <f t="shared" si="38"/>
        <v>#DIV/0!</v>
      </c>
      <c r="AQ62" s="242" t="e">
        <f t="shared" si="38"/>
        <v>#DIV/0!</v>
      </c>
      <c r="AR62" s="242" t="e">
        <f t="shared" si="38"/>
        <v>#DIV/0!</v>
      </c>
      <c r="AS62" s="242" t="e">
        <f t="shared" si="38"/>
        <v>#DIV/0!</v>
      </c>
      <c r="AT62" s="242" t="e">
        <f t="shared" si="38"/>
        <v>#DIV/0!</v>
      </c>
      <c r="AU62" s="242" t="e">
        <f t="shared" si="38"/>
        <v>#DIV/0!</v>
      </c>
      <c r="AV62" s="242" t="e">
        <f t="shared" si="38"/>
        <v>#DIV/0!</v>
      </c>
      <c r="AW62" s="242" t="e">
        <f t="shared" si="38"/>
        <v>#DIV/0!</v>
      </c>
      <c r="AX62" s="242" t="e">
        <f>SUM(AL62:AW62)/12</f>
        <v>#DIV/0!</v>
      </c>
    </row>
    <row r="63" spans="1:71" x14ac:dyDescent="0.35">
      <c r="U63" s="374"/>
      <c r="V63" s="151" t="s">
        <v>108</v>
      </c>
      <c r="W63" s="152">
        <f t="shared" ref="W63:AH63" si="39">W49</f>
        <v>0.13900000000000112</v>
      </c>
      <c r="X63" s="152">
        <f t="shared" si="39"/>
        <v>0.15700000000000003</v>
      </c>
      <c r="Y63" s="152">
        <f t="shared" si="39"/>
        <v>-13.858000000000001</v>
      </c>
      <c r="Z63" s="152">
        <f t="shared" si="39"/>
        <v>0</v>
      </c>
      <c r="AA63" s="152">
        <f t="shared" si="39"/>
        <v>0</v>
      </c>
      <c r="AB63" s="152">
        <f t="shared" si="39"/>
        <v>0</v>
      </c>
      <c r="AC63" s="152">
        <f t="shared" si="39"/>
        <v>0</v>
      </c>
      <c r="AD63" s="152">
        <f t="shared" si="39"/>
        <v>0</v>
      </c>
      <c r="AE63" s="152">
        <f t="shared" si="39"/>
        <v>0</v>
      </c>
      <c r="AF63" s="152">
        <f t="shared" si="39"/>
        <v>0</v>
      </c>
      <c r="AG63" s="152">
        <f t="shared" si="39"/>
        <v>0</v>
      </c>
      <c r="AH63" s="152">
        <f t="shared" si="39"/>
        <v>0</v>
      </c>
      <c r="AI63" s="9"/>
      <c r="AK63" s="245"/>
    </row>
  </sheetData>
  <sheetProtection selectLockedCells="1" selectUnlockedCells="1"/>
  <mergeCells count="30">
    <mergeCell ref="BG26:BG28"/>
    <mergeCell ref="F57:F58"/>
    <mergeCell ref="U56:U57"/>
    <mergeCell ref="U58:U59"/>
    <mergeCell ref="H53:I53"/>
    <mergeCell ref="H54:I54"/>
    <mergeCell ref="H57:I57"/>
    <mergeCell ref="H58:I58"/>
    <mergeCell ref="AK26:AK28"/>
    <mergeCell ref="E53:E54"/>
    <mergeCell ref="F53:F54"/>
    <mergeCell ref="U54:U55"/>
    <mergeCell ref="B20:B21"/>
    <mergeCell ref="D53:D54"/>
    <mergeCell ref="U60:U61"/>
    <mergeCell ref="U62:U63"/>
    <mergeCell ref="A4:A5"/>
    <mergeCell ref="B4:B5"/>
    <mergeCell ref="B6:B7"/>
    <mergeCell ref="B8:B9"/>
    <mergeCell ref="A10:A11"/>
    <mergeCell ref="B10:B11"/>
    <mergeCell ref="A22:A23"/>
    <mergeCell ref="B22:B23"/>
    <mergeCell ref="B12:B13"/>
    <mergeCell ref="B14:B15"/>
    <mergeCell ref="A16:A17"/>
    <mergeCell ref="B16:B17"/>
    <mergeCell ref="B18:B19"/>
    <mergeCell ref="A20:A21"/>
  </mergeCells>
  <conditionalFormatting sqref="F4">
    <cfRule type="cellIs" dxfId="4282" priority="123" stopIfTrue="1" operator="lessThan">
      <formula>$E$4</formula>
    </cfRule>
    <cfRule type="cellIs" dxfId="4281" priority="124" stopIfTrue="1" operator="equal">
      <formula>$E$4</formula>
    </cfRule>
  </conditionalFormatting>
  <conditionalFormatting sqref="F5">
    <cfRule type="cellIs" dxfId="4280" priority="127" stopIfTrue="1" operator="equal">
      <formula>$E$5</formula>
    </cfRule>
    <cfRule type="cellIs" dxfId="4279" priority="128" stopIfTrue="1" operator="lessThan">
      <formula>$E$5</formula>
    </cfRule>
  </conditionalFormatting>
  <conditionalFormatting sqref="F6">
    <cfRule type="cellIs" dxfId="4278" priority="135" stopIfTrue="1" operator="lessThan">
      <formula>$E$6</formula>
    </cfRule>
    <cfRule type="cellIs" dxfId="4277" priority="134" stopIfTrue="1" operator="equal">
      <formula>$E$6</formula>
    </cfRule>
  </conditionalFormatting>
  <conditionalFormatting sqref="F7">
    <cfRule type="cellIs" dxfId="4276" priority="148" stopIfTrue="1" operator="equal">
      <formula>$E$7</formula>
    </cfRule>
    <cfRule type="cellIs" dxfId="4275" priority="149" stopIfTrue="1" operator="lessThan">
      <formula>$E$7</formula>
    </cfRule>
  </conditionalFormatting>
  <conditionalFormatting sqref="F8">
    <cfRule type="cellIs" dxfId="4274" priority="160" stopIfTrue="1" operator="equal">
      <formula>$E$8</formula>
    </cfRule>
    <cfRule type="cellIs" dxfId="4273" priority="161" stopIfTrue="1" operator="lessThan">
      <formula>$E$8</formula>
    </cfRule>
  </conditionalFormatting>
  <conditionalFormatting sqref="F9">
    <cfRule type="cellIs" dxfId="4272" priority="175" stopIfTrue="1" operator="lessThan">
      <formula>$E$9</formula>
    </cfRule>
    <cfRule type="cellIs" dxfId="4271" priority="174" stopIfTrue="1" operator="equal">
      <formula>$E$9</formula>
    </cfRule>
  </conditionalFormatting>
  <conditionalFormatting sqref="F10">
    <cfRule type="cellIs" dxfId="4270" priority="189" stopIfTrue="1" operator="lessThan">
      <formula>$E$10</formula>
    </cfRule>
    <cfRule type="cellIs" dxfId="4269" priority="188" stopIfTrue="1" operator="equal">
      <formula>$E$10</formula>
    </cfRule>
  </conditionalFormatting>
  <conditionalFormatting sqref="F11">
    <cfRule type="cellIs" dxfId="4268" priority="202" stopIfTrue="1" operator="equal">
      <formula>$E$11</formula>
    </cfRule>
    <cfRule type="cellIs" dxfId="4267" priority="203" stopIfTrue="1" operator="lessThan">
      <formula>$E$11</formula>
    </cfRule>
  </conditionalFormatting>
  <conditionalFormatting sqref="F12">
    <cfRule type="cellIs" dxfId="4266" priority="217" stopIfTrue="1" operator="lessThan">
      <formula>$E$12</formula>
    </cfRule>
    <cfRule type="cellIs" dxfId="4265" priority="216" stopIfTrue="1" operator="equal">
      <formula>$E$12</formula>
    </cfRule>
  </conditionalFormatting>
  <conditionalFormatting sqref="F13">
    <cfRule type="cellIs" dxfId="4264" priority="348" stopIfTrue="1" operator="equal">
      <formula>$E$13</formula>
    </cfRule>
    <cfRule type="cellIs" dxfId="4263" priority="349" stopIfTrue="1" operator="lessThan">
      <formula>$E$13</formula>
    </cfRule>
  </conditionalFormatting>
  <conditionalFormatting sqref="F14">
    <cfRule type="cellIs" dxfId="4262" priority="231" stopIfTrue="1" operator="lessThan">
      <formula>$E$14</formula>
    </cfRule>
    <cfRule type="cellIs" dxfId="4261" priority="230" stopIfTrue="1" operator="equal">
      <formula>$E$14</formula>
    </cfRule>
  </conditionalFormatting>
  <conditionalFormatting sqref="F15">
    <cfRule type="cellIs" dxfId="4260" priority="233" stopIfTrue="1" operator="lessThan">
      <formula>$E$15</formula>
    </cfRule>
    <cfRule type="cellIs" dxfId="4259" priority="232" stopIfTrue="1" operator="equal">
      <formula>$E$15</formula>
    </cfRule>
  </conditionalFormatting>
  <conditionalFormatting sqref="F16">
    <cfRule type="cellIs" dxfId="4258" priority="234" stopIfTrue="1" operator="equal">
      <formula>$E$16</formula>
    </cfRule>
    <cfRule type="cellIs" dxfId="4257" priority="235" stopIfTrue="1" operator="lessThan">
      <formula>$E$16</formula>
    </cfRule>
  </conditionalFormatting>
  <conditionalFormatting sqref="F17">
    <cfRule type="cellIs" dxfId="4256" priority="236" stopIfTrue="1" operator="equal">
      <formula>$E$17</formula>
    </cfRule>
    <cfRule type="cellIs" dxfId="4255" priority="237" stopIfTrue="1" operator="lessThan">
      <formula>$E$17</formula>
    </cfRule>
  </conditionalFormatting>
  <conditionalFormatting sqref="F18">
    <cfRule type="cellIs" dxfId="4254" priority="239" stopIfTrue="1" operator="lessThan">
      <formula>$E$18</formula>
    </cfRule>
    <cfRule type="cellIs" dxfId="4253" priority="238" stopIfTrue="1" operator="equal">
      <formula>$E$18</formula>
    </cfRule>
  </conditionalFormatting>
  <conditionalFormatting sqref="F19">
    <cfRule type="cellIs" dxfId="4252" priority="240" stopIfTrue="1" operator="equal">
      <formula>$E$19</formula>
    </cfRule>
    <cfRule type="cellIs" dxfId="4251" priority="241" stopIfTrue="1" operator="lessThan">
      <formula>$E$19</formula>
    </cfRule>
  </conditionalFormatting>
  <conditionalFormatting sqref="F20">
    <cfRule type="cellIs" dxfId="4250" priority="242" stopIfTrue="1" operator="equal">
      <formula>$E$20</formula>
    </cfRule>
    <cfRule type="cellIs" dxfId="4249" priority="243" stopIfTrue="1" operator="lessThan">
      <formula>$E$20</formula>
    </cfRule>
  </conditionalFormatting>
  <conditionalFormatting sqref="F21">
    <cfRule type="cellIs" dxfId="4248" priority="244" stopIfTrue="1" operator="equal">
      <formula>$E$21</formula>
    </cfRule>
    <cfRule type="cellIs" dxfId="4247" priority="245" stopIfTrue="1" operator="lessThan">
      <formula>$E$21</formula>
    </cfRule>
  </conditionalFormatting>
  <conditionalFormatting sqref="F22">
    <cfRule type="cellIs" dxfId="4246" priority="247" stopIfTrue="1" operator="lessThan">
      <formula>$E$22</formula>
    </cfRule>
    <cfRule type="cellIs" dxfId="4245" priority="246" stopIfTrue="1" operator="equal">
      <formula>$E$22</formula>
    </cfRule>
  </conditionalFormatting>
  <conditionalFormatting sqref="F23">
    <cfRule type="cellIs" dxfId="4244" priority="248" stopIfTrue="1" operator="equal">
      <formula>$E$23</formula>
    </cfRule>
    <cfRule type="cellIs" dxfId="4243" priority="249" stopIfTrue="1" operator="lessThan">
      <formula>$E$23</formula>
    </cfRule>
  </conditionalFormatting>
  <conditionalFormatting sqref="F24">
    <cfRule type="cellIs" dxfId="4242" priority="380" stopIfTrue="1" operator="equal">
      <formula>$E$24</formula>
    </cfRule>
    <cfRule type="cellIs" dxfId="4241" priority="381" stopIfTrue="1" operator="lessThan">
      <formula>$E$24</formula>
    </cfRule>
  </conditionalFormatting>
  <conditionalFormatting sqref="F25">
    <cfRule type="cellIs" dxfId="4240" priority="251" stopIfTrue="1" operator="lessThan">
      <formula>$E$25</formula>
    </cfRule>
    <cfRule type="cellIs" dxfId="4239" priority="250" stopIfTrue="1" operator="equal">
      <formula>$E$25</formula>
    </cfRule>
  </conditionalFormatting>
  <conditionalFormatting sqref="F26">
    <cfRule type="cellIs" dxfId="4238" priority="253" stopIfTrue="1" operator="lessThan">
      <formula>$E$26</formula>
    </cfRule>
    <cfRule type="cellIs" dxfId="4237" priority="252" stopIfTrue="1" operator="equal">
      <formula>$E$26</formula>
    </cfRule>
  </conditionalFormatting>
  <conditionalFormatting sqref="F27">
    <cfRule type="cellIs" dxfId="4236" priority="255" stopIfTrue="1" operator="lessThan">
      <formula>$E$27</formula>
    </cfRule>
    <cfRule type="cellIs" dxfId="4235" priority="254" stopIfTrue="1" operator="equal">
      <formula>$E$27</formula>
    </cfRule>
  </conditionalFormatting>
  <conditionalFormatting sqref="F28">
    <cfRule type="cellIs" dxfId="4234" priority="257" stopIfTrue="1" operator="lessThan">
      <formula>$E$28</formula>
    </cfRule>
    <cfRule type="cellIs" dxfId="4233" priority="256" stopIfTrue="1" operator="equal">
      <formula>$E$28</formula>
    </cfRule>
  </conditionalFormatting>
  <conditionalFormatting sqref="F33:Q37">
    <cfRule type="expression" dxfId="4232" priority="7">
      <formula>F33&lt;E33</formula>
    </cfRule>
    <cfRule type="expression" dxfId="4231" priority="6">
      <formula>F33=E33</formula>
    </cfRule>
  </conditionalFormatting>
  <conditionalFormatting sqref="F40:Q49">
    <cfRule type="expression" dxfId="4230" priority="9">
      <formula>F40&lt;E40</formula>
    </cfRule>
    <cfRule type="expression" dxfId="4229" priority="8">
      <formula>F40=E40</formula>
    </cfRule>
  </conditionalFormatting>
  <conditionalFormatting sqref="G4">
    <cfRule type="cellIs" dxfId="4228" priority="126" stopIfTrue="1" operator="lessThan">
      <formula>$F$4</formula>
    </cfRule>
    <cfRule type="cellIs" dxfId="4227" priority="125" stopIfTrue="1" operator="equal">
      <formula>$F$4</formula>
    </cfRule>
  </conditionalFormatting>
  <conditionalFormatting sqref="G5">
    <cfRule type="cellIs" dxfId="4226" priority="391" stopIfTrue="1" operator="lessThan">
      <formula>$F$5</formula>
    </cfRule>
    <cfRule type="cellIs" dxfId="4225" priority="390" stopIfTrue="1" operator="equal">
      <formula>$F$5</formula>
    </cfRule>
  </conditionalFormatting>
  <conditionalFormatting sqref="G6">
    <cfRule type="cellIs" dxfId="4224" priority="137" stopIfTrue="1" operator="lessThan">
      <formula>$F$6</formula>
    </cfRule>
    <cfRule type="cellIs" dxfId="4223" priority="136" stopIfTrue="1" operator="equal">
      <formula>$F$6</formula>
    </cfRule>
  </conditionalFormatting>
  <conditionalFormatting sqref="G7">
    <cfRule type="cellIs" dxfId="4222" priority="151" stopIfTrue="1" operator="lessThan">
      <formula>$F$7</formula>
    </cfRule>
    <cfRule type="cellIs" dxfId="4221" priority="150" stopIfTrue="1" operator="equal">
      <formula>$F$7</formula>
    </cfRule>
  </conditionalFormatting>
  <conditionalFormatting sqref="G8">
    <cfRule type="cellIs" dxfId="4220" priority="162" stopIfTrue="1" operator="equal">
      <formula>$F$8</formula>
    </cfRule>
    <cfRule type="cellIs" dxfId="4219" priority="163" stopIfTrue="1" operator="lessThan">
      <formula>$F$8</formula>
    </cfRule>
  </conditionalFormatting>
  <conditionalFormatting sqref="G9">
    <cfRule type="cellIs" dxfId="4218" priority="176" stopIfTrue="1" operator="equal">
      <formula>$F$9</formula>
    </cfRule>
    <cfRule type="cellIs" dxfId="4217" priority="177" stopIfTrue="1" operator="lessThan">
      <formula>$F$9</formula>
    </cfRule>
  </conditionalFormatting>
  <conditionalFormatting sqref="G10">
    <cfRule type="cellIs" dxfId="4216" priority="190" stopIfTrue="1" operator="equal">
      <formula>$F$10</formula>
    </cfRule>
    <cfRule type="cellIs" dxfId="4215" priority="191" stopIfTrue="1" operator="lessThan">
      <formula>$F$10</formula>
    </cfRule>
  </conditionalFormatting>
  <conditionalFormatting sqref="G11">
    <cfRule type="cellIs" dxfId="4214" priority="205" stopIfTrue="1" operator="lessThan">
      <formula>$F$11</formula>
    </cfRule>
    <cfRule type="cellIs" dxfId="4213" priority="204" stopIfTrue="1" operator="equal">
      <formula>$F$11</formula>
    </cfRule>
  </conditionalFormatting>
  <conditionalFormatting sqref="G12">
    <cfRule type="cellIs" dxfId="4212" priority="219" stopIfTrue="1" operator="lessThan">
      <formula>$F$12</formula>
    </cfRule>
    <cfRule type="cellIs" dxfId="4211" priority="218" stopIfTrue="1" operator="equal">
      <formula>$F$12</formula>
    </cfRule>
  </conditionalFormatting>
  <conditionalFormatting sqref="G13">
    <cfRule type="cellIs" dxfId="4210" priority="258" stopIfTrue="1" operator="equal">
      <formula>$F$13</formula>
    </cfRule>
    <cfRule type="cellIs" dxfId="4209" priority="259" stopIfTrue="1" operator="lessThan">
      <formula>$F$13</formula>
    </cfRule>
  </conditionalFormatting>
  <conditionalFormatting sqref="G14">
    <cfRule type="cellIs" dxfId="4208" priority="260" stopIfTrue="1" operator="equal">
      <formula>$F$14</formula>
    </cfRule>
    <cfRule type="cellIs" dxfId="4207" priority="261" stopIfTrue="1" operator="lessThan">
      <formula>$F$14</formula>
    </cfRule>
  </conditionalFormatting>
  <conditionalFormatting sqref="G15">
    <cfRule type="cellIs" dxfId="4206" priority="262" stopIfTrue="1" operator="equal">
      <formula>$F$15</formula>
    </cfRule>
    <cfRule type="cellIs" dxfId="4205" priority="263" stopIfTrue="1" operator="lessThan">
      <formula>$F$15</formula>
    </cfRule>
  </conditionalFormatting>
  <conditionalFormatting sqref="G16">
    <cfRule type="cellIs" dxfId="4204" priority="264" stopIfTrue="1" operator="equal">
      <formula>$F$16</formula>
    </cfRule>
    <cfRule type="cellIs" dxfId="4203" priority="265" stopIfTrue="1" operator="lessThan">
      <formula>$F$16</formula>
    </cfRule>
  </conditionalFormatting>
  <conditionalFormatting sqref="G17">
    <cfRule type="cellIs" dxfId="4202" priority="267" stopIfTrue="1" operator="lessThan">
      <formula>$F$17</formula>
    </cfRule>
    <cfRule type="cellIs" dxfId="4201" priority="266" stopIfTrue="1" operator="equal">
      <formula>$F$17</formula>
    </cfRule>
  </conditionalFormatting>
  <conditionalFormatting sqref="G18">
    <cfRule type="cellIs" dxfId="4200" priority="269" stopIfTrue="1" operator="lessThan">
      <formula>$F$18</formula>
    </cfRule>
    <cfRule type="cellIs" dxfId="4199" priority="268" stopIfTrue="1" operator="equal">
      <formula>$F$18</formula>
    </cfRule>
  </conditionalFormatting>
  <conditionalFormatting sqref="G19">
    <cfRule type="cellIs" dxfId="4198" priority="271" stopIfTrue="1" operator="lessThan">
      <formula>$F$19</formula>
    </cfRule>
    <cfRule type="cellIs" dxfId="4197" priority="270" stopIfTrue="1" operator="equal">
      <formula>$F$19</formula>
    </cfRule>
  </conditionalFormatting>
  <conditionalFormatting sqref="G20">
    <cfRule type="cellIs" dxfId="4196" priority="273" stopIfTrue="1" operator="lessThan">
      <formula>$F$20</formula>
    </cfRule>
    <cfRule type="cellIs" dxfId="4195" priority="272" stopIfTrue="1" operator="equal">
      <formula>$F$20</formula>
    </cfRule>
  </conditionalFormatting>
  <conditionalFormatting sqref="G21">
    <cfRule type="cellIs" dxfId="4194" priority="275" stopIfTrue="1" operator="lessThan">
      <formula>$F$21</formula>
    </cfRule>
    <cfRule type="cellIs" dxfId="4193" priority="274" stopIfTrue="1" operator="equal">
      <formula>$F$21</formula>
    </cfRule>
  </conditionalFormatting>
  <conditionalFormatting sqref="G22">
    <cfRule type="cellIs" dxfId="4192" priority="277" stopIfTrue="1" operator="lessThan">
      <formula>$F$22</formula>
    </cfRule>
    <cfRule type="cellIs" dxfId="4191" priority="276" stopIfTrue="1" operator="equal">
      <formula>$F$22</formula>
    </cfRule>
  </conditionalFormatting>
  <conditionalFormatting sqref="G23">
    <cfRule type="cellIs" dxfId="4190" priority="279" stopIfTrue="1" operator="lessThan">
      <formula>$F$23</formula>
    </cfRule>
    <cfRule type="cellIs" dxfId="4189" priority="278" stopIfTrue="1" operator="equal">
      <formula>$F$23</formula>
    </cfRule>
  </conditionalFormatting>
  <conditionalFormatting sqref="G24">
    <cfRule type="cellIs" dxfId="4188" priority="383" stopIfTrue="1" operator="lessThan">
      <formula>$F$24</formula>
    </cfRule>
    <cfRule type="cellIs" dxfId="4187" priority="382" stopIfTrue="1" operator="equal">
      <formula>$F$24</formula>
    </cfRule>
  </conditionalFormatting>
  <conditionalFormatting sqref="G25">
    <cfRule type="cellIs" dxfId="4186" priority="281" stopIfTrue="1" operator="lessThan">
      <formula>$F$25</formula>
    </cfRule>
    <cfRule type="cellIs" dxfId="4185" priority="280" stopIfTrue="1" operator="equal">
      <formula>$F$25</formula>
    </cfRule>
  </conditionalFormatting>
  <conditionalFormatting sqref="G26">
    <cfRule type="cellIs" dxfId="4184" priority="283" stopIfTrue="1" operator="lessThan">
      <formula>$F$26</formula>
    </cfRule>
    <cfRule type="cellIs" dxfId="4183" priority="282" stopIfTrue="1" operator="equal">
      <formula>$F$26</formula>
    </cfRule>
  </conditionalFormatting>
  <conditionalFormatting sqref="G27">
    <cfRule type="cellIs" dxfId="4182" priority="284" stopIfTrue="1" operator="equal">
      <formula>$F$27</formula>
    </cfRule>
    <cfRule type="cellIs" dxfId="4181" priority="285" stopIfTrue="1" operator="lessThan">
      <formula>$F$27</formula>
    </cfRule>
  </conditionalFormatting>
  <conditionalFormatting sqref="G28">
    <cfRule type="cellIs" dxfId="4180" priority="287" stopIfTrue="1" operator="lessThan">
      <formula>$F$28</formula>
    </cfRule>
    <cfRule type="cellIs" dxfId="4179" priority="286" stopIfTrue="1" operator="equal">
      <formula>$F$28</formula>
    </cfRule>
  </conditionalFormatting>
  <conditionalFormatting sqref="H4">
    <cfRule type="cellIs" dxfId="4178" priority="121" stopIfTrue="1" operator="equal">
      <formula>$G$4</formula>
    </cfRule>
    <cfRule type="cellIs" dxfId="4177" priority="122" stopIfTrue="1" operator="lessThan">
      <formula>$G$4</formula>
    </cfRule>
  </conditionalFormatting>
  <conditionalFormatting sqref="H5">
    <cfRule type="cellIs" dxfId="4176" priority="129" stopIfTrue="1" operator="equal">
      <formula>$G$5</formula>
    </cfRule>
    <cfRule type="cellIs" dxfId="4175" priority="130" stopIfTrue="1" operator="lessThan">
      <formula>$G$5</formula>
    </cfRule>
  </conditionalFormatting>
  <conditionalFormatting sqref="H6">
    <cfRule type="cellIs" dxfId="4174" priority="139" stopIfTrue="1" operator="lessThan">
      <formula>$G$6</formula>
    </cfRule>
    <cfRule type="cellIs" dxfId="4173" priority="138" stopIfTrue="1" operator="equal">
      <formula>$G$6</formula>
    </cfRule>
  </conditionalFormatting>
  <conditionalFormatting sqref="H7">
    <cfRule type="cellIs" dxfId="4172" priority="153" stopIfTrue="1" operator="lessThan">
      <formula>$G$7</formula>
    </cfRule>
    <cfRule type="cellIs" dxfId="4171" priority="152" stopIfTrue="1" operator="equal">
      <formula>$G$7</formula>
    </cfRule>
  </conditionalFormatting>
  <conditionalFormatting sqref="H8">
    <cfRule type="cellIs" dxfId="4170" priority="165" stopIfTrue="1" operator="lessThan">
      <formula>$G$8</formula>
    </cfRule>
    <cfRule type="cellIs" dxfId="4169" priority="164" stopIfTrue="1" operator="equal">
      <formula>$G$8</formula>
    </cfRule>
  </conditionalFormatting>
  <conditionalFormatting sqref="H9">
    <cfRule type="cellIs" dxfId="4168" priority="178" stopIfTrue="1" operator="equal">
      <formula>$G$9</formula>
    </cfRule>
    <cfRule type="cellIs" dxfId="4167" priority="179" stopIfTrue="1" operator="lessThan">
      <formula>$G$9</formula>
    </cfRule>
  </conditionalFormatting>
  <conditionalFormatting sqref="H10">
    <cfRule type="cellIs" dxfId="4166" priority="192" stopIfTrue="1" operator="equal">
      <formula>$G$10</formula>
    </cfRule>
    <cfRule type="cellIs" dxfId="4165" priority="193" stopIfTrue="1" operator="lessThan">
      <formula>$G$10</formula>
    </cfRule>
  </conditionalFormatting>
  <conditionalFormatting sqref="H11">
    <cfRule type="cellIs" dxfId="4164" priority="207" stopIfTrue="1" operator="lessThan">
      <formula>$G$11</formula>
    </cfRule>
    <cfRule type="cellIs" dxfId="4163" priority="206" stopIfTrue="1" operator="equal">
      <formula>$G$11</formula>
    </cfRule>
  </conditionalFormatting>
  <conditionalFormatting sqref="H12">
    <cfRule type="cellIs" dxfId="4162" priority="220" stopIfTrue="1" operator="equal">
      <formula>$G$12</formula>
    </cfRule>
    <cfRule type="cellIs" dxfId="4161" priority="221" stopIfTrue="1" operator="lessThan">
      <formula>$G$12</formula>
    </cfRule>
  </conditionalFormatting>
  <conditionalFormatting sqref="H13">
    <cfRule type="cellIs" dxfId="4160" priority="288" stopIfTrue="1" operator="equal">
      <formula>$G$13</formula>
    </cfRule>
    <cfRule type="cellIs" dxfId="4159" priority="289" stopIfTrue="1" operator="lessThan">
      <formula>$G$13</formula>
    </cfRule>
  </conditionalFormatting>
  <conditionalFormatting sqref="H14">
    <cfRule type="cellIs" dxfId="4158" priority="291" stopIfTrue="1" operator="lessThan">
      <formula>$G$14</formula>
    </cfRule>
    <cfRule type="cellIs" dxfId="4157" priority="290" stopIfTrue="1" operator="equal">
      <formula>$G$14</formula>
    </cfRule>
  </conditionalFormatting>
  <conditionalFormatting sqref="H15">
    <cfRule type="cellIs" dxfId="4156" priority="292" stopIfTrue="1" operator="equal">
      <formula>$G$15</formula>
    </cfRule>
    <cfRule type="cellIs" dxfId="4155" priority="293" stopIfTrue="1" operator="lessThan">
      <formula>$G$15</formula>
    </cfRule>
  </conditionalFormatting>
  <conditionalFormatting sqref="H16">
    <cfRule type="cellIs" dxfId="4154" priority="294" stopIfTrue="1" operator="equal">
      <formula>$G$16</formula>
    </cfRule>
    <cfRule type="cellIs" dxfId="4153" priority="295" stopIfTrue="1" operator="lessThan">
      <formula>$G$16</formula>
    </cfRule>
  </conditionalFormatting>
  <conditionalFormatting sqref="H17">
    <cfRule type="cellIs" dxfId="4152" priority="296" stopIfTrue="1" operator="equal">
      <formula>$G$17</formula>
    </cfRule>
    <cfRule type="cellIs" dxfId="4151" priority="297" stopIfTrue="1" operator="lessThan">
      <formula>$G$17</formula>
    </cfRule>
  </conditionalFormatting>
  <conditionalFormatting sqref="H18">
    <cfRule type="cellIs" dxfId="4150" priority="298" stopIfTrue="1" operator="equal">
      <formula>$G$18</formula>
    </cfRule>
    <cfRule type="cellIs" dxfId="4149" priority="299" stopIfTrue="1" operator="lessThan">
      <formula>$G$18</formula>
    </cfRule>
  </conditionalFormatting>
  <conditionalFormatting sqref="H19">
    <cfRule type="cellIs" dxfId="4148" priority="301" stopIfTrue="1" operator="lessThan">
      <formula>$G$19</formula>
    </cfRule>
    <cfRule type="cellIs" dxfId="4147" priority="300" stopIfTrue="1" operator="equal">
      <formula>$G$19</formula>
    </cfRule>
  </conditionalFormatting>
  <conditionalFormatting sqref="H20">
    <cfRule type="cellIs" dxfId="4146" priority="302" stopIfTrue="1" operator="equal">
      <formula>$G$20</formula>
    </cfRule>
    <cfRule type="cellIs" dxfId="4145" priority="303" stopIfTrue="1" operator="lessThan">
      <formula>$G$20</formula>
    </cfRule>
  </conditionalFormatting>
  <conditionalFormatting sqref="H21">
    <cfRule type="cellIs" dxfId="4144" priority="304" stopIfTrue="1" operator="equal">
      <formula>$G$21</formula>
    </cfRule>
    <cfRule type="cellIs" dxfId="4143" priority="305" stopIfTrue="1" operator="lessThan">
      <formula>$G$21</formula>
    </cfRule>
  </conditionalFormatting>
  <conditionalFormatting sqref="H22">
    <cfRule type="cellIs" dxfId="4142" priority="306" stopIfTrue="1" operator="equal">
      <formula>$G$22</formula>
    </cfRule>
    <cfRule type="cellIs" dxfId="4141" priority="307" stopIfTrue="1" operator="lessThan">
      <formula>$G$22</formula>
    </cfRule>
  </conditionalFormatting>
  <conditionalFormatting sqref="H23">
    <cfRule type="cellIs" dxfId="4140" priority="309" stopIfTrue="1" operator="lessThan">
      <formula>$G$23</formula>
    </cfRule>
    <cfRule type="cellIs" dxfId="4139" priority="308" stopIfTrue="1" operator="equal">
      <formula>$G$23</formula>
    </cfRule>
  </conditionalFormatting>
  <conditionalFormatting sqref="H24">
    <cfRule type="cellIs" dxfId="4138" priority="385" stopIfTrue="1" operator="lessThan">
      <formula>$G$24</formula>
    </cfRule>
    <cfRule type="cellIs" dxfId="4137" priority="384" stopIfTrue="1" operator="equal">
      <formula>$G$24</formula>
    </cfRule>
  </conditionalFormatting>
  <conditionalFormatting sqref="H25">
    <cfRule type="cellIs" dxfId="4136" priority="311" stopIfTrue="1" operator="lessThan">
      <formula>$G$25</formula>
    </cfRule>
    <cfRule type="cellIs" dxfId="4135" priority="310" stopIfTrue="1" operator="equal">
      <formula>$G$25</formula>
    </cfRule>
  </conditionalFormatting>
  <conditionalFormatting sqref="H26">
    <cfRule type="cellIs" dxfId="4134" priority="313" stopIfTrue="1" operator="lessThan">
      <formula>$G$26</formula>
    </cfRule>
    <cfRule type="cellIs" dxfId="4133" priority="312" stopIfTrue="1" operator="equal">
      <formula>$G$26</formula>
    </cfRule>
  </conditionalFormatting>
  <conditionalFormatting sqref="H27">
    <cfRule type="cellIs" dxfId="4132" priority="315" stopIfTrue="1" operator="lessThan">
      <formula>$G$27</formula>
    </cfRule>
    <cfRule type="cellIs" dxfId="4131" priority="314" stopIfTrue="1" operator="equal">
      <formula>$G$27</formula>
    </cfRule>
  </conditionalFormatting>
  <conditionalFormatting sqref="H28">
    <cfRule type="cellIs" dxfId="4130" priority="317" stopIfTrue="1" operator="lessThan">
      <formula>$G$28</formula>
    </cfRule>
    <cfRule type="cellIs" dxfId="4129" priority="316" stopIfTrue="1" operator="equal">
      <formula>$G$28</formula>
    </cfRule>
  </conditionalFormatting>
  <conditionalFormatting sqref="I4">
    <cfRule type="cellIs" dxfId="4128" priority="394" stopIfTrue="1" operator="equal">
      <formula>$H$4</formula>
    </cfRule>
  </conditionalFormatting>
  <conditionalFormatting sqref="I5">
    <cfRule type="cellIs" dxfId="4127" priority="393" stopIfTrue="1" operator="lessThan">
      <formula>$H$5</formula>
    </cfRule>
    <cfRule type="cellIs" dxfId="4126" priority="392" stopIfTrue="1" operator="equal">
      <formula>$H$5</formula>
    </cfRule>
  </conditionalFormatting>
  <conditionalFormatting sqref="I6">
    <cfRule type="cellIs" dxfId="4125" priority="140" stopIfTrue="1" operator="equal">
      <formula>$H$6</formula>
    </cfRule>
    <cfRule type="cellIs" dxfId="4124" priority="141" stopIfTrue="1" operator="lessThan">
      <formula>$H$6</formula>
    </cfRule>
  </conditionalFormatting>
  <conditionalFormatting sqref="I7">
    <cfRule type="cellIs" dxfId="4123" priority="114" stopIfTrue="1" operator="lessThan">
      <formula>$H$7</formula>
    </cfRule>
    <cfRule type="cellIs" dxfId="4122" priority="113" stopIfTrue="1" operator="equal">
      <formula>$H$7</formula>
    </cfRule>
  </conditionalFormatting>
  <conditionalFormatting sqref="I8">
    <cfRule type="cellIs" dxfId="4121" priority="167" stopIfTrue="1" operator="lessThan">
      <formula>$H$8</formula>
    </cfRule>
    <cfRule type="cellIs" dxfId="4120" priority="166" stopIfTrue="1" operator="equal">
      <formula>$H$8</formula>
    </cfRule>
  </conditionalFormatting>
  <conditionalFormatting sqref="I9">
    <cfRule type="cellIs" dxfId="4119" priority="180" stopIfTrue="1" operator="equal">
      <formula>$H$9</formula>
    </cfRule>
    <cfRule type="cellIs" dxfId="4118" priority="181" stopIfTrue="1" operator="lessThan">
      <formula>$H$9</formula>
    </cfRule>
  </conditionalFormatting>
  <conditionalFormatting sqref="I10">
    <cfRule type="cellIs" dxfId="4117" priority="195" stopIfTrue="1" operator="lessThan">
      <formula>$H$10</formula>
    </cfRule>
    <cfRule type="cellIs" dxfId="4116" priority="194" stopIfTrue="1" operator="equal">
      <formula>$H$10</formula>
    </cfRule>
  </conditionalFormatting>
  <conditionalFormatting sqref="I11">
    <cfRule type="cellIs" dxfId="4115" priority="208" stopIfTrue="1" operator="equal">
      <formula>$H$11</formula>
    </cfRule>
    <cfRule type="cellIs" dxfId="4114" priority="209" stopIfTrue="1" operator="lessThan">
      <formula>$H$11</formula>
    </cfRule>
  </conditionalFormatting>
  <conditionalFormatting sqref="I12">
    <cfRule type="cellIs" dxfId="4113" priority="223" stopIfTrue="1" operator="lessThan">
      <formula>$H$12</formula>
    </cfRule>
    <cfRule type="cellIs" dxfId="4112" priority="222" stopIfTrue="1" operator="equal">
      <formula>$H$12</formula>
    </cfRule>
  </conditionalFormatting>
  <conditionalFormatting sqref="I13">
    <cfRule type="cellIs" dxfId="4111" priority="318" stopIfTrue="1" operator="equal">
      <formula>$H$13</formula>
    </cfRule>
    <cfRule type="cellIs" dxfId="4110" priority="319" stopIfTrue="1" operator="lessThan">
      <formula>$H$13</formula>
    </cfRule>
  </conditionalFormatting>
  <conditionalFormatting sqref="I14">
    <cfRule type="cellIs" dxfId="4109" priority="320" stopIfTrue="1" operator="equal">
      <formula>$H$14</formula>
    </cfRule>
    <cfRule type="cellIs" dxfId="4108" priority="321" stopIfTrue="1" operator="lessThan">
      <formula>$H$14</formula>
    </cfRule>
  </conditionalFormatting>
  <conditionalFormatting sqref="I15">
    <cfRule type="cellIs" dxfId="4107" priority="323" stopIfTrue="1" operator="lessThan">
      <formula>$H$15</formula>
    </cfRule>
    <cfRule type="cellIs" dxfId="4106" priority="322" stopIfTrue="1" operator="equal">
      <formula>$H$15</formula>
    </cfRule>
  </conditionalFormatting>
  <conditionalFormatting sqref="I16">
    <cfRule type="cellIs" dxfId="4105" priority="324" stopIfTrue="1" operator="equal">
      <formula>$H$16</formula>
    </cfRule>
    <cfRule type="cellIs" dxfId="4104" priority="325" stopIfTrue="1" operator="lessThan">
      <formula>$H$16</formula>
    </cfRule>
  </conditionalFormatting>
  <conditionalFormatting sqref="I17">
    <cfRule type="cellIs" dxfId="4103" priority="326" stopIfTrue="1" operator="equal">
      <formula>$H$17</formula>
    </cfRule>
    <cfRule type="cellIs" dxfId="4102" priority="327" stopIfTrue="1" operator="lessThan">
      <formula>$H$17</formula>
    </cfRule>
  </conditionalFormatting>
  <conditionalFormatting sqref="I18">
    <cfRule type="cellIs" dxfId="4101" priority="328" stopIfTrue="1" operator="equal">
      <formula>$H$18</formula>
    </cfRule>
    <cfRule type="cellIs" dxfId="4100" priority="329" stopIfTrue="1" operator="lessThan">
      <formula>$H$18</formula>
    </cfRule>
  </conditionalFormatting>
  <conditionalFormatting sqref="I19">
    <cfRule type="cellIs" dxfId="4099" priority="330" stopIfTrue="1" operator="equal">
      <formula>$H$19</formula>
    </cfRule>
    <cfRule type="cellIs" dxfId="4098" priority="331" stopIfTrue="1" operator="lessThan">
      <formula>$H$19</formula>
    </cfRule>
  </conditionalFormatting>
  <conditionalFormatting sqref="I20">
    <cfRule type="cellIs" dxfId="4097" priority="332" stopIfTrue="1" operator="equal">
      <formula>$H$20</formula>
    </cfRule>
    <cfRule type="cellIs" dxfId="4096" priority="333" stopIfTrue="1" operator="lessThan">
      <formula>$H$20</formula>
    </cfRule>
  </conditionalFormatting>
  <conditionalFormatting sqref="I21">
    <cfRule type="cellIs" dxfId="4095" priority="334" stopIfTrue="1" operator="equal">
      <formula>$H$21</formula>
    </cfRule>
    <cfRule type="cellIs" dxfId="4094" priority="335" stopIfTrue="1" operator="lessThan">
      <formula>$H$21</formula>
    </cfRule>
  </conditionalFormatting>
  <conditionalFormatting sqref="I22">
    <cfRule type="cellIs" dxfId="4093" priority="337" stopIfTrue="1" operator="lessThan">
      <formula>$H$22</formula>
    </cfRule>
    <cfRule type="cellIs" dxfId="4092" priority="336" stopIfTrue="1" operator="equal">
      <formula>$H$22</formula>
    </cfRule>
  </conditionalFormatting>
  <conditionalFormatting sqref="I23">
    <cfRule type="cellIs" dxfId="4091" priority="338" stopIfTrue="1" operator="equal">
      <formula>$H$23</formula>
    </cfRule>
    <cfRule type="cellIs" dxfId="4090" priority="339" stopIfTrue="1" operator="lessThan">
      <formula>$H$23</formula>
    </cfRule>
  </conditionalFormatting>
  <conditionalFormatting sqref="I24">
    <cfRule type="cellIs" dxfId="4089" priority="386" stopIfTrue="1" operator="equal">
      <formula>$H$24</formula>
    </cfRule>
    <cfRule type="cellIs" dxfId="4088" priority="387" stopIfTrue="1" operator="lessThan">
      <formula>$H$24</formula>
    </cfRule>
  </conditionalFormatting>
  <conditionalFormatting sqref="I25">
    <cfRule type="cellIs" dxfId="4087" priority="340" stopIfTrue="1" operator="equal">
      <formula>$H$25</formula>
    </cfRule>
    <cfRule type="cellIs" dxfId="4086" priority="341" stopIfTrue="1" operator="lessThan">
      <formula>$H$25</formula>
    </cfRule>
  </conditionalFormatting>
  <conditionalFormatting sqref="I26">
    <cfRule type="cellIs" dxfId="4085" priority="342" stopIfTrue="1" operator="equal">
      <formula>$H$26</formula>
    </cfRule>
    <cfRule type="cellIs" dxfId="4084" priority="343" stopIfTrue="1" operator="lessThan">
      <formula>$H$26</formula>
    </cfRule>
  </conditionalFormatting>
  <conditionalFormatting sqref="I27">
    <cfRule type="cellIs" dxfId="4083" priority="344" stopIfTrue="1" operator="equal">
      <formula>$H$27</formula>
    </cfRule>
    <cfRule type="cellIs" dxfId="4082" priority="345" stopIfTrue="1" operator="lessThan">
      <formula>$H$27</formula>
    </cfRule>
  </conditionalFormatting>
  <conditionalFormatting sqref="I28">
    <cfRule type="cellIs" dxfId="4081" priority="346" stopIfTrue="1" operator="equal">
      <formula>$H$28</formula>
    </cfRule>
    <cfRule type="cellIs" dxfId="4080" priority="347" stopIfTrue="1" operator="lessThan">
      <formula>$H$28</formula>
    </cfRule>
  </conditionalFormatting>
  <conditionalFormatting sqref="J4">
    <cfRule type="cellIs" dxfId="4079" priority="111" stopIfTrue="1" operator="lessThan">
      <formula>$I$4</formula>
    </cfRule>
    <cfRule type="cellIs" dxfId="4078" priority="112" stopIfTrue="1" operator="equal">
      <formula>$I$4</formula>
    </cfRule>
  </conditionalFormatting>
  <conditionalFormatting sqref="J5">
    <cfRule type="cellIs" dxfId="4077" priority="116" stopIfTrue="1" operator="lessThan">
      <formula>$I$5</formula>
    </cfRule>
    <cfRule type="cellIs" dxfId="4076" priority="115" stopIfTrue="1" operator="equal">
      <formula>$I$5</formula>
    </cfRule>
  </conditionalFormatting>
  <conditionalFormatting sqref="J6">
    <cfRule type="cellIs" dxfId="4075" priority="142" stopIfTrue="1" operator="equal">
      <formula>$I$6</formula>
    </cfRule>
    <cfRule type="cellIs" dxfId="4074" priority="143" stopIfTrue="1" operator="lessThan">
      <formula>$I$6</formula>
    </cfRule>
  </conditionalFormatting>
  <conditionalFormatting sqref="J7">
    <cfRule type="cellIs" dxfId="4073" priority="154" stopIfTrue="1" operator="equal">
      <formula>$I$7</formula>
    </cfRule>
    <cfRule type="cellIs" dxfId="4072" priority="155" stopIfTrue="1" operator="lessThan">
      <formula>$I$7</formula>
    </cfRule>
  </conditionalFormatting>
  <conditionalFormatting sqref="J8">
    <cfRule type="cellIs" dxfId="4071" priority="169" stopIfTrue="1" operator="lessThan">
      <formula>$I$8</formula>
    </cfRule>
    <cfRule type="cellIs" dxfId="4070" priority="168" stopIfTrue="1" operator="equal">
      <formula>$I$8</formula>
    </cfRule>
  </conditionalFormatting>
  <conditionalFormatting sqref="J9">
    <cfRule type="cellIs" dxfId="4069" priority="183" stopIfTrue="1" operator="lessThan">
      <formula>$I$9</formula>
    </cfRule>
    <cfRule type="cellIs" dxfId="4068" priority="182" stopIfTrue="1" operator="equal">
      <formula>$I$9</formula>
    </cfRule>
  </conditionalFormatting>
  <conditionalFormatting sqref="J10">
    <cfRule type="cellIs" dxfId="4067" priority="197" stopIfTrue="1" operator="lessThan">
      <formula>$I$10</formula>
    </cfRule>
    <cfRule type="cellIs" dxfId="4066" priority="196" stopIfTrue="1" operator="equal">
      <formula>$I$10</formula>
    </cfRule>
  </conditionalFormatting>
  <conditionalFormatting sqref="J11">
    <cfRule type="cellIs" dxfId="4065" priority="211" stopIfTrue="1" operator="lessThan">
      <formula>$I$11</formula>
    </cfRule>
    <cfRule type="cellIs" dxfId="4064" priority="210" stopIfTrue="1" operator="equal">
      <formula>$I$11</formula>
    </cfRule>
  </conditionalFormatting>
  <conditionalFormatting sqref="J12">
    <cfRule type="cellIs" dxfId="4063" priority="224" stopIfTrue="1" operator="equal">
      <formula>$I$12</formula>
    </cfRule>
    <cfRule type="cellIs" dxfId="4062" priority="225" stopIfTrue="1" operator="lessThan">
      <formula>$I$12</formula>
    </cfRule>
  </conditionalFormatting>
  <conditionalFormatting sqref="J13">
    <cfRule type="cellIs" dxfId="4061" priority="351" stopIfTrue="1" operator="lessThan">
      <formula>$I$13</formula>
    </cfRule>
    <cfRule type="cellIs" dxfId="4060" priority="350" stopIfTrue="1" operator="equal">
      <formula>$I$13</formula>
    </cfRule>
  </conditionalFormatting>
  <conditionalFormatting sqref="J14">
    <cfRule type="cellIs" dxfId="4059" priority="353" stopIfTrue="1" operator="lessThan">
      <formula>$I$14</formula>
    </cfRule>
    <cfRule type="cellIs" dxfId="4058" priority="352" stopIfTrue="1" operator="equal">
      <formula>$I$14</formula>
    </cfRule>
  </conditionalFormatting>
  <conditionalFormatting sqref="J15">
    <cfRule type="cellIs" dxfId="4057" priority="354" stopIfTrue="1" operator="equal">
      <formula>$I$15</formula>
    </cfRule>
    <cfRule type="cellIs" dxfId="4056" priority="355" stopIfTrue="1" operator="lessThan">
      <formula>$I$15</formula>
    </cfRule>
  </conditionalFormatting>
  <conditionalFormatting sqref="J16">
    <cfRule type="cellIs" dxfId="4055" priority="357" stopIfTrue="1" operator="lessThan">
      <formula>$I$16</formula>
    </cfRule>
    <cfRule type="cellIs" dxfId="4054" priority="356" stopIfTrue="1" operator="equal">
      <formula>$I$16</formula>
    </cfRule>
  </conditionalFormatting>
  <conditionalFormatting sqref="J17">
    <cfRule type="cellIs" dxfId="4053" priority="358" stopIfTrue="1" operator="equal">
      <formula>$I$17</formula>
    </cfRule>
    <cfRule type="cellIs" dxfId="4052" priority="359" stopIfTrue="1" operator="lessThan">
      <formula>$I$17</formula>
    </cfRule>
  </conditionalFormatting>
  <conditionalFormatting sqref="J18">
    <cfRule type="cellIs" dxfId="4051" priority="361" stopIfTrue="1" operator="lessThan">
      <formula>$I$18</formula>
    </cfRule>
    <cfRule type="cellIs" dxfId="4050" priority="360" stopIfTrue="1" operator="equal">
      <formula>$I$18</formula>
    </cfRule>
  </conditionalFormatting>
  <conditionalFormatting sqref="J19">
    <cfRule type="cellIs" dxfId="4049" priority="363" stopIfTrue="1" operator="lessThan">
      <formula>$I$19</formula>
    </cfRule>
    <cfRule type="cellIs" dxfId="4048" priority="362" stopIfTrue="1" operator="equal">
      <formula>$I$19</formula>
    </cfRule>
  </conditionalFormatting>
  <conditionalFormatting sqref="J20">
    <cfRule type="cellIs" dxfId="4047" priority="365" stopIfTrue="1" operator="lessThan">
      <formula>$I$20</formula>
    </cfRule>
    <cfRule type="cellIs" dxfId="4046" priority="364" stopIfTrue="1" operator="equal">
      <formula>$I$20</formula>
    </cfRule>
  </conditionalFormatting>
  <conditionalFormatting sqref="J21">
    <cfRule type="cellIs" dxfId="4045" priority="366" stopIfTrue="1" operator="equal">
      <formula>$I$21</formula>
    </cfRule>
    <cfRule type="cellIs" dxfId="4044" priority="367" stopIfTrue="1" operator="lessThan">
      <formula>$I$21</formula>
    </cfRule>
  </conditionalFormatting>
  <conditionalFormatting sqref="J22">
    <cfRule type="cellIs" dxfId="4043" priority="369" stopIfTrue="1" operator="lessThan">
      <formula>$I$22</formula>
    </cfRule>
    <cfRule type="cellIs" dxfId="4042" priority="368" stopIfTrue="1" operator="equal">
      <formula>$I$22</formula>
    </cfRule>
  </conditionalFormatting>
  <conditionalFormatting sqref="J23">
    <cfRule type="cellIs" dxfId="4041" priority="371" stopIfTrue="1" operator="lessThan">
      <formula>$I$23</formula>
    </cfRule>
    <cfRule type="cellIs" dxfId="4040" priority="370" stopIfTrue="1" operator="equal">
      <formula>$I$23</formula>
    </cfRule>
  </conditionalFormatting>
  <conditionalFormatting sqref="J24">
    <cfRule type="cellIs" dxfId="4039" priority="388" stopIfTrue="1" operator="equal">
      <formula>$I$24</formula>
    </cfRule>
    <cfRule type="cellIs" dxfId="4038" priority="389" stopIfTrue="1" operator="lessThan">
      <formula>$I$24</formula>
    </cfRule>
  </conditionalFormatting>
  <conditionalFormatting sqref="J25">
    <cfRule type="cellIs" dxfId="4037" priority="373" stopIfTrue="1" operator="lessThan">
      <formula>$I$25</formula>
    </cfRule>
    <cfRule type="cellIs" dxfId="4036" priority="372" stopIfTrue="1" operator="equal">
      <formula>$I$25</formula>
    </cfRule>
  </conditionalFormatting>
  <conditionalFormatting sqref="J26">
    <cfRule type="cellIs" dxfId="4035" priority="375" stopIfTrue="1" operator="lessThan">
      <formula>$I$26</formula>
    </cfRule>
    <cfRule type="cellIs" dxfId="4034" priority="374" stopIfTrue="1" operator="equal">
      <formula>$I$26</formula>
    </cfRule>
  </conditionalFormatting>
  <conditionalFormatting sqref="J27">
    <cfRule type="cellIs" dxfId="4033" priority="377" stopIfTrue="1" operator="lessThan">
      <formula>$I$27</formula>
    </cfRule>
    <cfRule type="cellIs" dxfId="4032" priority="376" stopIfTrue="1" operator="equal">
      <formula>$I$27</formula>
    </cfRule>
  </conditionalFormatting>
  <conditionalFormatting sqref="J28">
    <cfRule type="cellIs" dxfId="4031" priority="378" stopIfTrue="1" operator="equal">
      <formula>$I$28</formula>
    </cfRule>
    <cfRule type="cellIs" dxfId="4030" priority="379" stopIfTrue="1" operator="lessThan">
      <formula>$I$28</formula>
    </cfRule>
  </conditionalFormatting>
  <conditionalFormatting sqref="K4">
    <cfRule type="cellIs" dxfId="4029" priority="131" stopIfTrue="1" operator="equal">
      <formula>$J$4</formula>
    </cfRule>
  </conditionalFormatting>
  <conditionalFormatting sqref="K5">
    <cfRule type="cellIs" dxfId="4028" priority="118" stopIfTrue="1" operator="lessThan">
      <formula>$J$5</formula>
    </cfRule>
    <cfRule type="cellIs" dxfId="4027" priority="117" stopIfTrue="1" operator="equal">
      <formula>$J$5</formula>
    </cfRule>
  </conditionalFormatting>
  <conditionalFormatting sqref="K6">
    <cfRule type="cellIs" dxfId="4026" priority="144" stopIfTrue="1" operator="equal">
      <formula>$J$6</formula>
    </cfRule>
    <cfRule type="cellIs" dxfId="4025" priority="145" stopIfTrue="1" operator="lessThan">
      <formula>$J$6</formula>
    </cfRule>
  </conditionalFormatting>
  <conditionalFormatting sqref="K7">
    <cfRule type="cellIs" dxfId="4024" priority="156" stopIfTrue="1" operator="equal">
      <formula>$J$7</formula>
    </cfRule>
    <cfRule type="cellIs" dxfId="4023" priority="157" stopIfTrue="1" operator="lessThan">
      <formula>$J$7</formula>
    </cfRule>
  </conditionalFormatting>
  <conditionalFormatting sqref="K8">
    <cfRule type="cellIs" dxfId="4022" priority="170" stopIfTrue="1" operator="equal">
      <formula>$J$8</formula>
    </cfRule>
    <cfRule type="cellIs" dxfId="4021" priority="171" stopIfTrue="1" operator="lessThan">
      <formula>$J$8</formula>
    </cfRule>
  </conditionalFormatting>
  <conditionalFormatting sqref="K9">
    <cfRule type="cellIs" dxfId="4020" priority="184" stopIfTrue="1" operator="equal">
      <formula>$J$9</formula>
    </cfRule>
    <cfRule type="cellIs" dxfId="4019" priority="185" stopIfTrue="1" operator="lessThan">
      <formula>$J$9</formula>
    </cfRule>
  </conditionalFormatting>
  <conditionalFormatting sqref="K10">
    <cfRule type="cellIs" dxfId="4018" priority="198" stopIfTrue="1" operator="equal">
      <formula>$J$10</formula>
    </cfRule>
    <cfRule type="cellIs" dxfId="4017" priority="199" stopIfTrue="1" operator="lessThan">
      <formula>$J$10</formula>
    </cfRule>
  </conditionalFormatting>
  <conditionalFormatting sqref="K11">
    <cfRule type="cellIs" dxfId="4016" priority="212" stopIfTrue="1" operator="equal">
      <formula>$J$11</formula>
    </cfRule>
    <cfRule type="cellIs" dxfId="4015" priority="213" stopIfTrue="1" operator="lessThan">
      <formula>$J$11</formula>
    </cfRule>
  </conditionalFormatting>
  <conditionalFormatting sqref="K12">
    <cfRule type="cellIs" dxfId="4014" priority="227" stopIfTrue="1" operator="lessThan">
      <formula>$J$12</formula>
    </cfRule>
    <cfRule type="cellIs" dxfId="4013" priority="226" stopIfTrue="1" operator="equal">
      <formula>$J$12</formula>
    </cfRule>
  </conditionalFormatting>
  <conditionalFormatting sqref="K13">
    <cfRule type="cellIs" dxfId="4012" priority="397" stopIfTrue="1" operator="lessThan">
      <formula>$J$13</formula>
    </cfRule>
    <cfRule type="cellIs" dxfId="4011" priority="396" stopIfTrue="1" operator="equal">
      <formula>$J$13</formula>
    </cfRule>
  </conditionalFormatting>
  <conditionalFormatting sqref="K14">
    <cfRule type="cellIs" dxfId="4010" priority="399" stopIfTrue="1" operator="lessThan">
      <formula>$J$14</formula>
    </cfRule>
    <cfRule type="cellIs" dxfId="4009" priority="398" stopIfTrue="1" operator="equal">
      <formula>$J$14</formula>
    </cfRule>
  </conditionalFormatting>
  <conditionalFormatting sqref="K15">
    <cfRule type="cellIs" dxfId="4008" priority="400" stopIfTrue="1" operator="equal">
      <formula>$J$15</formula>
    </cfRule>
    <cfRule type="cellIs" dxfId="4007" priority="401" stopIfTrue="1" operator="lessThan">
      <formula>$J$15</formula>
    </cfRule>
  </conditionalFormatting>
  <conditionalFormatting sqref="K16">
    <cfRule type="cellIs" dxfId="4006" priority="403" stopIfTrue="1" operator="lessThan">
      <formula>$J$16</formula>
    </cfRule>
    <cfRule type="cellIs" dxfId="4005" priority="402" stopIfTrue="1" operator="equal">
      <formula>$J$16</formula>
    </cfRule>
  </conditionalFormatting>
  <conditionalFormatting sqref="K17">
    <cfRule type="cellIs" dxfId="4004" priority="405" stopIfTrue="1" operator="lessThan">
      <formula>$J$17</formula>
    </cfRule>
    <cfRule type="cellIs" dxfId="4003" priority="404" stopIfTrue="1" operator="equal">
      <formula>$J$17</formula>
    </cfRule>
  </conditionalFormatting>
  <conditionalFormatting sqref="K18">
    <cfRule type="cellIs" dxfId="4002" priority="406" stopIfTrue="1" operator="equal">
      <formula>$J$18</formula>
    </cfRule>
    <cfRule type="cellIs" dxfId="4001" priority="407" stopIfTrue="1" operator="lessThan">
      <formula>$J$18</formula>
    </cfRule>
  </conditionalFormatting>
  <conditionalFormatting sqref="K19">
    <cfRule type="cellIs" dxfId="4000" priority="409" stopIfTrue="1" operator="lessThan">
      <formula>$J$19</formula>
    </cfRule>
    <cfRule type="cellIs" dxfId="3999" priority="408" stopIfTrue="1" operator="equal">
      <formula>$J$19</formula>
    </cfRule>
  </conditionalFormatting>
  <conditionalFormatting sqref="K20">
    <cfRule type="cellIs" dxfId="3998" priority="410" stopIfTrue="1" operator="equal">
      <formula>$J$20</formula>
    </cfRule>
    <cfRule type="cellIs" dxfId="3997" priority="411" stopIfTrue="1" operator="lessThan">
      <formula>$J$20</formula>
    </cfRule>
  </conditionalFormatting>
  <conditionalFormatting sqref="K21">
    <cfRule type="cellIs" dxfId="3996" priority="413" stopIfTrue="1" operator="lessThan">
      <formula>$J$21</formula>
    </cfRule>
    <cfRule type="cellIs" dxfId="3995" priority="412" stopIfTrue="1" operator="equal">
      <formula>$J$21</formula>
    </cfRule>
  </conditionalFormatting>
  <conditionalFormatting sqref="K22">
    <cfRule type="cellIs" dxfId="3994" priority="415" stopIfTrue="1" operator="lessThan">
      <formula>$J$22</formula>
    </cfRule>
    <cfRule type="cellIs" dxfId="3993" priority="414" stopIfTrue="1" operator="equal">
      <formula>$J$22</formula>
    </cfRule>
  </conditionalFormatting>
  <conditionalFormatting sqref="K23">
    <cfRule type="cellIs" dxfId="3992" priority="417" stopIfTrue="1" operator="lessThan">
      <formula>$J$23</formula>
    </cfRule>
    <cfRule type="cellIs" dxfId="3991" priority="416" stopIfTrue="1" operator="equal">
      <formula>$J$23</formula>
    </cfRule>
  </conditionalFormatting>
  <conditionalFormatting sqref="K24">
    <cfRule type="cellIs" dxfId="3990" priority="419" stopIfTrue="1" operator="lessThan">
      <formula>$J$24</formula>
    </cfRule>
    <cfRule type="cellIs" dxfId="3989" priority="418" stopIfTrue="1" operator="equal">
      <formula>$J$24</formula>
    </cfRule>
  </conditionalFormatting>
  <conditionalFormatting sqref="K25">
    <cfRule type="cellIs" dxfId="3988" priority="421" stopIfTrue="1" operator="lessThan">
      <formula>$J$25</formula>
    </cfRule>
    <cfRule type="cellIs" dxfId="3987" priority="420" stopIfTrue="1" operator="equal">
      <formula>$J$25</formula>
    </cfRule>
  </conditionalFormatting>
  <conditionalFormatting sqref="K26">
    <cfRule type="cellIs" dxfId="3986" priority="423" stopIfTrue="1" operator="lessThan">
      <formula>$J$26</formula>
    </cfRule>
    <cfRule type="cellIs" dxfId="3985" priority="422" stopIfTrue="1" operator="equal">
      <formula>$J$26</formula>
    </cfRule>
  </conditionalFormatting>
  <conditionalFormatting sqref="K27">
    <cfRule type="cellIs" dxfId="3984" priority="425" stopIfTrue="1" operator="lessThan">
      <formula>$J$27</formula>
    </cfRule>
    <cfRule type="cellIs" dxfId="3983" priority="424" stopIfTrue="1" operator="equal">
      <formula>$J$27</formula>
    </cfRule>
  </conditionalFormatting>
  <conditionalFormatting sqref="K28">
    <cfRule type="cellIs" dxfId="3982" priority="427" stopIfTrue="1" operator="equal">
      <formula>$J$28</formula>
    </cfRule>
    <cfRule type="cellIs" dxfId="3981" priority="428" stopIfTrue="1" operator="lessThan">
      <formula>$J$28</formula>
    </cfRule>
  </conditionalFormatting>
  <conditionalFormatting sqref="L4">
    <cfRule type="cellIs" dxfId="3980" priority="132" stopIfTrue="1" operator="lessThan">
      <formula>$K$4</formula>
    </cfRule>
    <cfRule type="cellIs" dxfId="3979" priority="133" stopIfTrue="1" operator="equal">
      <formula>$K$4</formula>
    </cfRule>
  </conditionalFormatting>
  <conditionalFormatting sqref="L5">
    <cfRule type="cellIs" dxfId="3978" priority="120" stopIfTrue="1" operator="lessThan">
      <formula>$K$5</formula>
    </cfRule>
    <cfRule type="cellIs" dxfId="3977" priority="119" stopIfTrue="1" operator="equal">
      <formula>$K$5</formula>
    </cfRule>
  </conditionalFormatting>
  <conditionalFormatting sqref="L6">
    <cfRule type="cellIs" dxfId="3976" priority="147" stopIfTrue="1" operator="lessThan">
      <formula>$K$6</formula>
    </cfRule>
    <cfRule type="cellIs" dxfId="3975" priority="146" stopIfTrue="1" operator="equal">
      <formula>$K$6</formula>
    </cfRule>
  </conditionalFormatting>
  <conditionalFormatting sqref="L7">
    <cfRule type="cellIs" dxfId="3974" priority="159" stopIfTrue="1" operator="lessThan">
      <formula>$K$7</formula>
    </cfRule>
    <cfRule type="cellIs" dxfId="3973" priority="158" stopIfTrue="1" operator="equal">
      <formula>$K$7</formula>
    </cfRule>
  </conditionalFormatting>
  <conditionalFormatting sqref="L8">
    <cfRule type="cellIs" dxfId="3972" priority="173" stopIfTrue="1" operator="lessThan">
      <formula>$K$8</formula>
    </cfRule>
    <cfRule type="cellIs" dxfId="3971" priority="172" stopIfTrue="1" operator="equal">
      <formula>$K$8</formula>
    </cfRule>
  </conditionalFormatting>
  <conditionalFormatting sqref="L9">
    <cfRule type="cellIs" dxfId="3970" priority="187" stopIfTrue="1" operator="lessThan">
      <formula>$K$9</formula>
    </cfRule>
    <cfRule type="cellIs" dxfId="3969" priority="186" stopIfTrue="1" operator="equal">
      <formula>$K$9</formula>
    </cfRule>
  </conditionalFormatting>
  <conditionalFormatting sqref="L10">
    <cfRule type="cellIs" dxfId="3968" priority="201" stopIfTrue="1" operator="lessThan">
      <formula>$K$10</formula>
    </cfRule>
    <cfRule type="cellIs" dxfId="3967" priority="200" stopIfTrue="1" operator="equal">
      <formula>$K$10</formula>
    </cfRule>
  </conditionalFormatting>
  <conditionalFormatting sqref="L11">
    <cfRule type="cellIs" dxfId="3966" priority="215" stopIfTrue="1" operator="lessThan">
      <formula>$K$11</formula>
    </cfRule>
    <cfRule type="cellIs" dxfId="3965" priority="214" stopIfTrue="1" operator="equal">
      <formula>$K$11</formula>
    </cfRule>
  </conditionalFormatting>
  <conditionalFormatting sqref="L12">
    <cfRule type="cellIs" dxfId="3964" priority="228" stopIfTrue="1" operator="equal">
      <formula>$K$12</formula>
    </cfRule>
    <cfRule type="cellIs" dxfId="3963" priority="229" stopIfTrue="1" operator="lessThan">
      <formula>$K$12</formula>
    </cfRule>
  </conditionalFormatting>
  <conditionalFormatting sqref="L13">
    <cfRule type="cellIs" dxfId="3962" priority="432" stopIfTrue="1" operator="lessThan">
      <formula>$K$13</formula>
    </cfRule>
    <cfRule type="cellIs" dxfId="3961" priority="431" stopIfTrue="1" operator="equal">
      <formula>$K$13</formula>
    </cfRule>
  </conditionalFormatting>
  <conditionalFormatting sqref="L14">
    <cfRule type="cellIs" dxfId="3960" priority="434" stopIfTrue="1" operator="lessThan">
      <formula>$K$14</formula>
    </cfRule>
    <cfRule type="cellIs" dxfId="3959" priority="433" stopIfTrue="1" operator="equal">
      <formula>$K$14</formula>
    </cfRule>
  </conditionalFormatting>
  <conditionalFormatting sqref="L15">
    <cfRule type="cellIs" dxfId="3958" priority="435" stopIfTrue="1" operator="equal">
      <formula>$K$15</formula>
    </cfRule>
    <cfRule type="cellIs" dxfId="3957" priority="436" stopIfTrue="1" operator="lessThan">
      <formula>$K$15</formula>
    </cfRule>
  </conditionalFormatting>
  <conditionalFormatting sqref="L16">
    <cfRule type="cellIs" dxfId="3956" priority="437" stopIfTrue="1" operator="equal">
      <formula>$K$16</formula>
    </cfRule>
    <cfRule type="cellIs" dxfId="3955" priority="438" stopIfTrue="1" operator="lessThan">
      <formula>$K$16</formula>
    </cfRule>
  </conditionalFormatting>
  <conditionalFormatting sqref="L17">
    <cfRule type="cellIs" dxfId="3954" priority="439" stopIfTrue="1" operator="equal">
      <formula>$K$17</formula>
    </cfRule>
    <cfRule type="cellIs" dxfId="3953" priority="440" stopIfTrue="1" operator="lessThan">
      <formula>$K$17</formula>
    </cfRule>
  </conditionalFormatting>
  <conditionalFormatting sqref="L18">
    <cfRule type="cellIs" dxfId="3952" priority="441" stopIfTrue="1" operator="equal">
      <formula>$K$18</formula>
    </cfRule>
    <cfRule type="cellIs" dxfId="3951" priority="442" stopIfTrue="1" operator="lessThan">
      <formula>$K$18</formula>
    </cfRule>
  </conditionalFormatting>
  <conditionalFormatting sqref="L19">
    <cfRule type="cellIs" dxfId="3950" priority="443" stopIfTrue="1" operator="equal">
      <formula>$K$19</formula>
    </cfRule>
    <cfRule type="cellIs" dxfId="3949" priority="444" stopIfTrue="1" operator="lessThan">
      <formula>$K$19</formula>
    </cfRule>
  </conditionalFormatting>
  <conditionalFormatting sqref="L20">
    <cfRule type="cellIs" dxfId="3948" priority="445" stopIfTrue="1" operator="equal">
      <formula>$K$20</formula>
    </cfRule>
    <cfRule type="cellIs" dxfId="3947" priority="446" stopIfTrue="1" operator="lessThan">
      <formula>$K$20</formula>
    </cfRule>
  </conditionalFormatting>
  <conditionalFormatting sqref="L21">
    <cfRule type="cellIs" dxfId="3946" priority="447" stopIfTrue="1" operator="equal">
      <formula>$K$21</formula>
    </cfRule>
    <cfRule type="cellIs" dxfId="3945" priority="448" stopIfTrue="1" operator="lessThan">
      <formula>$K$21</formula>
    </cfRule>
  </conditionalFormatting>
  <conditionalFormatting sqref="L22">
    <cfRule type="cellIs" dxfId="3944" priority="449" stopIfTrue="1" operator="equal">
      <formula>$K$22</formula>
    </cfRule>
    <cfRule type="cellIs" dxfId="3943" priority="450" stopIfTrue="1" operator="lessThan">
      <formula>$K$22</formula>
    </cfRule>
  </conditionalFormatting>
  <conditionalFormatting sqref="L23">
    <cfRule type="cellIs" dxfId="3942" priority="452" stopIfTrue="1" operator="lessThan">
      <formula>$K$23</formula>
    </cfRule>
    <cfRule type="cellIs" dxfId="3941" priority="451" stopIfTrue="1" operator="equal">
      <formula>$K$23</formula>
    </cfRule>
  </conditionalFormatting>
  <conditionalFormatting sqref="L24">
    <cfRule type="cellIs" dxfId="3940" priority="453" stopIfTrue="1" operator="equal">
      <formula>$K$24</formula>
    </cfRule>
    <cfRule type="cellIs" dxfId="3939" priority="454" stopIfTrue="1" operator="lessThan">
      <formula>$K$24</formula>
    </cfRule>
  </conditionalFormatting>
  <conditionalFormatting sqref="L25">
    <cfRule type="cellIs" dxfId="3938" priority="455" stopIfTrue="1" operator="equal">
      <formula>$K$25</formula>
    </cfRule>
    <cfRule type="cellIs" dxfId="3937" priority="456" stopIfTrue="1" operator="lessThan">
      <formula>$K$25</formula>
    </cfRule>
  </conditionalFormatting>
  <conditionalFormatting sqref="L26">
    <cfRule type="cellIs" dxfId="3936" priority="457" stopIfTrue="1" operator="equal">
      <formula>$K$26</formula>
    </cfRule>
    <cfRule type="cellIs" dxfId="3935" priority="458" stopIfTrue="1" operator="lessThan">
      <formula>$K$26</formula>
    </cfRule>
  </conditionalFormatting>
  <conditionalFormatting sqref="L27">
    <cfRule type="cellIs" dxfId="3934" priority="459" stopIfTrue="1" operator="equal">
      <formula>$K$27</formula>
    </cfRule>
    <cfRule type="cellIs" dxfId="3933" priority="460" stopIfTrue="1" operator="lessThan">
      <formula>$K$27</formula>
    </cfRule>
  </conditionalFormatting>
  <conditionalFormatting sqref="L28">
    <cfRule type="cellIs" dxfId="3932" priority="461" stopIfTrue="1" operator="equal">
      <formula>$K$28</formula>
    </cfRule>
    <cfRule type="cellIs" dxfId="3931" priority="462" stopIfTrue="1" operator="lessThan">
      <formula>$K$28</formula>
    </cfRule>
  </conditionalFormatting>
  <conditionalFormatting sqref="M4">
    <cfRule type="cellIs" dxfId="3930" priority="463" stopIfTrue="1" operator="equal">
      <formula>$L$4</formula>
    </cfRule>
    <cfRule type="cellIs" dxfId="3929" priority="464" stopIfTrue="1" operator="lessThan">
      <formula>$L$4</formula>
    </cfRule>
  </conditionalFormatting>
  <conditionalFormatting sqref="M5">
    <cfRule type="cellIs" dxfId="3928" priority="465" stopIfTrue="1" operator="equal">
      <formula>$L$5</formula>
    </cfRule>
    <cfRule type="cellIs" dxfId="3927" priority="466" stopIfTrue="1" operator="lessThan">
      <formula>$L$5</formula>
    </cfRule>
  </conditionalFormatting>
  <conditionalFormatting sqref="M6">
    <cfRule type="cellIs" dxfId="3926" priority="467" stopIfTrue="1" operator="equal">
      <formula>$L$6</formula>
    </cfRule>
    <cfRule type="cellIs" dxfId="3925" priority="468" stopIfTrue="1" operator="lessThan">
      <formula>$L$6</formula>
    </cfRule>
  </conditionalFormatting>
  <conditionalFormatting sqref="M7">
    <cfRule type="cellIs" dxfId="3924" priority="469" stopIfTrue="1" operator="equal">
      <formula>$L$7</formula>
    </cfRule>
    <cfRule type="cellIs" dxfId="3923" priority="470" stopIfTrue="1" operator="lessThan">
      <formula>$L$7</formula>
    </cfRule>
  </conditionalFormatting>
  <conditionalFormatting sqref="M8">
    <cfRule type="cellIs" dxfId="3922" priority="472" stopIfTrue="1" operator="lessThan">
      <formula>$L$8</formula>
    </cfRule>
    <cfRule type="cellIs" dxfId="3921" priority="471" stopIfTrue="1" operator="equal">
      <formula>$L$8</formula>
    </cfRule>
  </conditionalFormatting>
  <conditionalFormatting sqref="M9">
    <cfRule type="cellIs" dxfId="3920" priority="474" stopIfTrue="1" operator="lessThan">
      <formula>$L$9</formula>
    </cfRule>
    <cfRule type="cellIs" dxfId="3919" priority="473" stopIfTrue="1" operator="equal">
      <formula>$L$9</formula>
    </cfRule>
  </conditionalFormatting>
  <conditionalFormatting sqref="M10">
    <cfRule type="cellIs" dxfId="3918" priority="475" stopIfTrue="1" operator="equal">
      <formula>$L$10</formula>
    </cfRule>
    <cfRule type="cellIs" dxfId="3917" priority="476" stopIfTrue="1" operator="lessThan">
      <formula>$L$10</formula>
    </cfRule>
  </conditionalFormatting>
  <conditionalFormatting sqref="M11">
    <cfRule type="cellIs" dxfId="3916" priority="477" stopIfTrue="1" operator="equal">
      <formula>$L$11</formula>
    </cfRule>
    <cfRule type="cellIs" dxfId="3915" priority="478" stopIfTrue="1" operator="lessThan">
      <formula>$L$11</formula>
    </cfRule>
  </conditionalFormatting>
  <conditionalFormatting sqref="M12">
    <cfRule type="cellIs" dxfId="3914" priority="479" stopIfTrue="1" operator="equal">
      <formula>$L$12</formula>
    </cfRule>
    <cfRule type="cellIs" dxfId="3913" priority="480" stopIfTrue="1" operator="lessThan">
      <formula>$L$12</formula>
    </cfRule>
  </conditionalFormatting>
  <conditionalFormatting sqref="M13">
    <cfRule type="cellIs" dxfId="3912" priority="481" stopIfTrue="1" operator="equal">
      <formula>$L$13</formula>
    </cfRule>
    <cfRule type="cellIs" dxfId="3911" priority="482" stopIfTrue="1" operator="lessThan">
      <formula>$L$13</formula>
    </cfRule>
  </conditionalFormatting>
  <conditionalFormatting sqref="M14">
    <cfRule type="cellIs" dxfId="3910" priority="483" stopIfTrue="1" operator="equal">
      <formula>$L$14</formula>
    </cfRule>
    <cfRule type="cellIs" dxfId="3909" priority="484" stopIfTrue="1" operator="lessThan">
      <formula>$L$14</formula>
    </cfRule>
  </conditionalFormatting>
  <conditionalFormatting sqref="M15">
    <cfRule type="cellIs" dxfId="3908" priority="485" stopIfTrue="1" operator="equal">
      <formula>$L$15</formula>
    </cfRule>
    <cfRule type="cellIs" dxfId="3907" priority="486" stopIfTrue="1" operator="lessThan">
      <formula>$L$15</formula>
    </cfRule>
  </conditionalFormatting>
  <conditionalFormatting sqref="M16">
    <cfRule type="cellIs" dxfId="3906" priority="487" stopIfTrue="1" operator="equal">
      <formula>$L$16</formula>
    </cfRule>
    <cfRule type="cellIs" dxfId="3905" priority="488" stopIfTrue="1" operator="lessThan">
      <formula>$L$16</formula>
    </cfRule>
  </conditionalFormatting>
  <conditionalFormatting sqref="M17">
    <cfRule type="cellIs" dxfId="3904" priority="489" stopIfTrue="1" operator="equal">
      <formula>$L$17</formula>
    </cfRule>
    <cfRule type="cellIs" dxfId="3903" priority="490" stopIfTrue="1" operator="lessThan">
      <formula>$L$17</formula>
    </cfRule>
  </conditionalFormatting>
  <conditionalFormatting sqref="M18">
    <cfRule type="cellIs" dxfId="3902" priority="492" stopIfTrue="1" operator="lessThan">
      <formula>$L$18</formula>
    </cfRule>
    <cfRule type="cellIs" dxfId="3901" priority="491" stopIfTrue="1" operator="equal">
      <formula>$L$18</formula>
    </cfRule>
  </conditionalFormatting>
  <conditionalFormatting sqref="M19">
    <cfRule type="cellIs" dxfId="3900" priority="494" stopIfTrue="1" operator="lessThan">
      <formula>$L$19</formula>
    </cfRule>
    <cfRule type="cellIs" dxfId="3899" priority="493" stopIfTrue="1" operator="equal">
      <formula>$L$19</formula>
    </cfRule>
  </conditionalFormatting>
  <conditionalFormatting sqref="M20">
    <cfRule type="cellIs" dxfId="3898" priority="495" stopIfTrue="1" operator="equal">
      <formula>$L$20</formula>
    </cfRule>
    <cfRule type="cellIs" dxfId="3897" priority="496" stopIfTrue="1" operator="lessThan">
      <formula>$L$20</formula>
    </cfRule>
  </conditionalFormatting>
  <conditionalFormatting sqref="M21">
    <cfRule type="cellIs" dxfId="3896" priority="497" stopIfTrue="1" operator="equal">
      <formula>$L$21</formula>
    </cfRule>
    <cfRule type="cellIs" dxfId="3895" priority="498" stopIfTrue="1" operator="lessThan">
      <formula>$L$21</formula>
    </cfRule>
  </conditionalFormatting>
  <conditionalFormatting sqref="M22">
    <cfRule type="cellIs" dxfId="3894" priority="499" stopIfTrue="1" operator="equal">
      <formula>$L$22</formula>
    </cfRule>
    <cfRule type="cellIs" dxfId="3893" priority="500" stopIfTrue="1" operator="lessThan">
      <formula>$L$22</formula>
    </cfRule>
  </conditionalFormatting>
  <conditionalFormatting sqref="M23">
    <cfRule type="cellIs" dxfId="3892" priority="501" stopIfTrue="1" operator="equal">
      <formula>$L$23</formula>
    </cfRule>
    <cfRule type="cellIs" dxfId="3891" priority="502" stopIfTrue="1" operator="lessThan">
      <formula>$L$23</formula>
    </cfRule>
  </conditionalFormatting>
  <conditionalFormatting sqref="M24">
    <cfRule type="cellIs" dxfId="3890" priority="503" stopIfTrue="1" operator="equal">
      <formula>$L$24</formula>
    </cfRule>
    <cfRule type="cellIs" dxfId="3889" priority="504" stopIfTrue="1" operator="lessThan">
      <formula>$L$24</formula>
    </cfRule>
  </conditionalFormatting>
  <conditionalFormatting sqref="M25">
    <cfRule type="cellIs" dxfId="3888" priority="505" stopIfTrue="1" operator="equal">
      <formula>$L$25</formula>
    </cfRule>
    <cfRule type="cellIs" dxfId="3887" priority="506" stopIfTrue="1" operator="lessThan">
      <formula>$L$25</formula>
    </cfRule>
  </conditionalFormatting>
  <conditionalFormatting sqref="M26">
    <cfRule type="cellIs" dxfId="3886" priority="507" stopIfTrue="1" operator="equal">
      <formula>$L$26</formula>
    </cfRule>
    <cfRule type="cellIs" dxfId="3885" priority="508" stopIfTrue="1" operator="lessThan">
      <formula>$L$26</formula>
    </cfRule>
  </conditionalFormatting>
  <conditionalFormatting sqref="M27">
    <cfRule type="cellIs" dxfId="3884" priority="509" stopIfTrue="1" operator="equal">
      <formula>$L$27</formula>
    </cfRule>
    <cfRule type="cellIs" dxfId="3883" priority="510" stopIfTrue="1" operator="lessThan">
      <formula>$L$27</formula>
    </cfRule>
  </conditionalFormatting>
  <conditionalFormatting sqref="M28">
    <cfRule type="cellIs" dxfId="3882" priority="512" stopIfTrue="1" operator="equal">
      <formula>$L$28</formula>
    </cfRule>
    <cfRule type="cellIs" dxfId="3881" priority="511" stopIfTrue="1" operator="lessThan">
      <formula>$L$28</formula>
    </cfRule>
  </conditionalFormatting>
  <conditionalFormatting sqref="N4">
    <cfRule type="cellIs" dxfId="3880" priority="514" stopIfTrue="1" operator="lessThan">
      <formula>$M$4</formula>
    </cfRule>
    <cfRule type="cellIs" dxfId="3879" priority="513" stopIfTrue="1" operator="equal">
      <formula>$M$4</formula>
    </cfRule>
  </conditionalFormatting>
  <conditionalFormatting sqref="N5">
    <cfRule type="cellIs" dxfId="3878" priority="515" stopIfTrue="1" operator="equal">
      <formula>$M$5</formula>
    </cfRule>
    <cfRule type="cellIs" dxfId="3877" priority="516" stopIfTrue="1" operator="lessThan">
      <formula>$M$5</formula>
    </cfRule>
  </conditionalFormatting>
  <conditionalFormatting sqref="N6">
    <cfRule type="cellIs" dxfId="3876" priority="517" stopIfTrue="1" operator="equal">
      <formula>$M$6</formula>
    </cfRule>
    <cfRule type="cellIs" dxfId="3875" priority="518" stopIfTrue="1" operator="lessThan">
      <formula>$M$6</formula>
    </cfRule>
  </conditionalFormatting>
  <conditionalFormatting sqref="N7">
    <cfRule type="cellIs" dxfId="3874" priority="519" stopIfTrue="1" operator="equal">
      <formula>$M$7</formula>
    </cfRule>
    <cfRule type="cellIs" dxfId="3873" priority="520" stopIfTrue="1" operator="lessThan">
      <formula>$M$7</formula>
    </cfRule>
  </conditionalFormatting>
  <conditionalFormatting sqref="N8">
    <cfRule type="cellIs" dxfId="3872" priority="521" stopIfTrue="1" operator="equal">
      <formula>$M$8</formula>
    </cfRule>
    <cfRule type="cellIs" dxfId="3871" priority="522" stopIfTrue="1" operator="lessThan">
      <formula>$M$8</formula>
    </cfRule>
  </conditionalFormatting>
  <conditionalFormatting sqref="N9">
    <cfRule type="cellIs" dxfId="3870" priority="523" stopIfTrue="1" operator="equal">
      <formula>$M$9</formula>
    </cfRule>
    <cfRule type="cellIs" dxfId="3869" priority="524" stopIfTrue="1" operator="lessThan">
      <formula>$M$9</formula>
    </cfRule>
  </conditionalFormatting>
  <conditionalFormatting sqref="N10">
    <cfRule type="cellIs" dxfId="3868" priority="525" stopIfTrue="1" operator="equal">
      <formula>$M$10</formula>
    </cfRule>
    <cfRule type="cellIs" dxfId="3867" priority="526" stopIfTrue="1" operator="lessThan">
      <formula>$M$10</formula>
    </cfRule>
  </conditionalFormatting>
  <conditionalFormatting sqref="N11">
    <cfRule type="cellIs" dxfId="3866" priority="547" stopIfTrue="1" operator="equal">
      <formula>$M$11</formula>
    </cfRule>
    <cfRule type="cellIs" dxfId="3865" priority="548" stopIfTrue="1" operator="lessThan">
      <formula>$M$11</formula>
    </cfRule>
  </conditionalFormatting>
  <conditionalFormatting sqref="N12">
    <cfRule type="cellIs" dxfId="3864" priority="527" stopIfTrue="1" operator="equal">
      <formula>$M$12</formula>
    </cfRule>
    <cfRule type="cellIs" dxfId="3863" priority="528" stopIfTrue="1" operator="lessThan">
      <formula>$M$12</formula>
    </cfRule>
  </conditionalFormatting>
  <conditionalFormatting sqref="N13">
    <cfRule type="cellIs" dxfId="3862" priority="529" stopIfTrue="1" operator="equal">
      <formula>$M$13</formula>
    </cfRule>
    <cfRule type="cellIs" dxfId="3861" priority="530" stopIfTrue="1" operator="lessThan">
      <formula>$M$13</formula>
    </cfRule>
  </conditionalFormatting>
  <conditionalFormatting sqref="N14">
    <cfRule type="cellIs" dxfId="3860" priority="532" stopIfTrue="1" operator="lessThan">
      <formula>$M$14</formula>
    </cfRule>
    <cfRule type="cellIs" dxfId="3859" priority="531" stopIfTrue="1" operator="equal">
      <formula>$M$14</formula>
    </cfRule>
  </conditionalFormatting>
  <conditionalFormatting sqref="N15">
    <cfRule type="cellIs" dxfId="3858" priority="533" stopIfTrue="1" operator="equal">
      <formula>$M$15</formula>
    </cfRule>
    <cfRule type="cellIs" dxfId="3857" priority="534" stopIfTrue="1" operator="lessThan">
      <formula>$M$15</formula>
    </cfRule>
  </conditionalFormatting>
  <conditionalFormatting sqref="N16">
    <cfRule type="cellIs" dxfId="3856" priority="535" stopIfTrue="1" operator="equal">
      <formula>$M$16</formula>
    </cfRule>
    <cfRule type="cellIs" dxfId="3855" priority="536" stopIfTrue="1" operator="lessThan">
      <formula>$M$16</formula>
    </cfRule>
  </conditionalFormatting>
  <conditionalFormatting sqref="N17">
    <cfRule type="cellIs" dxfId="3854" priority="537" stopIfTrue="1" operator="equal">
      <formula>$M$17</formula>
    </cfRule>
    <cfRule type="cellIs" dxfId="3853" priority="538" stopIfTrue="1" operator="lessThan">
      <formula>$M$17</formula>
    </cfRule>
  </conditionalFormatting>
  <conditionalFormatting sqref="N18">
    <cfRule type="cellIs" dxfId="3852" priority="539" stopIfTrue="1" operator="equal">
      <formula>$M$18</formula>
    </cfRule>
    <cfRule type="cellIs" dxfId="3851" priority="540" stopIfTrue="1" operator="lessThan">
      <formula>$M$18</formula>
    </cfRule>
  </conditionalFormatting>
  <conditionalFormatting sqref="N19">
    <cfRule type="cellIs" dxfId="3850" priority="541" stopIfTrue="1" operator="equal">
      <formula>$M$19</formula>
    </cfRule>
    <cfRule type="cellIs" dxfId="3849" priority="542" stopIfTrue="1" operator="lessThan">
      <formula>$M$19</formula>
    </cfRule>
  </conditionalFormatting>
  <conditionalFormatting sqref="N20">
    <cfRule type="cellIs" dxfId="3848" priority="543" stopIfTrue="1" operator="equal">
      <formula>$M$20</formula>
    </cfRule>
    <cfRule type="cellIs" dxfId="3847" priority="544" stopIfTrue="1" operator="lessThan">
      <formula>$M$20</formula>
    </cfRule>
  </conditionalFormatting>
  <conditionalFormatting sqref="N21">
    <cfRule type="cellIs" dxfId="3846" priority="545" stopIfTrue="1" operator="equal">
      <formula>$M$21</formula>
    </cfRule>
    <cfRule type="cellIs" dxfId="3845" priority="546" stopIfTrue="1" operator="lessThan">
      <formula>$M$21</formula>
    </cfRule>
  </conditionalFormatting>
  <conditionalFormatting sqref="N22">
    <cfRule type="cellIs" dxfId="3844" priority="549" stopIfTrue="1" operator="equal">
      <formula>$M$22</formula>
    </cfRule>
    <cfRule type="cellIs" dxfId="3843" priority="550" stopIfTrue="1" operator="lessThan">
      <formula>$M$22</formula>
    </cfRule>
  </conditionalFormatting>
  <conditionalFormatting sqref="N23">
    <cfRule type="cellIs" dxfId="3842" priority="552" stopIfTrue="1" operator="lessThan">
      <formula>$M$23</formula>
    </cfRule>
    <cfRule type="cellIs" dxfId="3841" priority="551" stopIfTrue="1" operator="equal">
      <formula>$M$23</formula>
    </cfRule>
  </conditionalFormatting>
  <conditionalFormatting sqref="N24">
    <cfRule type="cellIs" dxfId="3840" priority="554" stopIfTrue="1" operator="lessThan">
      <formula>$M$24</formula>
    </cfRule>
    <cfRule type="cellIs" dxfId="3839" priority="553" stopIfTrue="1" operator="equal">
      <formula>$M$24</formula>
    </cfRule>
  </conditionalFormatting>
  <conditionalFormatting sqref="N25">
    <cfRule type="cellIs" dxfId="3838" priority="555" stopIfTrue="1" operator="equal">
      <formula>$M$25</formula>
    </cfRule>
    <cfRule type="cellIs" dxfId="3837" priority="556" stopIfTrue="1" operator="lessThan">
      <formula>$M$25</formula>
    </cfRule>
  </conditionalFormatting>
  <conditionalFormatting sqref="N26">
    <cfRule type="cellIs" dxfId="3836" priority="557" stopIfTrue="1" operator="equal">
      <formula>$M$26</formula>
    </cfRule>
    <cfRule type="cellIs" dxfId="3835" priority="558" stopIfTrue="1" operator="lessThan">
      <formula>$M$26</formula>
    </cfRule>
  </conditionalFormatting>
  <conditionalFormatting sqref="N27">
    <cfRule type="cellIs" dxfId="3834" priority="559" stopIfTrue="1" operator="equal">
      <formula>$M$27</formula>
    </cfRule>
    <cfRule type="cellIs" dxfId="3833" priority="560" stopIfTrue="1" operator="lessThan">
      <formula>$M$27</formula>
    </cfRule>
  </conditionalFormatting>
  <conditionalFormatting sqref="N28">
    <cfRule type="cellIs" dxfId="3832" priority="561" stopIfTrue="1" operator="equal">
      <formula>$M$28</formula>
    </cfRule>
    <cfRule type="cellIs" dxfId="3831" priority="562" stopIfTrue="1" operator="lessThan">
      <formula>$M$28</formula>
    </cfRule>
  </conditionalFormatting>
  <conditionalFormatting sqref="O4">
    <cfRule type="cellIs" dxfId="3830" priority="563" stopIfTrue="1" operator="lessThan">
      <formula>$N$4</formula>
    </cfRule>
    <cfRule type="cellIs" dxfId="3829" priority="564" stopIfTrue="1" operator="equal">
      <formula>$N$4</formula>
    </cfRule>
  </conditionalFormatting>
  <conditionalFormatting sqref="O5">
    <cfRule type="cellIs" dxfId="3828" priority="565" stopIfTrue="1" operator="equal">
      <formula>$N$5</formula>
    </cfRule>
    <cfRule type="cellIs" dxfId="3827" priority="566" stopIfTrue="1" operator="lessThan">
      <formula>$N$5</formula>
    </cfRule>
  </conditionalFormatting>
  <conditionalFormatting sqref="O6">
    <cfRule type="cellIs" dxfId="3826" priority="567" stopIfTrue="1" operator="equal">
      <formula>$N$6</formula>
    </cfRule>
    <cfRule type="cellIs" dxfId="3825" priority="568" stopIfTrue="1" operator="lessThan">
      <formula>$N$6</formula>
    </cfRule>
  </conditionalFormatting>
  <conditionalFormatting sqref="O7">
    <cfRule type="cellIs" dxfId="3824" priority="569" stopIfTrue="1" operator="equal">
      <formula>$N$7</formula>
    </cfRule>
    <cfRule type="cellIs" dxfId="3823" priority="570" stopIfTrue="1" operator="lessThan">
      <formula>$N$7</formula>
    </cfRule>
  </conditionalFormatting>
  <conditionalFormatting sqref="O8">
    <cfRule type="cellIs" dxfId="3822" priority="572" stopIfTrue="1" operator="lessThan">
      <formula>$N$8</formula>
    </cfRule>
    <cfRule type="cellIs" dxfId="3821" priority="571" stopIfTrue="1" operator="equal">
      <formula>$N$8</formula>
    </cfRule>
  </conditionalFormatting>
  <conditionalFormatting sqref="O9">
    <cfRule type="cellIs" dxfId="3820" priority="573" stopIfTrue="1" operator="equal">
      <formula>$N$9</formula>
    </cfRule>
    <cfRule type="cellIs" dxfId="3819" priority="574" stopIfTrue="1" operator="lessThan">
      <formula>$N$9</formula>
    </cfRule>
  </conditionalFormatting>
  <conditionalFormatting sqref="O10">
    <cfRule type="cellIs" dxfId="3818" priority="575" stopIfTrue="1" operator="equal">
      <formula>$N$10</formula>
    </cfRule>
    <cfRule type="cellIs" dxfId="3817" priority="576" stopIfTrue="1" operator="lessThan">
      <formula>$N$10</formula>
    </cfRule>
  </conditionalFormatting>
  <conditionalFormatting sqref="O11">
    <cfRule type="cellIs" dxfId="3816" priority="577" stopIfTrue="1" operator="equal">
      <formula>$N$11</formula>
    </cfRule>
    <cfRule type="cellIs" dxfId="3815" priority="578" stopIfTrue="1" operator="lessThan">
      <formula>$N$11</formula>
    </cfRule>
  </conditionalFormatting>
  <conditionalFormatting sqref="O12">
    <cfRule type="cellIs" dxfId="3814" priority="579" stopIfTrue="1" operator="equal">
      <formula>$N$12</formula>
    </cfRule>
    <cfRule type="cellIs" dxfId="3813" priority="580" stopIfTrue="1" operator="lessThan">
      <formula>$N$12</formula>
    </cfRule>
  </conditionalFormatting>
  <conditionalFormatting sqref="O13">
    <cfRule type="cellIs" dxfId="3812" priority="581" stopIfTrue="1" operator="equal">
      <formula>$N$13</formula>
    </cfRule>
    <cfRule type="cellIs" dxfId="3811" priority="582" stopIfTrue="1" operator="lessThan">
      <formula>$N$13</formula>
    </cfRule>
  </conditionalFormatting>
  <conditionalFormatting sqref="O14">
    <cfRule type="cellIs" dxfId="3810" priority="583" stopIfTrue="1" operator="equal">
      <formula>$N$14</formula>
    </cfRule>
    <cfRule type="cellIs" dxfId="3809" priority="584" stopIfTrue="1" operator="lessThan">
      <formula>$N$14</formula>
    </cfRule>
  </conditionalFormatting>
  <conditionalFormatting sqref="O15">
    <cfRule type="cellIs" dxfId="3808" priority="585" stopIfTrue="1" operator="equal">
      <formula>$N$15</formula>
    </cfRule>
    <cfRule type="cellIs" dxfId="3807" priority="586" stopIfTrue="1" operator="lessThan">
      <formula>$N$15</formula>
    </cfRule>
  </conditionalFormatting>
  <conditionalFormatting sqref="O16">
    <cfRule type="cellIs" dxfId="3806" priority="587" stopIfTrue="1" operator="equal">
      <formula>$N$16</formula>
    </cfRule>
    <cfRule type="cellIs" dxfId="3805" priority="588" stopIfTrue="1" operator="lessThan">
      <formula>$N$16</formula>
    </cfRule>
  </conditionalFormatting>
  <conditionalFormatting sqref="O17">
    <cfRule type="cellIs" dxfId="3804" priority="589" stopIfTrue="1" operator="equal">
      <formula>$N$17</formula>
    </cfRule>
    <cfRule type="cellIs" dxfId="3803" priority="590" stopIfTrue="1" operator="lessThan">
      <formula>$N$17</formula>
    </cfRule>
  </conditionalFormatting>
  <conditionalFormatting sqref="O18">
    <cfRule type="cellIs" dxfId="3802" priority="592" stopIfTrue="1" operator="lessThan">
      <formula>$N$18</formula>
    </cfRule>
    <cfRule type="cellIs" dxfId="3801" priority="591" stopIfTrue="1" operator="equal">
      <formula>$N$18</formula>
    </cfRule>
  </conditionalFormatting>
  <conditionalFormatting sqref="O19">
    <cfRule type="cellIs" dxfId="3800" priority="594" stopIfTrue="1" operator="lessThan">
      <formula>$N$19</formula>
    </cfRule>
    <cfRule type="cellIs" dxfId="3799" priority="593" stopIfTrue="1" operator="equal">
      <formula>$N$19</formula>
    </cfRule>
  </conditionalFormatting>
  <conditionalFormatting sqref="O20">
    <cfRule type="cellIs" dxfId="3798" priority="595" stopIfTrue="1" operator="equal">
      <formula>$N$20</formula>
    </cfRule>
    <cfRule type="cellIs" dxfId="3797" priority="596" stopIfTrue="1" operator="lessThan">
      <formula>$N$20</formula>
    </cfRule>
  </conditionalFormatting>
  <conditionalFormatting sqref="O21">
    <cfRule type="cellIs" dxfId="3796" priority="597" stopIfTrue="1" operator="equal">
      <formula>$N$21</formula>
    </cfRule>
    <cfRule type="cellIs" dxfId="3795" priority="598" stopIfTrue="1" operator="lessThan">
      <formula>$N$21</formula>
    </cfRule>
  </conditionalFormatting>
  <conditionalFormatting sqref="O22">
    <cfRule type="cellIs" dxfId="3794" priority="599" stopIfTrue="1" operator="equal">
      <formula>$N$22</formula>
    </cfRule>
    <cfRule type="cellIs" dxfId="3793" priority="600" stopIfTrue="1" operator="lessThan">
      <formula>$N$22</formula>
    </cfRule>
  </conditionalFormatting>
  <conditionalFormatting sqref="O23">
    <cfRule type="cellIs" dxfId="3792" priority="601" stopIfTrue="1" operator="equal">
      <formula>$N$23</formula>
    </cfRule>
    <cfRule type="cellIs" dxfId="3791" priority="602" stopIfTrue="1" operator="lessThan">
      <formula>$N$23</formula>
    </cfRule>
  </conditionalFormatting>
  <conditionalFormatting sqref="O24">
    <cfRule type="cellIs" dxfId="3790" priority="603" stopIfTrue="1" operator="equal">
      <formula>$N$24</formula>
    </cfRule>
    <cfRule type="cellIs" dxfId="3789" priority="604" stopIfTrue="1" operator="lessThan">
      <formula>$N$24</formula>
    </cfRule>
  </conditionalFormatting>
  <conditionalFormatting sqref="O25">
    <cfRule type="cellIs" dxfId="3788" priority="605" stopIfTrue="1" operator="equal">
      <formula>$N$25</formula>
    </cfRule>
    <cfRule type="cellIs" dxfId="3787" priority="606" stopIfTrue="1" operator="lessThan">
      <formula>$N$25</formula>
    </cfRule>
  </conditionalFormatting>
  <conditionalFormatting sqref="O26">
    <cfRule type="cellIs" dxfId="3786" priority="607" stopIfTrue="1" operator="equal">
      <formula>$N$26</formula>
    </cfRule>
    <cfRule type="cellIs" dxfId="3785" priority="608" stopIfTrue="1" operator="lessThan">
      <formula>$N$26</formula>
    </cfRule>
  </conditionalFormatting>
  <conditionalFormatting sqref="O27">
    <cfRule type="cellIs" dxfId="3784" priority="609" stopIfTrue="1" operator="equal">
      <formula>$N$27</formula>
    </cfRule>
    <cfRule type="cellIs" dxfId="3783" priority="610" stopIfTrue="1" operator="lessThan">
      <formula>$N$27</formula>
    </cfRule>
  </conditionalFormatting>
  <conditionalFormatting sqref="O28">
    <cfRule type="cellIs" dxfId="3782" priority="612" stopIfTrue="1" operator="lessThan">
      <formula>$N$28</formula>
    </cfRule>
    <cfRule type="cellIs" dxfId="3781" priority="611" stopIfTrue="1" operator="equal">
      <formula>$N$28</formula>
    </cfRule>
  </conditionalFormatting>
  <conditionalFormatting sqref="P4">
    <cfRule type="cellIs" dxfId="3780" priority="613" stopIfTrue="1" operator="equal">
      <formula>$O$4</formula>
    </cfRule>
    <cfRule type="cellIs" dxfId="3779" priority="614" stopIfTrue="1" operator="lessThan">
      <formula>$O$4</formula>
    </cfRule>
  </conditionalFormatting>
  <conditionalFormatting sqref="P5">
    <cfRule type="cellIs" dxfId="3778" priority="615" stopIfTrue="1" operator="equal">
      <formula>$O$5</formula>
    </cfRule>
    <cfRule type="cellIs" dxfId="3777" priority="616" stopIfTrue="1" operator="lessThan">
      <formula>$O$5</formula>
    </cfRule>
  </conditionalFormatting>
  <conditionalFormatting sqref="P6">
    <cfRule type="cellIs" dxfId="3776" priority="617" stopIfTrue="1" operator="equal">
      <formula>$O$6</formula>
    </cfRule>
    <cfRule type="cellIs" dxfId="3775" priority="618" stopIfTrue="1" operator="lessThan">
      <formula>$O$6</formula>
    </cfRule>
  </conditionalFormatting>
  <conditionalFormatting sqref="P7">
    <cfRule type="cellIs" dxfId="3774" priority="619" stopIfTrue="1" operator="equal">
      <formula>$O$7</formula>
    </cfRule>
    <cfRule type="cellIs" dxfId="3773" priority="620" stopIfTrue="1" operator="lessThan">
      <formula>$O$7</formula>
    </cfRule>
  </conditionalFormatting>
  <conditionalFormatting sqref="P8">
    <cfRule type="cellIs" dxfId="3772" priority="621" stopIfTrue="1" operator="equal">
      <formula>$O$8</formula>
    </cfRule>
    <cfRule type="cellIs" dxfId="3771" priority="622" stopIfTrue="1" operator="lessThan">
      <formula>$O$8</formula>
    </cfRule>
  </conditionalFormatting>
  <conditionalFormatting sqref="P9">
    <cfRule type="cellIs" dxfId="3770" priority="623" stopIfTrue="1" operator="equal">
      <formula>$O$9</formula>
    </cfRule>
    <cfRule type="cellIs" dxfId="3769" priority="624" stopIfTrue="1" operator="lessThan">
      <formula>$O$9</formula>
    </cfRule>
  </conditionalFormatting>
  <conditionalFormatting sqref="P10">
    <cfRule type="cellIs" dxfId="3768" priority="625" stopIfTrue="1" operator="equal">
      <formula>$O$10</formula>
    </cfRule>
    <cfRule type="cellIs" dxfId="3767" priority="626" stopIfTrue="1" operator="lessThan">
      <formula>$O$10</formula>
    </cfRule>
  </conditionalFormatting>
  <conditionalFormatting sqref="P11">
    <cfRule type="cellIs" dxfId="3766" priority="627" stopIfTrue="1" operator="equal">
      <formula>$O$11</formula>
    </cfRule>
    <cfRule type="cellIs" dxfId="3765" priority="628" stopIfTrue="1" operator="lessThan">
      <formula>$O$11</formula>
    </cfRule>
  </conditionalFormatting>
  <conditionalFormatting sqref="P12">
    <cfRule type="cellIs" dxfId="3764" priority="629" stopIfTrue="1" operator="equal">
      <formula>$O$12</formula>
    </cfRule>
    <cfRule type="cellIs" dxfId="3763" priority="630" stopIfTrue="1" operator="lessThan">
      <formula>$O$12</formula>
    </cfRule>
  </conditionalFormatting>
  <conditionalFormatting sqref="P13">
    <cfRule type="cellIs" dxfId="3762" priority="632" stopIfTrue="1" operator="lessThan">
      <formula>$O$13</formula>
    </cfRule>
    <cfRule type="cellIs" dxfId="3761" priority="631" stopIfTrue="1" operator="equal">
      <formula>$O$13</formula>
    </cfRule>
  </conditionalFormatting>
  <conditionalFormatting sqref="P14">
    <cfRule type="cellIs" dxfId="3760" priority="634" stopIfTrue="1" operator="lessThan">
      <formula>$O$14</formula>
    </cfRule>
    <cfRule type="cellIs" dxfId="3759" priority="633" stopIfTrue="1" operator="equal">
      <formula>$O$14</formula>
    </cfRule>
  </conditionalFormatting>
  <conditionalFormatting sqref="P15">
    <cfRule type="cellIs" dxfId="3758" priority="635" stopIfTrue="1" operator="equal">
      <formula>$O$15</formula>
    </cfRule>
    <cfRule type="cellIs" dxfId="3757" priority="636" stopIfTrue="1" operator="lessThan">
      <formula>$O$15</formula>
    </cfRule>
  </conditionalFormatting>
  <conditionalFormatting sqref="P16">
    <cfRule type="cellIs" dxfId="3756" priority="637" stopIfTrue="1" operator="equal">
      <formula>$O$16</formula>
    </cfRule>
    <cfRule type="cellIs" dxfId="3755" priority="638" stopIfTrue="1" operator="lessThan">
      <formula>$O$16</formula>
    </cfRule>
  </conditionalFormatting>
  <conditionalFormatting sqref="P17">
    <cfRule type="cellIs" dxfId="3754" priority="639" stopIfTrue="1" operator="equal">
      <formula>$O$17</formula>
    </cfRule>
    <cfRule type="cellIs" dxfId="3753" priority="640" stopIfTrue="1" operator="lessThan">
      <formula>$O$17</formula>
    </cfRule>
  </conditionalFormatting>
  <conditionalFormatting sqref="P18">
    <cfRule type="cellIs" dxfId="3752" priority="641" stopIfTrue="1" operator="equal">
      <formula>$O$18</formula>
    </cfRule>
    <cfRule type="cellIs" dxfId="3751" priority="642" stopIfTrue="1" operator="lessThan">
      <formula>$O$18</formula>
    </cfRule>
  </conditionalFormatting>
  <conditionalFormatting sqref="P19">
    <cfRule type="cellIs" dxfId="3750" priority="643" stopIfTrue="1" operator="equal">
      <formula>$O$19</formula>
    </cfRule>
    <cfRule type="cellIs" dxfId="3749" priority="644" stopIfTrue="1" operator="lessThan">
      <formula>$O$19</formula>
    </cfRule>
  </conditionalFormatting>
  <conditionalFormatting sqref="P20">
    <cfRule type="cellIs" dxfId="3748" priority="645" stopIfTrue="1" operator="equal">
      <formula>$O$20</formula>
    </cfRule>
    <cfRule type="cellIs" dxfId="3747" priority="646" stopIfTrue="1" operator="lessThan">
      <formula>$O$20</formula>
    </cfRule>
  </conditionalFormatting>
  <conditionalFormatting sqref="P21">
    <cfRule type="cellIs" dxfId="3746" priority="647" stopIfTrue="1" operator="equal">
      <formula>$O$21</formula>
    </cfRule>
    <cfRule type="cellIs" dxfId="3745" priority="648" stopIfTrue="1" operator="lessThan">
      <formula>$O$21</formula>
    </cfRule>
  </conditionalFormatting>
  <conditionalFormatting sqref="P22">
    <cfRule type="cellIs" dxfId="3744" priority="649" stopIfTrue="1" operator="equal">
      <formula>$O$22</formula>
    </cfRule>
    <cfRule type="cellIs" dxfId="3743" priority="650" stopIfTrue="1" operator="lessThan">
      <formula>$O$22</formula>
    </cfRule>
  </conditionalFormatting>
  <conditionalFormatting sqref="P23">
    <cfRule type="cellIs" dxfId="3742" priority="652" stopIfTrue="1" operator="lessThan">
      <formula>$O$23</formula>
    </cfRule>
    <cfRule type="cellIs" dxfId="3741" priority="651" stopIfTrue="1" operator="equal">
      <formula>$O$23</formula>
    </cfRule>
  </conditionalFormatting>
  <conditionalFormatting sqref="P24">
    <cfRule type="cellIs" dxfId="3740" priority="654" stopIfTrue="1" operator="lessThan">
      <formula>$O$24</formula>
    </cfRule>
    <cfRule type="cellIs" dxfId="3739" priority="653" stopIfTrue="1" operator="equal">
      <formula>$O$24</formula>
    </cfRule>
  </conditionalFormatting>
  <conditionalFormatting sqref="P25">
    <cfRule type="cellIs" dxfId="3738" priority="655" stopIfTrue="1" operator="equal">
      <formula>$O$25</formula>
    </cfRule>
    <cfRule type="cellIs" dxfId="3737" priority="656" stopIfTrue="1" operator="lessThan">
      <formula>$O$25</formula>
    </cfRule>
  </conditionalFormatting>
  <conditionalFormatting sqref="P26">
    <cfRule type="cellIs" dxfId="3736" priority="657" stopIfTrue="1" operator="equal">
      <formula>$O$26</formula>
    </cfRule>
    <cfRule type="cellIs" dxfId="3735" priority="658" stopIfTrue="1" operator="lessThan">
      <formula>$O$26</formula>
    </cfRule>
  </conditionalFormatting>
  <conditionalFormatting sqref="P27">
    <cfRule type="cellIs" dxfId="3734" priority="659" stopIfTrue="1" operator="equal">
      <formula>$O$27</formula>
    </cfRule>
    <cfRule type="cellIs" dxfId="3733" priority="660" stopIfTrue="1" operator="lessThan">
      <formula>$O$27</formula>
    </cfRule>
  </conditionalFormatting>
  <conditionalFormatting sqref="P28">
    <cfRule type="cellIs" dxfId="3732" priority="661" stopIfTrue="1" operator="equal">
      <formula>$O$28</formula>
    </cfRule>
    <cfRule type="cellIs" dxfId="3731" priority="662" stopIfTrue="1" operator="lessThan">
      <formula>$O$28</formula>
    </cfRule>
  </conditionalFormatting>
  <conditionalFormatting sqref="Q4">
    <cfRule type="cellIs" dxfId="3730" priority="663" stopIfTrue="1" operator="equal">
      <formula>$P$4</formula>
    </cfRule>
    <cfRule type="cellIs" dxfId="3729" priority="664" stopIfTrue="1" operator="lessThan">
      <formula>$P$4</formula>
    </cfRule>
  </conditionalFormatting>
  <conditionalFormatting sqref="Q5">
    <cfRule type="cellIs" dxfId="3728" priority="665" stopIfTrue="1" operator="equal">
      <formula>$P$5</formula>
    </cfRule>
    <cfRule type="cellIs" dxfId="3727" priority="666" stopIfTrue="1" operator="lessThan">
      <formula>$P$5</formula>
    </cfRule>
  </conditionalFormatting>
  <conditionalFormatting sqref="Q6">
    <cfRule type="cellIs" dxfId="3726" priority="667" stopIfTrue="1" operator="equal">
      <formula>$P$6</formula>
    </cfRule>
    <cfRule type="cellIs" dxfId="3725" priority="668" stopIfTrue="1" operator="lessThan">
      <formula>$P$6</formula>
    </cfRule>
  </conditionalFormatting>
  <conditionalFormatting sqref="Q7">
    <cfRule type="cellIs" dxfId="3724" priority="669" stopIfTrue="1" operator="equal">
      <formula>$P$7</formula>
    </cfRule>
    <cfRule type="cellIs" dxfId="3723" priority="670" stopIfTrue="1" operator="lessThan">
      <formula>$P$7</formula>
    </cfRule>
  </conditionalFormatting>
  <conditionalFormatting sqref="Q8">
    <cfRule type="cellIs" dxfId="3722" priority="672" stopIfTrue="1" operator="lessThan">
      <formula>$P$8</formula>
    </cfRule>
    <cfRule type="cellIs" dxfId="3721" priority="671" stopIfTrue="1" operator="equal">
      <formula>$P$8</formula>
    </cfRule>
  </conditionalFormatting>
  <conditionalFormatting sqref="Q9">
    <cfRule type="cellIs" dxfId="3720" priority="674" stopIfTrue="1" operator="lessThan">
      <formula>$P$9</formula>
    </cfRule>
    <cfRule type="cellIs" dxfId="3719" priority="673" stopIfTrue="1" operator="equal">
      <formula>$P$9</formula>
    </cfRule>
  </conditionalFormatting>
  <conditionalFormatting sqref="Q10">
    <cfRule type="cellIs" dxfId="3718" priority="675" stopIfTrue="1" operator="equal">
      <formula>$P$10</formula>
    </cfRule>
    <cfRule type="cellIs" dxfId="3717" priority="676" stopIfTrue="1" operator="lessThan">
      <formula>$P$10</formula>
    </cfRule>
  </conditionalFormatting>
  <conditionalFormatting sqref="Q11">
    <cfRule type="cellIs" dxfId="3716" priority="677" stopIfTrue="1" operator="equal">
      <formula>$P$11</formula>
    </cfRule>
    <cfRule type="cellIs" dxfId="3715" priority="678" stopIfTrue="1" operator="lessThan">
      <formula>$P$11</formula>
    </cfRule>
  </conditionalFormatting>
  <conditionalFormatting sqref="Q12">
    <cfRule type="cellIs" dxfId="3714" priority="679" stopIfTrue="1" operator="equal">
      <formula>$P$12</formula>
    </cfRule>
    <cfRule type="cellIs" dxfId="3713" priority="680" stopIfTrue="1" operator="lessThan">
      <formula>$P$12</formula>
    </cfRule>
  </conditionalFormatting>
  <conditionalFormatting sqref="Q13">
    <cfRule type="cellIs" dxfId="3712" priority="681" stopIfTrue="1" operator="equal">
      <formula>$P$13</formula>
    </cfRule>
    <cfRule type="cellIs" dxfId="3711" priority="682" stopIfTrue="1" operator="lessThan">
      <formula>$P$13</formula>
    </cfRule>
  </conditionalFormatting>
  <conditionalFormatting sqref="Q14">
    <cfRule type="cellIs" dxfId="3710" priority="683" stopIfTrue="1" operator="equal">
      <formula>$P$14</formula>
    </cfRule>
    <cfRule type="cellIs" dxfId="3709" priority="684" stopIfTrue="1" operator="lessThan">
      <formula>$P$14</formula>
    </cfRule>
  </conditionalFormatting>
  <conditionalFormatting sqref="Q15">
    <cfRule type="cellIs" dxfId="3708" priority="685" stopIfTrue="1" operator="equal">
      <formula>$P$15</formula>
    </cfRule>
    <cfRule type="cellIs" dxfId="3707" priority="686" stopIfTrue="1" operator="lessThan">
      <formula>$P$15</formula>
    </cfRule>
  </conditionalFormatting>
  <conditionalFormatting sqref="Q16">
    <cfRule type="cellIs" dxfId="3706" priority="687" stopIfTrue="1" operator="equal">
      <formula>$P$16</formula>
    </cfRule>
    <cfRule type="cellIs" dxfId="3705" priority="688" stopIfTrue="1" operator="lessThan">
      <formula>$P$16</formula>
    </cfRule>
  </conditionalFormatting>
  <conditionalFormatting sqref="Q17">
    <cfRule type="cellIs" dxfId="3704" priority="689" stopIfTrue="1" operator="equal">
      <formula>$P$17</formula>
    </cfRule>
    <cfRule type="cellIs" dxfId="3703" priority="690" stopIfTrue="1" operator="lessThan">
      <formula>$P$17</formula>
    </cfRule>
  </conditionalFormatting>
  <conditionalFormatting sqref="Q18">
    <cfRule type="cellIs" dxfId="3702" priority="692" stopIfTrue="1" operator="lessThan">
      <formula>$P$18</formula>
    </cfRule>
    <cfRule type="cellIs" dxfId="3701" priority="691" stopIfTrue="1" operator="equal">
      <formula>$P$18</formula>
    </cfRule>
  </conditionalFormatting>
  <conditionalFormatting sqref="Q19">
    <cfRule type="cellIs" dxfId="3700" priority="693" stopIfTrue="1" operator="equal">
      <formula>$P$19</formula>
    </cfRule>
    <cfRule type="cellIs" dxfId="3699" priority="694" stopIfTrue="1" operator="lessThan">
      <formula>$P$19</formula>
    </cfRule>
  </conditionalFormatting>
  <conditionalFormatting sqref="Q20">
    <cfRule type="cellIs" dxfId="3698" priority="695" stopIfTrue="1" operator="equal">
      <formula>$P$20</formula>
    </cfRule>
    <cfRule type="cellIs" dxfId="3697" priority="696" stopIfTrue="1" operator="lessThan">
      <formula>$P$20</formula>
    </cfRule>
  </conditionalFormatting>
  <conditionalFormatting sqref="Q21">
    <cfRule type="cellIs" dxfId="3696" priority="697" stopIfTrue="1" operator="equal">
      <formula>$P$21</formula>
    </cfRule>
    <cfRule type="cellIs" dxfId="3695" priority="698" stopIfTrue="1" operator="lessThan">
      <formula>$P$21</formula>
    </cfRule>
  </conditionalFormatting>
  <conditionalFormatting sqref="Q22">
    <cfRule type="cellIs" dxfId="3694" priority="699" stopIfTrue="1" operator="equal">
      <formula>$P$22</formula>
    </cfRule>
    <cfRule type="cellIs" dxfId="3693" priority="700" stopIfTrue="1" operator="lessThan">
      <formula>$P$22</formula>
    </cfRule>
  </conditionalFormatting>
  <conditionalFormatting sqref="Q23">
    <cfRule type="cellIs" dxfId="3692" priority="701" stopIfTrue="1" operator="equal">
      <formula>$P$23</formula>
    </cfRule>
    <cfRule type="cellIs" dxfId="3691" priority="702" stopIfTrue="1" operator="lessThan">
      <formula>$P$23</formula>
    </cfRule>
  </conditionalFormatting>
  <conditionalFormatting sqref="Q24">
    <cfRule type="cellIs" dxfId="3690" priority="703" stopIfTrue="1" operator="equal">
      <formula>$P$24</formula>
    </cfRule>
    <cfRule type="cellIs" dxfId="3689" priority="704" stopIfTrue="1" operator="lessThan">
      <formula>$P$24</formula>
    </cfRule>
  </conditionalFormatting>
  <conditionalFormatting sqref="Q25">
    <cfRule type="cellIs" dxfId="3688" priority="705" stopIfTrue="1" operator="equal">
      <formula>$P$25</formula>
    </cfRule>
    <cfRule type="cellIs" dxfId="3687" priority="706" stopIfTrue="1" operator="lessThan">
      <formula>$P$25</formula>
    </cfRule>
  </conditionalFormatting>
  <conditionalFormatting sqref="Q26">
    <cfRule type="cellIs" dxfId="3686" priority="707" stopIfTrue="1" operator="equal">
      <formula>$P$26</formula>
    </cfRule>
    <cfRule type="cellIs" dxfId="3685" priority="708" stopIfTrue="1" operator="lessThan">
      <formula>$P$26</formula>
    </cfRule>
  </conditionalFormatting>
  <conditionalFormatting sqref="Q27">
    <cfRule type="cellIs" dxfId="3684" priority="709" stopIfTrue="1" operator="equal">
      <formula>$P$27</formula>
    </cfRule>
    <cfRule type="cellIs" dxfId="3683" priority="710" stopIfTrue="1" operator="lessThan">
      <formula>$P$27</formula>
    </cfRule>
  </conditionalFormatting>
  <conditionalFormatting sqref="Q28">
    <cfRule type="cellIs" dxfId="3682" priority="712" stopIfTrue="1" operator="lessThan">
      <formula>$P$28</formula>
    </cfRule>
    <cfRule type="cellIs" dxfId="3681" priority="711" stopIfTrue="1" operator="equal">
      <formula>$P$28</formula>
    </cfRule>
  </conditionalFormatting>
  <conditionalFormatting sqref="W4:AH23 W33:AH37 W40:AH49 W54:AH63">
    <cfRule type="cellIs" dxfId="3680" priority="1" operator="lessThan">
      <formula>0</formula>
    </cfRule>
  </conditionalFormatting>
  <pageMargins left="0.43307086614173229" right="0.27559055118110237" top="0.27559055118110237" bottom="0.39370078740157483" header="0.51181102362204722" footer="0.51181102362204722"/>
  <pageSetup paperSize="9" firstPageNumber="0" orientation="landscape" r:id="rId1"/>
  <headerFooter alignWithMargins="0"/>
  <colBreaks count="1" manualBreakCount="1">
    <brk id="13" max="4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7"/>
  <sheetViews>
    <sheetView zoomScaleNormal="100" zoomScaleSheetLayoutView="100" workbookViewId="0">
      <selection activeCell="F2" sqref="F2"/>
    </sheetView>
  </sheetViews>
  <sheetFormatPr defaultRowHeight="14.5" x14ac:dyDescent="0.35"/>
  <cols>
    <col min="1" max="1" width="8.54296875" style="1" customWidth="1"/>
    <col min="2" max="2" width="14.6328125" customWidth="1"/>
    <col min="3" max="3" width="12.6328125" style="93" customWidth="1"/>
    <col min="4" max="16" width="10.1796875" customWidth="1"/>
    <col min="17" max="17" width="9.26953125" bestFit="1" customWidth="1"/>
    <col min="20" max="20" width="3" customWidth="1"/>
  </cols>
  <sheetData>
    <row r="1" spans="1:33" ht="15" thickBot="1" x14ac:dyDescent="0.4"/>
    <row r="2" spans="1:33" s="1" customFormat="1" ht="21" customHeight="1" thickBot="1" x14ac:dyDescent="0.55000000000000004">
      <c r="A2" s="112">
        <v>1852</v>
      </c>
      <c r="B2" s="2"/>
      <c r="C2" s="315"/>
      <c r="D2" s="3">
        <f>'1850'!D2</f>
        <v>46022</v>
      </c>
      <c r="E2" s="3">
        <f>'1850'!E2</f>
        <v>46055</v>
      </c>
      <c r="F2" s="3">
        <f>'1850'!F2</f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0</v>
      </c>
      <c r="R2" s="1" t="s">
        <v>1</v>
      </c>
      <c r="S2" s="1" t="s">
        <v>27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</row>
    <row r="3" spans="1:33" s="1" customFormat="1" ht="15" thickBot="1" x14ac:dyDescent="0.4">
      <c r="A3" s="4" t="s">
        <v>2</v>
      </c>
      <c r="B3" s="5"/>
      <c r="C3" s="316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</row>
    <row r="4" spans="1:33" ht="15" thickBot="1" x14ac:dyDescent="0.4">
      <c r="A4" s="371">
        <v>1</v>
      </c>
      <c r="B4" s="6" t="s">
        <v>244</v>
      </c>
      <c r="C4" s="312">
        <v>241345697</v>
      </c>
      <c r="D4" s="76">
        <v>132.85499999999999</v>
      </c>
      <c r="E4" s="7">
        <v>143.994</v>
      </c>
      <c r="F4" s="7">
        <v>156.15199999999999</v>
      </c>
      <c r="G4" s="7"/>
      <c r="H4" s="7"/>
      <c r="I4" s="7"/>
      <c r="J4" s="7"/>
      <c r="K4" s="7"/>
      <c r="L4" s="7"/>
      <c r="M4" s="8"/>
      <c r="N4" s="7"/>
      <c r="O4" s="7"/>
      <c r="P4" s="7"/>
      <c r="Q4" s="9">
        <f>P4-D4</f>
        <v>-132.85499999999999</v>
      </c>
      <c r="U4" s="1">
        <v>1</v>
      </c>
      <c r="V4" s="144">
        <f t="shared" ref="V4:AG4" si="0">E4-D4</f>
        <v>11.13900000000001</v>
      </c>
      <c r="W4" s="144">
        <f t="shared" si="0"/>
        <v>12.157999999999987</v>
      </c>
      <c r="X4" s="144">
        <f t="shared" si="0"/>
        <v>-156.15199999999999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</row>
    <row r="5" spans="1:33" x14ac:dyDescent="0.35">
      <c r="A5" s="371"/>
      <c r="B5" s="10" t="s">
        <v>245</v>
      </c>
      <c r="C5" s="313">
        <v>71182233</v>
      </c>
      <c r="D5" s="77">
        <v>101.95399999999999</v>
      </c>
      <c r="E5" s="11">
        <v>108.23699999999999</v>
      </c>
      <c r="F5" s="11">
        <v>112.61</v>
      </c>
      <c r="G5" s="11"/>
      <c r="H5" s="11"/>
      <c r="I5" s="11"/>
      <c r="J5" s="11"/>
      <c r="K5" s="11"/>
      <c r="L5" s="11"/>
      <c r="M5" s="12"/>
      <c r="N5" s="11"/>
      <c r="O5" s="11"/>
      <c r="P5" s="11"/>
      <c r="Q5" s="9"/>
      <c r="R5" s="9">
        <f>P5-D5</f>
        <v>-101.95399999999999</v>
      </c>
      <c r="U5" s="1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</row>
    <row r="6" spans="1:33" x14ac:dyDescent="0.35">
      <c r="A6" s="372">
        <v>2</v>
      </c>
      <c r="B6" s="10" t="s">
        <v>244</v>
      </c>
      <c r="C6" s="313">
        <v>241345687</v>
      </c>
      <c r="D6" s="77">
        <v>70.296000000000006</v>
      </c>
      <c r="E6" s="11">
        <v>72.347999999999999</v>
      </c>
      <c r="F6" s="11">
        <v>76.59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9">
        <f>P6-D6</f>
        <v>-70.296000000000006</v>
      </c>
      <c r="U6" s="1">
        <v>2</v>
      </c>
      <c r="V6" s="146">
        <f t="shared" ref="V6:AG6" si="1">E6-D6</f>
        <v>2.0519999999999925</v>
      </c>
      <c r="W6" s="146">
        <f t="shared" si="1"/>
        <v>4.2420000000000044</v>
      </c>
      <c r="X6" s="146">
        <f t="shared" si="1"/>
        <v>-76.59</v>
      </c>
      <c r="Y6" s="146">
        <f t="shared" si="1"/>
        <v>0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</row>
    <row r="7" spans="1:33" x14ac:dyDescent="0.35">
      <c r="A7" s="372"/>
      <c r="B7" s="10" t="s">
        <v>245</v>
      </c>
      <c r="C7" s="313">
        <v>71182270</v>
      </c>
      <c r="D7" s="77">
        <v>53.345999999999997</v>
      </c>
      <c r="E7" s="11">
        <v>55.978000000000002</v>
      </c>
      <c r="F7" s="11">
        <v>58.186999999999998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9"/>
      <c r="R7" s="9">
        <f>P7-D7</f>
        <v>-53.345999999999997</v>
      </c>
      <c r="U7" s="1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</row>
    <row r="8" spans="1:33" x14ac:dyDescent="0.35">
      <c r="A8" s="377">
        <v>3</v>
      </c>
      <c r="B8" s="10" t="s">
        <v>244</v>
      </c>
      <c r="C8" s="313">
        <v>241345688</v>
      </c>
      <c r="D8" s="77">
        <v>150.035</v>
      </c>
      <c r="E8" s="11">
        <v>162.726</v>
      </c>
      <c r="F8" s="11">
        <v>174.351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9">
        <f>P8-D8</f>
        <v>-150.035</v>
      </c>
      <c r="U8" s="1">
        <v>3</v>
      </c>
      <c r="V8" s="146">
        <f t="shared" ref="V8:AG8" si="2">E8-D8</f>
        <v>12.691000000000003</v>
      </c>
      <c r="W8" s="146">
        <f t="shared" si="2"/>
        <v>11.625</v>
      </c>
      <c r="X8" s="146">
        <f t="shared" si="2"/>
        <v>-174.351</v>
      </c>
      <c r="Y8" s="146">
        <f t="shared" si="2"/>
        <v>0</v>
      </c>
      <c r="Z8" s="146">
        <f t="shared" si="2"/>
        <v>0</v>
      </c>
      <c r="AA8" s="146">
        <f t="shared" si="2"/>
        <v>0</v>
      </c>
      <c r="AB8" s="146">
        <f t="shared" si="2"/>
        <v>0</v>
      </c>
      <c r="AC8" s="146">
        <f t="shared" si="2"/>
        <v>0</v>
      </c>
      <c r="AD8" s="146">
        <f t="shared" si="2"/>
        <v>0</v>
      </c>
      <c r="AE8" s="146">
        <f t="shared" si="2"/>
        <v>0</v>
      </c>
      <c r="AF8" s="146">
        <f t="shared" si="2"/>
        <v>0</v>
      </c>
      <c r="AG8" s="146">
        <f t="shared" si="2"/>
        <v>0</v>
      </c>
    </row>
    <row r="9" spans="1:33" x14ac:dyDescent="0.35">
      <c r="A9" s="377"/>
      <c r="B9" s="10" t="s">
        <v>245</v>
      </c>
      <c r="C9" s="313">
        <v>71182274</v>
      </c>
      <c r="D9" s="77">
        <v>142.691</v>
      </c>
      <c r="E9" s="11">
        <v>149.91300000000001</v>
      </c>
      <c r="F9" s="11">
        <v>154.87799999999999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>
        <f>P9-D9</f>
        <v>-142.691</v>
      </c>
      <c r="U9" s="1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</row>
    <row r="10" spans="1:33" x14ac:dyDescent="0.35">
      <c r="A10" s="377">
        <v>4</v>
      </c>
      <c r="B10" s="10" t="s">
        <v>244</v>
      </c>
      <c r="C10" s="313">
        <v>250434729</v>
      </c>
      <c r="D10" s="77">
        <v>71.463999999999999</v>
      </c>
      <c r="E10" s="11">
        <v>80.61</v>
      </c>
      <c r="F10" s="11">
        <v>87.617999999999995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9">
        <f>P10-D10</f>
        <v>-71.463999999999999</v>
      </c>
      <c r="U10" s="1">
        <v>4</v>
      </c>
      <c r="V10" s="146">
        <f t="shared" ref="V10:AG10" si="3">E10-D10</f>
        <v>9.1460000000000008</v>
      </c>
      <c r="W10" s="146">
        <f t="shared" si="3"/>
        <v>7.0079999999999956</v>
      </c>
      <c r="X10" s="146">
        <f>G10-F10</f>
        <v>-87.617999999999995</v>
      </c>
      <c r="Y10" s="146">
        <f t="shared" si="3"/>
        <v>0</v>
      </c>
      <c r="Z10" s="146">
        <f t="shared" si="3"/>
        <v>0</v>
      </c>
      <c r="AA10" s="146">
        <f t="shared" si="3"/>
        <v>0</v>
      </c>
      <c r="AB10" s="146">
        <f t="shared" si="3"/>
        <v>0</v>
      </c>
      <c r="AC10" s="146">
        <f t="shared" si="3"/>
        <v>0</v>
      </c>
      <c r="AD10" s="146">
        <f t="shared" si="3"/>
        <v>0</v>
      </c>
      <c r="AE10" s="146">
        <f t="shared" si="3"/>
        <v>0</v>
      </c>
      <c r="AF10" s="146">
        <f t="shared" si="3"/>
        <v>0</v>
      </c>
      <c r="AG10" s="146">
        <f t="shared" si="3"/>
        <v>0</v>
      </c>
    </row>
    <row r="11" spans="1:33" x14ac:dyDescent="0.35">
      <c r="A11" s="377"/>
      <c r="B11" s="10" t="s">
        <v>245</v>
      </c>
      <c r="C11" s="313">
        <v>71182244</v>
      </c>
      <c r="D11" s="77">
        <v>104.88</v>
      </c>
      <c r="E11" s="11">
        <v>109.36799999999999</v>
      </c>
      <c r="F11" s="11">
        <v>111.765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>
        <f>P11-D11</f>
        <v>-104.88</v>
      </c>
      <c r="U11" s="1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</row>
    <row r="12" spans="1:33" x14ac:dyDescent="0.35">
      <c r="A12" s="372">
        <v>5</v>
      </c>
      <c r="B12" s="10" t="s">
        <v>244</v>
      </c>
      <c r="C12" s="313">
        <v>241345689</v>
      </c>
      <c r="D12" s="77">
        <v>89.153000000000006</v>
      </c>
      <c r="E12" s="11">
        <v>95.497</v>
      </c>
      <c r="F12" s="11">
        <v>101.514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>
        <f>P12-D12</f>
        <v>-89.153000000000006</v>
      </c>
      <c r="U12" s="1">
        <v>5</v>
      </c>
      <c r="V12" s="146">
        <f t="shared" ref="V12:AG12" si="4">E12-D12</f>
        <v>6.3439999999999941</v>
      </c>
      <c r="W12" s="146">
        <f t="shared" si="4"/>
        <v>6.0169999999999959</v>
      </c>
      <c r="X12" s="146">
        <f t="shared" si="4"/>
        <v>-101.514</v>
      </c>
      <c r="Y12" s="146">
        <f t="shared" si="4"/>
        <v>0</v>
      </c>
      <c r="Z12" s="146">
        <f t="shared" si="4"/>
        <v>0</v>
      </c>
      <c r="AA12" s="146">
        <f t="shared" si="4"/>
        <v>0</v>
      </c>
      <c r="AB12" s="146">
        <f t="shared" si="4"/>
        <v>0</v>
      </c>
      <c r="AC12" s="146">
        <f t="shared" si="4"/>
        <v>0</v>
      </c>
      <c r="AD12" s="146">
        <f t="shared" si="4"/>
        <v>0</v>
      </c>
      <c r="AE12" s="146">
        <f t="shared" si="4"/>
        <v>0</v>
      </c>
      <c r="AF12" s="146">
        <f t="shared" si="4"/>
        <v>0</v>
      </c>
      <c r="AG12" s="146">
        <f t="shared" si="4"/>
        <v>0</v>
      </c>
    </row>
    <row r="13" spans="1:33" x14ac:dyDescent="0.35">
      <c r="A13" s="372"/>
      <c r="B13" s="10" t="s">
        <v>245</v>
      </c>
      <c r="C13" s="313">
        <v>71182251</v>
      </c>
      <c r="D13" s="77">
        <v>54.094999999999999</v>
      </c>
      <c r="E13" s="11">
        <v>56.959000000000003</v>
      </c>
      <c r="F13" s="11">
        <v>58.343000000000004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>
        <f>P13-D13</f>
        <v>-54.094999999999999</v>
      </c>
      <c r="U13" s="1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</row>
    <row r="14" spans="1:33" x14ac:dyDescent="0.35">
      <c r="A14" s="372">
        <v>6</v>
      </c>
      <c r="B14" s="10" t="s">
        <v>244</v>
      </c>
      <c r="C14" s="313">
        <v>241345694</v>
      </c>
      <c r="D14" s="77">
        <v>75.263000000000005</v>
      </c>
      <c r="E14" s="11">
        <v>82.742000000000004</v>
      </c>
      <c r="F14" s="11">
        <v>88.188000000000002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>
        <f>P14-D14</f>
        <v>-75.263000000000005</v>
      </c>
      <c r="U14" s="1">
        <v>6</v>
      </c>
      <c r="V14" s="146">
        <f t="shared" ref="V14:AG14" si="5">E14-D14</f>
        <v>7.4789999999999992</v>
      </c>
      <c r="W14" s="146">
        <f t="shared" si="5"/>
        <v>5.445999999999998</v>
      </c>
      <c r="X14" s="146">
        <f t="shared" si="5"/>
        <v>-88.188000000000002</v>
      </c>
      <c r="Y14" s="146">
        <f t="shared" si="5"/>
        <v>0</v>
      </c>
      <c r="Z14" s="146">
        <f t="shared" si="5"/>
        <v>0</v>
      </c>
      <c r="AA14" s="146">
        <f t="shared" si="5"/>
        <v>0</v>
      </c>
      <c r="AB14" s="146">
        <f t="shared" si="5"/>
        <v>0</v>
      </c>
      <c r="AC14" s="146">
        <f t="shared" si="5"/>
        <v>0</v>
      </c>
      <c r="AD14" s="146">
        <f t="shared" si="5"/>
        <v>0</v>
      </c>
      <c r="AE14" s="146">
        <f t="shared" si="5"/>
        <v>0</v>
      </c>
      <c r="AF14" s="146">
        <f t="shared" si="5"/>
        <v>0</v>
      </c>
      <c r="AG14" s="146">
        <f t="shared" si="5"/>
        <v>0</v>
      </c>
    </row>
    <row r="15" spans="1:33" x14ac:dyDescent="0.35">
      <c r="A15" s="372"/>
      <c r="B15" s="10" t="s">
        <v>245</v>
      </c>
      <c r="C15" s="313">
        <v>71182283</v>
      </c>
      <c r="D15" s="77">
        <v>76.674999999999997</v>
      </c>
      <c r="E15" s="11">
        <v>80.933999999999997</v>
      </c>
      <c r="F15" s="11">
        <v>83.313000000000002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9"/>
      <c r="R15" s="9">
        <f>P15-D15</f>
        <v>-76.674999999999997</v>
      </c>
      <c r="U15" s="1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</row>
    <row r="16" spans="1:33" x14ac:dyDescent="0.35">
      <c r="A16" s="372">
        <v>7</v>
      </c>
      <c r="B16" s="10" t="s">
        <v>244</v>
      </c>
      <c r="C16" s="313">
        <v>241345686</v>
      </c>
      <c r="D16" s="77">
        <v>13.324999999999999</v>
      </c>
      <c r="E16" s="11">
        <v>14.401999999999999</v>
      </c>
      <c r="F16" s="11">
        <v>15.221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>
        <f>P16-D16</f>
        <v>-13.324999999999999</v>
      </c>
      <c r="U16" s="1">
        <v>7</v>
      </c>
      <c r="V16" s="146">
        <f t="shared" ref="V16:AG16" si="6">E16-D16</f>
        <v>1.077</v>
      </c>
      <c r="W16" s="146">
        <f t="shared" si="6"/>
        <v>0.81900000000000084</v>
      </c>
      <c r="X16" s="146">
        <f t="shared" si="6"/>
        <v>-15.221</v>
      </c>
      <c r="Y16" s="146">
        <f t="shared" si="6"/>
        <v>0</v>
      </c>
      <c r="Z16" s="146">
        <f t="shared" si="6"/>
        <v>0</v>
      </c>
      <c r="AA16" s="146">
        <f t="shared" si="6"/>
        <v>0</v>
      </c>
      <c r="AB16" s="146">
        <f t="shared" si="6"/>
        <v>0</v>
      </c>
      <c r="AC16" s="146">
        <f t="shared" si="6"/>
        <v>0</v>
      </c>
      <c r="AD16" s="146">
        <f t="shared" si="6"/>
        <v>0</v>
      </c>
      <c r="AE16" s="146">
        <f t="shared" si="6"/>
        <v>0</v>
      </c>
      <c r="AF16" s="146">
        <f t="shared" si="6"/>
        <v>0</v>
      </c>
      <c r="AG16" s="146">
        <f t="shared" si="6"/>
        <v>0</v>
      </c>
    </row>
    <row r="17" spans="1:33" x14ac:dyDescent="0.35">
      <c r="A17" s="372"/>
      <c r="B17" s="10" t="s">
        <v>245</v>
      </c>
      <c r="C17" s="313">
        <v>71182277</v>
      </c>
      <c r="D17" s="77">
        <v>49.633000000000003</v>
      </c>
      <c r="E17" s="11">
        <v>55.584000000000003</v>
      </c>
      <c r="F17" s="11">
        <v>58.915999999999997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9"/>
      <c r="R17" s="9">
        <f>P17-D17</f>
        <v>-49.633000000000003</v>
      </c>
      <c r="U17" s="1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</row>
    <row r="18" spans="1:33" x14ac:dyDescent="0.35">
      <c r="A18" s="372">
        <v>8</v>
      </c>
      <c r="B18" s="10" t="s">
        <v>244</v>
      </c>
      <c r="C18" s="313">
        <v>241345685</v>
      </c>
      <c r="D18" s="77">
        <v>154.03800000000001</v>
      </c>
      <c r="E18" s="11">
        <v>165.65600000000001</v>
      </c>
      <c r="F18" s="11">
        <v>178.61799999999999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9">
        <f>P18-D18</f>
        <v>-154.03800000000001</v>
      </c>
      <c r="U18" s="1">
        <v>8</v>
      </c>
      <c r="V18" s="146">
        <f t="shared" ref="V18:AG18" si="7">E18-D18</f>
        <v>11.617999999999995</v>
      </c>
      <c r="W18" s="146">
        <f t="shared" si="7"/>
        <v>12.961999999999989</v>
      </c>
      <c r="X18" s="146">
        <f t="shared" si="7"/>
        <v>-178.61799999999999</v>
      </c>
      <c r="Y18" s="146">
        <f t="shared" si="7"/>
        <v>0</v>
      </c>
      <c r="Z18" s="146">
        <f t="shared" si="7"/>
        <v>0</v>
      </c>
      <c r="AA18" s="146">
        <f t="shared" si="7"/>
        <v>0</v>
      </c>
      <c r="AB18" s="146">
        <f t="shared" si="7"/>
        <v>0</v>
      </c>
      <c r="AC18" s="146">
        <f t="shared" si="7"/>
        <v>0</v>
      </c>
      <c r="AD18" s="146">
        <f t="shared" si="7"/>
        <v>0</v>
      </c>
      <c r="AE18" s="146">
        <f t="shared" si="7"/>
        <v>0</v>
      </c>
      <c r="AF18" s="146">
        <f t="shared" si="7"/>
        <v>0</v>
      </c>
      <c r="AG18" s="146">
        <f t="shared" si="7"/>
        <v>0</v>
      </c>
    </row>
    <row r="19" spans="1:33" x14ac:dyDescent="0.35">
      <c r="A19" s="372"/>
      <c r="B19" s="10" t="s">
        <v>245</v>
      </c>
      <c r="C19" s="313">
        <v>71182246</v>
      </c>
      <c r="D19" s="77">
        <v>64.558999999999997</v>
      </c>
      <c r="E19" s="11">
        <v>68.385000000000005</v>
      </c>
      <c r="F19" s="11">
        <v>71.069999999999993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9"/>
      <c r="R19" s="9">
        <f>P19-D19</f>
        <v>-64.558999999999997</v>
      </c>
      <c r="U19" s="1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</row>
    <row r="20" spans="1:33" x14ac:dyDescent="0.35">
      <c r="A20" s="372">
        <v>9</v>
      </c>
      <c r="B20" s="10" t="s">
        <v>244</v>
      </c>
      <c r="C20" s="313">
        <v>241345704</v>
      </c>
      <c r="D20" s="77">
        <v>108.13500000000001</v>
      </c>
      <c r="E20" s="11">
        <v>108.52500000000001</v>
      </c>
      <c r="F20" s="11">
        <v>109.944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>
        <f>P20-D20</f>
        <v>-108.13500000000001</v>
      </c>
      <c r="U20" s="1">
        <v>9</v>
      </c>
      <c r="V20" s="146">
        <f t="shared" ref="V20:AG20" si="8">E20-D20</f>
        <v>0.39000000000000057</v>
      </c>
      <c r="W20" s="146">
        <f t="shared" si="8"/>
        <v>1.4189999999999969</v>
      </c>
      <c r="X20" s="146">
        <f t="shared" si="8"/>
        <v>-109.944</v>
      </c>
      <c r="Y20" s="146">
        <f t="shared" si="8"/>
        <v>0</v>
      </c>
      <c r="Z20" s="146">
        <f t="shared" si="8"/>
        <v>0</v>
      </c>
      <c r="AA20" s="146">
        <f t="shared" si="8"/>
        <v>0</v>
      </c>
      <c r="AB20" s="146">
        <f t="shared" si="8"/>
        <v>0</v>
      </c>
      <c r="AC20" s="146">
        <f t="shared" si="8"/>
        <v>0</v>
      </c>
      <c r="AD20" s="146">
        <f t="shared" si="8"/>
        <v>0</v>
      </c>
      <c r="AE20" s="146">
        <f t="shared" si="8"/>
        <v>0</v>
      </c>
      <c r="AF20" s="146">
        <f t="shared" si="8"/>
        <v>0</v>
      </c>
      <c r="AG20" s="146">
        <f t="shared" si="8"/>
        <v>0</v>
      </c>
    </row>
    <row r="21" spans="1:33" x14ac:dyDescent="0.35">
      <c r="A21" s="372"/>
      <c r="B21" s="10" t="s">
        <v>245</v>
      </c>
      <c r="C21" s="313">
        <v>71182282</v>
      </c>
      <c r="D21" s="77">
        <v>140.44200000000001</v>
      </c>
      <c r="E21" s="11">
        <v>144.696</v>
      </c>
      <c r="F21" s="11">
        <v>146.21899999999999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>
        <f>P21-D21</f>
        <v>-140.44200000000001</v>
      </c>
      <c r="U21" s="1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</row>
    <row r="22" spans="1:33" x14ac:dyDescent="0.35">
      <c r="A22" s="372">
        <v>10</v>
      </c>
      <c r="B22" s="10" t="s">
        <v>244</v>
      </c>
      <c r="C22" s="313">
        <v>241345703</v>
      </c>
      <c r="D22" s="77">
        <v>87.055999999999997</v>
      </c>
      <c r="E22" s="11">
        <v>95.12</v>
      </c>
      <c r="F22" s="11">
        <v>101.682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9">
        <f>P22-D22</f>
        <v>-87.055999999999997</v>
      </c>
      <c r="U22" s="1">
        <v>10</v>
      </c>
      <c r="V22" s="146">
        <f t="shared" ref="V22:AG22" si="9">E22-D22</f>
        <v>8.0640000000000072</v>
      </c>
      <c r="W22" s="146">
        <f t="shared" si="9"/>
        <v>6.5619999999999976</v>
      </c>
      <c r="X22" s="146">
        <f t="shared" si="9"/>
        <v>-101.682</v>
      </c>
      <c r="Y22" s="146">
        <f t="shared" si="9"/>
        <v>0</v>
      </c>
      <c r="Z22" s="146">
        <f t="shared" si="9"/>
        <v>0</v>
      </c>
      <c r="AA22" s="146">
        <f t="shared" si="9"/>
        <v>0</v>
      </c>
      <c r="AB22" s="146">
        <f t="shared" si="9"/>
        <v>0</v>
      </c>
      <c r="AC22" s="146">
        <f t="shared" si="9"/>
        <v>0</v>
      </c>
      <c r="AD22" s="146">
        <f t="shared" si="9"/>
        <v>0</v>
      </c>
      <c r="AE22" s="146">
        <f t="shared" si="9"/>
        <v>0</v>
      </c>
      <c r="AF22" s="146">
        <f t="shared" si="9"/>
        <v>0</v>
      </c>
      <c r="AG22" s="146">
        <f t="shared" si="9"/>
        <v>0</v>
      </c>
    </row>
    <row r="23" spans="1:33" x14ac:dyDescent="0.35">
      <c r="A23" s="372"/>
      <c r="B23" s="10" t="s">
        <v>245</v>
      </c>
      <c r="C23" s="313">
        <v>71182240</v>
      </c>
      <c r="D23" s="77">
        <v>89.435000000000002</v>
      </c>
      <c r="E23" s="11">
        <v>95.396000000000001</v>
      </c>
      <c r="F23" s="11">
        <v>99.016999999999996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97">
        <f>P23-D23</f>
        <v>-89.435000000000002</v>
      </c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</row>
    <row r="24" spans="1:33" x14ac:dyDescent="0.35">
      <c r="A24" s="113"/>
      <c r="B24" s="10"/>
      <c r="C24" s="313"/>
      <c r="D24" s="78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-951.62000000000012</v>
      </c>
      <c r="R24" s="9">
        <f>SUM(R4:R23)</f>
        <v>-877.71</v>
      </c>
    </row>
    <row r="25" spans="1:33" x14ac:dyDescent="0.35">
      <c r="A25" s="113" t="s">
        <v>15</v>
      </c>
      <c r="B25" s="10" t="s">
        <v>254</v>
      </c>
      <c r="C25" s="313">
        <v>2080200097</v>
      </c>
      <c r="D25" s="78">
        <v>14615</v>
      </c>
      <c r="E25" s="15">
        <v>14798</v>
      </c>
      <c r="F25" s="15">
        <v>14977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>
        <f>P25-D25</f>
        <v>-14615</v>
      </c>
    </row>
    <row r="26" spans="1:33" ht="15" thickBot="1" x14ac:dyDescent="0.4">
      <c r="A26" s="113"/>
      <c r="B26" s="282" t="s">
        <v>247</v>
      </c>
      <c r="C26" s="317">
        <v>240826415</v>
      </c>
      <c r="D26" s="79">
        <v>1079.3</v>
      </c>
      <c r="E26" s="18">
        <v>1156.7</v>
      </c>
      <c r="F26" s="18">
        <v>1232.2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9">
        <f>P26-D26</f>
        <v>-1079.3</v>
      </c>
    </row>
    <row r="27" spans="1:33" x14ac:dyDescent="0.35">
      <c r="A27" s="113"/>
      <c r="B27" s="10" t="s">
        <v>214</v>
      </c>
      <c r="C27" s="313"/>
      <c r="D27" s="80">
        <v>453.82</v>
      </c>
      <c r="E27" s="19">
        <v>503.66</v>
      </c>
      <c r="F27" s="19">
        <v>533.07000000000005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/>
      <c r="R27" s="9">
        <f>(P27-D27)</f>
        <v>-453.82</v>
      </c>
      <c r="S27" t="s">
        <v>78</v>
      </c>
    </row>
    <row r="28" spans="1:33" ht="15" thickBot="1" x14ac:dyDescent="0.4">
      <c r="A28" s="4"/>
      <c r="B28" s="26" t="s">
        <v>16</v>
      </c>
      <c r="C28" s="318"/>
      <c r="D28" s="81">
        <v>3092</v>
      </c>
      <c r="E28" s="21">
        <v>3385</v>
      </c>
      <c r="F28" s="21">
        <v>3545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9"/>
      <c r="R28" s="16">
        <f>P28-D28</f>
        <v>-3092</v>
      </c>
      <c r="S28" t="s">
        <v>79</v>
      </c>
    </row>
    <row r="29" spans="1:33" ht="15" thickBot="1" x14ac:dyDescent="0.4">
      <c r="A29" s="114" t="str">
        <f>'1850'!A29</f>
        <v xml:space="preserve">fakturační vodoměr č.         </v>
      </c>
      <c r="B29" s="22"/>
      <c r="C29" s="319">
        <f>'1850'!C29</f>
        <v>63796</v>
      </c>
      <c r="D29" s="82">
        <f>'1850'!D29</f>
        <v>65454</v>
      </c>
      <c r="E29" s="82">
        <f>'1850'!E29</f>
        <v>65848.899999999994</v>
      </c>
      <c r="F29" s="82">
        <f>'1850'!F29</f>
        <v>66193.7</v>
      </c>
      <c r="G29" s="82">
        <f>'1850'!G29</f>
        <v>0</v>
      </c>
      <c r="H29" s="82">
        <f>'1850'!H29</f>
        <v>0</v>
      </c>
      <c r="I29" s="82">
        <f>'1850'!I29</f>
        <v>0</v>
      </c>
      <c r="J29" s="82">
        <f>'1850'!J29</f>
        <v>0</v>
      </c>
      <c r="K29" s="82">
        <f>'1850'!K29</f>
        <v>0</v>
      </c>
      <c r="L29" s="82">
        <f>'1850'!L29</f>
        <v>0</v>
      </c>
      <c r="M29" s="82">
        <f>'1850'!M29</f>
        <v>0</v>
      </c>
      <c r="N29" s="82">
        <f>'1850'!N29</f>
        <v>0</v>
      </c>
      <c r="O29" s="82">
        <f>'1850'!O29</f>
        <v>0</v>
      </c>
      <c r="P29" s="82">
        <f>'1850'!P29</f>
        <v>0</v>
      </c>
      <c r="Q29" s="9">
        <f>P29-D29</f>
        <v>-65454</v>
      </c>
    </row>
    <row r="31" spans="1:33" x14ac:dyDescent="0.35">
      <c r="B31" s="288" t="s">
        <v>231</v>
      </c>
      <c r="C31" s="331"/>
      <c r="D31" s="231" t="s">
        <v>104</v>
      </c>
      <c r="E31" s="25" t="s">
        <v>117</v>
      </c>
      <c r="G31" s="231" t="s">
        <v>169</v>
      </c>
      <c r="H31" s="231" t="s">
        <v>170</v>
      </c>
      <c r="J31" s="254" t="s">
        <v>210</v>
      </c>
      <c r="K31" s="225"/>
      <c r="L31" s="225"/>
      <c r="M31" s="225"/>
      <c r="N31" s="224" t="s">
        <v>166</v>
      </c>
      <c r="O31" s="255">
        <v>257.22000000000003</v>
      </c>
      <c r="P31" s="225" t="s">
        <v>127</v>
      </c>
    </row>
    <row r="32" spans="1:33" x14ac:dyDescent="0.35">
      <c r="D32" s="379">
        <v>4</v>
      </c>
      <c r="E32" s="380">
        <v>45741</v>
      </c>
      <c r="F32" s="84" t="s">
        <v>115</v>
      </c>
      <c r="G32" s="106">
        <v>241345693</v>
      </c>
      <c r="H32" s="289">
        <f>9.996+6+7.8+6</f>
        <v>29.795999999999999</v>
      </c>
      <c r="J32" s="254" t="s">
        <v>211</v>
      </c>
      <c r="K32" s="225"/>
      <c r="L32" s="225"/>
      <c r="M32" s="225"/>
      <c r="N32" s="224" t="s">
        <v>166</v>
      </c>
      <c r="O32" s="255">
        <v>0</v>
      </c>
      <c r="P32" s="254" t="s">
        <v>78</v>
      </c>
    </row>
    <row r="33" spans="4:9" x14ac:dyDescent="0.35">
      <c r="D33" s="379"/>
      <c r="E33" s="380"/>
      <c r="F33" s="84" t="s">
        <v>116</v>
      </c>
      <c r="G33" s="106">
        <v>250434729</v>
      </c>
      <c r="H33" s="109">
        <v>0</v>
      </c>
    </row>
    <row r="35" spans="4:9" x14ac:dyDescent="0.35">
      <c r="E35" t="s">
        <v>123</v>
      </c>
    </row>
    <row r="36" spans="4:9" x14ac:dyDescent="0.35">
      <c r="E36" s="380">
        <v>43956</v>
      </c>
      <c r="F36" s="84" t="s">
        <v>115</v>
      </c>
      <c r="G36" s="385"/>
      <c r="H36" s="384"/>
      <c r="I36" s="106"/>
    </row>
    <row r="37" spans="4:9" x14ac:dyDescent="0.35">
      <c r="E37" s="380"/>
      <c r="F37" s="84" t="s">
        <v>116</v>
      </c>
      <c r="G37" s="384"/>
      <c r="H37" s="384"/>
      <c r="I37" s="106"/>
    </row>
  </sheetData>
  <sheetProtection selectLockedCells="1" selectUnlockedCells="1"/>
  <mergeCells count="15">
    <mergeCell ref="E36:E37"/>
    <mergeCell ref="G36:H36"/>
    <mergeCell ref="G37:H37"/>
    <mergeCell ref="D32:D33"/>
    <mergeCell ref="E32:E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29:P29">
    <cfRule type="cellIs" dxfId="3679" priority="310" stopIfTrue="1" operator="equal">
      <formula>0</formula>
    </cfRule>
  </conditionalFormatting>
  <conditionalFormatting sqref="E4">
    <cfRule type="cellIs" dxfId="3678" priority="38" stopIfTrue="1" operator="lessThan">
      <formula>$D$4</formula>
    </cfRule>
    <cfRule type="cellIs" dxfId="3677" priority="39" stopIfTrue="1" operator="equal">
      <formula>$D$4</formula>
    </cfRule>
  </conditionalFormatting>
  <conditionalFormatting sqref="E5">
    <cfRule type="cellIs" dxfId="3676" priority="43" stopIfTrue="1" operator="lessThan">
      <formula>$D$5</formula>
    </cfRule>
    <cfRule type="cellIs" dxfId="3675" priority="42" stopIfTrue="1" operator="equal">
      <formula>$D$5</formula>
    </cfRule>
  </conditionalFormatting>
  <conditionalFormatting sqref="E6">
    <cfRule type="cellIs" dxfId="3674" priority="50" stopIfTrue="1" operator="lessThan">
      <formula>$D$6</formula>
    </cfRule>
    <cfRule type="cellIs" dxfId="3673" priority="49" stopIfTrue="1" operator="equal">
      <formula>$D$6</formula>
    </cfRule>
  </conditionalFormatting>
  <conditionalFormatting sqref="E7">
    <cfRule type="cellIs" dxfId="3672" priority="63" stopIfTrue="1" operator="equal">
      <formula>$D$7</formula>
    </cfRule>
    <cfRule type="cellIs" dxfId="3671" priority="64" stopIfTrue="1" operator="lessThan">
      <formula>$D$7</formula>
    </cfRule>
  </conditionalFormatting>
  <conditionalFormatting sqref="E8">
    <cfRule type="cellIs" dxfId="3670" priority="76" stopIfTrue="1" operator="lessThan">
      <formula>$D$8</formula>
    </cfRule>
    <cfRule type="cellIs" dxfId="3669" priority="75" stopIfTrue="1" operator="equal">
      <formula>$D$8</formula>
    </cfRule>
  </conditionalFormatting>
  <conditionalFormatting sqref="E9">
    <cfRule type="cellIs" dxfId="3668" priority="89" stopIfTrue="1" operator="equal">
      <formula>$D$9</formula>
    </cfRule>
    <cfRule type="cellIs" dxfId="3667" priority="90" stopIfTrue="1" operator="lessThan">
      <formula>$D$9</formula>
    </cfRule>
  </conditionalFormatting>
  <conditionalFormatting sqref="E10">
    <cfRule type="cellIs" dxfId="3666" priority="103" stopIfTrue="1" operator="equal">
      <formula>$D$10</formula>
    </cfRule>
    <cfRule type="cellIs" dxfId="3665" priority="104" stopIfTrue="1" operator="lessThan">
      <formula>$D$10</formula>
    </cfRule>
  </conditionalFormatting>
  <conditionalFormatting sqref="E11">
    <cfRule type="cellIs" dxfId="3664" priority="118" stopIfTrue="1" operator="lessThan">
      <formula>$D$11</formula>
    </cfRule>
    <cfRule type="cellIs" dxfId="3663" priority="117" stopIfTrue="1" operator="equal">
      <formula>$D$11</formula>
    </cfRule>
  </conditionalFormatting>
  <conditionalFormatting sqref="E12">
    <cfRule type="cellIs" dxfId="3662" priority="132" stopIfTrue="1" operator="lessThan">
      <formula>$D$12</formula>
    </cfRule>
    <cfRule type="cellIs" dxfId="3661" priority="131" stopIfTrue="1" operator="equal">
      <formula>$D$12</formula>
    </cfRule>
  </conditionalFormatting>
  <conditionalFormatting sqref="E13">
    <cfRule type="cellIs" dxfId="3660" priority="264" stopIfTrue="1" operator="lessThan">
      <formula>$D$13</formula>
    </cfRule>
    <cfRule type="cellIs" dxfId="3659" priority="263" stopIfTrue="1" operator="equal">
      <formula>$D$13</formula>
    </cfRule>
  </conditionalFormatting>
  <conditionalFormatting sqref="E14">
    <cfRule type="cellIs" dxfId="3658" priority="146" stopIfTrue="1" operator="lessThan">
      <formula>$D$14</formula>
    </cfRule>
    <cfRule type="cellIs" dxfId="3657" priority="145" stopIfTrue="1" operator="equal">
      <formula>$D$14</formula>
    </cfRule>
  </conditionalFormatting>
  <conditionalFormatting sqref="E15">
    <cfRule type="cellIs" dxfId="3656" priority="148" stopIfTrue="1" operator="lessThan">
      <formula>$D$15</formula>
    </cfRule>
    <cfRule type="cellIs" dxfId="3655" priority="147" stopIfTrue="1" operator="equal">
      <formula>$D$15</formula>
    </cfRule>
  </conditionalFormatting>
  <conditionalFormatting sqref="E16">
    <cfRule type="cellIs" dxfId="3654" priority="150" stopIfTrue="1" operator="lessThan">
      <formula>$D$16</formula>
    </cfRule>
    <cfRule type="cellIs" dxfId="3653" priority="149" stopIfTrue="1" operator="equal">
      <formula>$D$16</formula>
    </cfRule>
  </conditionalFormatting>
  <conditionalFormatting sqref="E17">
    <cfRule type="cellIs" dxfId="3652" priority="152" stopIfTrue="1" operator="lessThan">
      <formula>$D$17</formula>
    </cfRule>
    <cfRule type="cellIs" dxfId="3651" priority="151" stopIfTrue="1" operator="equal">
      <formula>$D$17</formula>
    </cfRule>
  </conditionalFormatting>
  <conditionalFormatting sqref="E18">
    <cfRule type="cellIs" dxfId="3650" priority="154" stopIfTrue="1" operator="lessThan">
      <formula>$D$18</formula>
    </cfRule>
    <cfRule type="cellIs" dxfId="3649" priority="153" stopIfTrue="1" operator="equal">
      <formula>$D$18</formula>
    </cfRule>
  </conditionalFormatting>
  <conditionalFormatting sqref="E19">
    <cfRule type="cellIs" dxfId="3648" priority="156" stopIfTrue="1" operator="lessThan">
      <formula>$D$19</formula>
    </cfRule>
    <cfRule type="cellIs" dxfId="3647" priority="155" stopIfTrue="1" operator="equal">
      <formula>$D$19</formula>
    </cfRule>
  </conditionalFormatting>
  <conditionalFormatting sqref="E20">
    <cfRule type="cellIs" dxfId="3646" priority="158" stopIfTrue="1" operator="lessThan">
      <formula>$D$20</formula>
    </cfRule>
    <cfRule type="cellIs" dxfId="3645" priority="157" stopIfTrue="1" operator="equal">
      <formula>$D$20</formula>
    </cfRule>
  </conditionalFormatting>
  <conditionalFormatting sqref="E21">
    <cfRule type="cellIs" dxfId="3644" priority="160" stopIfTrue="1" operator="lessThan">
      <formula>$D$21</formula>
    </cfRule>
    <cfRule type="cellIs" dxfId="3643" priority="159" stopIfTrue="1" operator="equal">
      <formula>$D$21</formula>
    </cfRule>
  </conditionalFormatting>
  <conditionalFormatting sqref="E22">
    <cfRule type="cellIs" dxfId="3642" priority="161" stopIfTrue="1" operator="equal">
      <formula>$D$22</formula>
    </cfRule>
    <cfRule type="cellIs" dxfId="3641" priority="162" stopIfTrue="1" operator="lessThan">
      <formula>$D$22</formula>
    </cfRule>
  </conditionalFormatting>
  <conditionalFormatting sqref="E23">
    <cfRule type="cellIs" dxfId="3640" priority="163" stopIfTrue="1" operator="equal">
      <formula>$D$23</formula>
    </cfRule>
    <cfRule type="cellIs" dxfId="3639" priority="164" stopIfTrue="1" operator="lessThan">
      <formula>$D$23</formula>
    </cfRule>
  </conditionalFormatting>
  <conditionalFormatting sqref="E24">
    <cfRule type="cellIs" dxfId="3638" priority="295" stopIfTrue="1" operator="equal">
      <formula>$D$24</formula>
    </cfRule>
    <cfRule type="cellIs" dxfId="3637" priority="296" stopIfTrue="1" operator="lessThan">
      <formula>$D$24</formula>
    </cfRule>
  </conditionalFormatting>
  <conditionalFormatting sqref="E25">
    <cfRule type="cellIs" dxfId="3636" priority="166" stopIfTrue="1" operator="lessThan">
      <formula>$D$25</formula>
    </cfRule>
    <cfRule type="cellIs" dxfId="3635" priority="165" stopIfTrue="1" operator="equal">
      <formula>$D$25</formula>
    </cfRule>
  </conditionalFormatting>
  <conditionalFormatting sqref="E26">
    <cfRule type="cellIs" dxfId="3634" priority="167" stopIfTrue="1" operator="equal">
      <formula>$D$26</formula>
    </cfRule>
    <cfRule type="cellIs" dxfId="3633" priority="168" stopIfTrue="1" operator="lessThan">
      <formula>$D$26</formula>
    </cfRule>
  </conditionalFormatting>
  <conditionalFormatting sqref="E27">
    <cfRule type="cellIs" dxfId="3632" priority="169" stopIfTrue="1" operator="equal">
      <formula>$D$27</formula>
    </cfRule>
    <cfRule type="cellIs" dxfId="3631" priority="170" stopIfTrue="1" operator="lessThan">
      <formula>$D$27</formula>
    </cfRule>
  </conditionalFormatting>
  <conditionalFormatting sqref="E28">
    <cfRule type="cellIs" dxfId="3630" priority="172" stopIfTrue="1" operator="lessThan">
      <formula>$D$28</formula>
    </cfRule>
    <cfRule type="cellIs" dxfId="3629" priority="171" stopIfTrue="1" operator="equal">
      <formula>$D$28</formula>
    </cfRule>
  </conditionalFormatting>
  <conditionalFormatting sqref="F4">
    <cfRule type="cellIs" dxfId="3628" priority="41" stopIfTrue="1" operator="lessThan">
      <formula>$E$4</formula>
    </cfRule>
    <cfRule type="cellIs" dxfId="3627" priority="40" stopIfTrue="1" operator="equal">
      <formula>$E$4</formula>
    </cfRule>
  </conditionalFormatting>
  <conditionalFormatting sqref="F5">
    <cfRule type="cellIs" dxfId="3626" priority="305" stopIfTrue="1" operator="equal">
      <formula>$E$5</formula>
    </cfRule>
    <cfRule type="cellIs" dxfId="3625" priority="306" stopIfTrue="1" operator="lessThan">
      <formula>$E$5</formula>
    </cfRule>
  </conditionalFormatting>
  <conditionalFormatting sqref="F6">
    <cfRule type="cellIs" dxfId="3624" priority="52" stopIfTrue="1" operator="lessThan">
      <formula>$E$6</formula>
    </cfRule>
    <cfRule type="cellIs" dxfId="3623" priority="51" stopIfTrue="1" operator="equal">
      <formula>$E$6</formula>
    </cfRule>
  </conditionalFormatting>
  <conditionalFormatting sqref="F7">
    <cfRule type="cellIs" dxfId="3622" priority="65" stopIfTrue="1" operator="equal">
      <formula>$E$7</formula>
    </cfRule>
    <cfRule type="cellIs" dxfId="3621" priority="66" stopIfTrue="1" operator="lessThan">
      <formula>$E$7</formula>
    </cfRule>
  </conditionalFormatting>
  <conditionalFormatting sqref="F8">
    <cfRule type="cellIs" dxfId="3620" priority="77" stopIfTrue="1" operator="equal">
      <formula>$E$8</formula>
    </cfRule>
    <cfRule type="cellIs" dxfId="3619" priority="78" stopIfTrue="1" operator="lessThan">
      <formula>$E$8</formula>
    </cfRule>
  </conditionalFormatting>
  <conditionalFormatting sqref="F9">
    <cfRule type="cellIs" dxfId="3618" priority="91" stopIfTrue="1" operator="equal">
      <formula>$E$9</formula>
    </cfRule>
    <cfRule type="cellIs" dxfId="3617" priority="92" stopIfTrue="1" operator="lessThan">
      <formula>$E$9</formula>
    </cfRule>
  </conditionalFormatting>
  <conditionalFormatting sqref="F10">
    <cfRule type="cellIs" dxfId="3616" priority="105" stopIfTrue="1" operator="equal">
      <formula>$E$10</formula>
    </cfRule>
    <cfRule type="cellIs" dxfId="3615" priority="106" stopIfTrue="1" operator="lessThan">
      <formula>$E$10</formula>
    </cfRule>
  </conditionalFormatting>
  <conditionalFormatting sqref="F11">
    <cfRule type="cellIs" dxfId="3614" priority="120" stopIfTrue="1" operator="lessThan">
      <formula>$E$11</formula>
    </cfRule>
    <cfRule type="cellIs" dxfId="3613" priority="119" stopIfTrue="1" operator="equal">
      <formula>$E$11</formula>
    </cfRule>
  </conditionalFormatting>
  <conditionalFormatting sqref="F12">
    <cfRule type="cellIs" dxfId="3612" priority="134" stopIfTrue="1" operator="lessThan">
      <formula>$E$12</formula>
    </cfRule>
    <cfRule type="cellIs" dxfId="3611" priority="133" stopIfTrue="1" operator="equal">
      <formula>$E$12</formula>
    </cfRule>
  </conditionalFormatting>
  <conditionalFormatting sqref="F13">
    <cfRule type="cellIs" dxfId="3610" priority="173" stopIfTrue="1" operator="equal">
      <formula>$E$13</formula>
    </cfRule>
    <cfRule type="cellIs" dxfId="3609" priority="174" stopIfTrue="1" operator="lessThan">
      <formula>$E$13</formula>
    </cfRule>
  </conditionalFormatting>
  <conditionalFormatting sqref="F14">
    <cfRule type="cellIs" dxfId="3608" priority="175" stopIfTrue="1" operator="equal">
      <formula>$E$14</formula>
    </cfRule>
    <cfRule type="cellIs" dxfId="3607" priority="176" stopIfTrue="1" operator="lessThan">
      <formula>$E$14</formula>
    </cfRule>
  </conditionalFormatting>
  <conditionalFormatting sqref="F15">
    <cfRule type="cellIs" dxfId="3606" priority="177" stopIfTrue="1" operator="equal">
      <formula>$E$15</formula>
    </cfRule>
    <cfRule type="cellIs" dxfId="3605" priority="178" stopIfTrue="1" operator="lessThan">
      <formula>$E$15</formula>
    </cfRule>
  </conditionalFormatting>
  <conditionalFormatting sqref="F16">
    <cfRule type="cellIs" dxfId="3604" priority="180" stopIfTrue="1" operator="lessThan">
      <formula>$E$16</formula>
    </cfRule>
    <cfRule type="cellIs" dxfId="3603" priority="179" stopIfTrue="1" operator="equal">
      <formula>$E$16</formula>
    </cfRule>
  </conditionalFormatting>
  <conditionalFormatting sqref="F17">
    <cfRule type="cellIs" dxfId="3602" priority="182" stopIfTrue="1" operator="lessThan">
      <formula>$E$17</formula>
    </cfRule>
    <cfRule type="cellIs" dxfId="3601" priority="181" stopIfTrue="1" operator="equal">
      <formula>$E$17</formula>
    </cfRule>
  </conditionalFormatting>
  <conditionalFormatting sqref="F18">
    <cfRule type="cellIs" dxfId="3600" priority="184" stopIfTrue="1" operator="lessThan">
      <formula>$E$18</formula>
    </cfRule>
    <cfRule type="cellIs" dxfId="3599" priority="183" stopIfTrue="1" operator="equal">
      <formula>$E$18</formula>
    </cfRule>
  </conditionalFormatting>
  <conditionalFormatting sqref="F19">
    <cfRule type="cellIs" dxfId="3598" priority="186" stopIfTrue="1" operator="lessThan">
      <formula>$E$19</formula>
    </cfRule>
    <cfRule type="cellIs" dxfId="3597" priority="185" stopIfTrue="1" operator="equal">
      <formula>$E$19</formula>
    </cfRule>
  </conditionalFormatting>
  <conditionalFormatting sqref="F20">
    <cfRule type="cellIs" dxfId="3596" priority="188" stopIfTrue="1" operator="lessThan">
      <formula>$E$20</formula>
    </cfRule>
    <cfRule type="cellIs" dxfId="3595" priority="187" stopIfTrue="1" operator="equal">
      <formula>$E$20</formula>
    </cfRule>
  </conditionalFormatting>
  <conditionalFormatting sqref="F21">
    <cfRule type="cellIs" dxfId="3594" priority="189" stopIfTrue="1" operator="equal">
      <formula>$E$21</formula>
    </cfRule>
    <cfRule type="cellIs" dxfId="3593" priority="190" stopIfTrue="1" operator="lessThan">
      <formula>$E$21</formula>
    </cfRule>
  </conditionalFormatting>
  <conditionalFormatting sqref="F22">
    <cfRule type="cellIs" dxfId="3592" priority="191" stopIfTrue="1" operator="equal">
      <formula>$E$22</formula>
    </cfRule>
    <cfRule type="cellIs" dxfId="3591" priority="192" stopIfTrue="1" operator="lessThan">
      <formula>$E$22</formula>
    </cfRule>
  </conditionalFormatting>
  <conditionalFormatting sqref="F23">
    <cfRule type="cellIs" dxfId="3590" priority="193" stopIfTrue="1" operator="equal">
      <formula>$E$23</formula>
    </cfRule>
    <cfRule type="cellIs" dxfId="3589" priority="194" stopIfTrue="1" operator="lessThan">
      <formula>$E$23</formula>
    </cfRule>
  </conditionalFormatting>
  <conditionalFormatting sqref="F24">
    <cfRule type="cellIs" dxfId="3588" priority="298" stopIfTrue="1" operator="lessThan">
      <formula>$E$24</formula>
    </cfRule>
    <cfRule type="cellIs" dxfId="3587" priority="297" stopIfTrue="1" operator="equal">
      <formula>$E$24</formula>
    </cfRule>
  </conditionalFormatting>
  <conditionalFormatting sqref="F25">
    <cfRule type="cellIs" dxfId="3586" priority="196" stopIfTrue="1" operator="lessThan">
      <formula>$E$25</formula>
    </cfRule>
    <cfRule type="cellIs" dxfId="3585" priority="195" stopIfTrue="1" operator="equal">
      <formula>$E$25</formula>
    </cfRule>
  </conditionalFormatting>
  <conditionalFormatting sqref="F26">
    <cfRule type="cellIs" dxfId="3584" priority="197" stopIfTrue="1" operator="equal">
      <formula>$E$26</formula>
    </cfRule>
    <cfRule type="cellIs" dxfId="3583" priority="198" stopIfTrue="1" operator="lessThan">
      <formula>$E$26</formula>
    </cfRule>
  </conditionalFormatting>
  <conditionalFormatting sqref="F27">
    <cfRule type="cellIs" dxfId="3582" priority="200" stopIfTrue="1" operator="lessThan">
      <formula>$E$27</formula>
    </cfRule>
    <cfRule type="cellIs" dxfId="3581" priority="199" stopIfTrue="1" operator="equal">
      <formula>$E$27</formula>
    </cfRule>
  </conditionalFormatting>
  <conditionalFormatting sqref="F28">
    <cfRule type="cellIs" dxfId="3580" priority="201" stopIfTrue="1" operator="equal">
      <formula>$E$28</formula>
    </cfRule>
    <cfRule type="cellIs" dxfId="3579" priority="202" stopIfTrue="1" operator="lessThan">
      <formula>$E$28</formula>
    </cfRule>
  </conditionalFormatting>
  <conditionalFormatting sqref="G4">
    <cfRule type="cellIs" dxfId="3578" priority="37" stopIfTrue="1" operator="lessThan">
      <formula>$F$4</formula>
    </cfRule>
    <cfRule type="cellIs" dxfId="3577" priority="36" stopIfTrue="1" operator="equal">
      <formula>$F$4</formula>
    </cfRule>
  </conditionalFormatting>
  <conditionalFormatting sqref="G5">
    <cfRule type="cellIs" dxfId="3576" priority="44" stopIfTrue="1" operator="equal">
      <formula>$F$5</formula>
    </cfRule>
    <cfRule type="cellIs" dxfId="3575" priority="45" stopIfTrue="1" operator="lessThan">
      <formula>$F$5</formula>
    </cfRule>
  </conditionalFormatting>
  <conditionalFormatting sqref="G6">
    <cfRule type="cellIs" dxfId="3574" priority="53" stopIfTrue="1" operator="equal">
      <formula>$F$6</formula>
    </cfRule>
    <cfRule type="cellIs" dxfId="3573" priority="54" stopIfTrue="1" operator="lessThan">
      <formula>$F$6</formula>
    </cfRule>
  </conditionalFormatting>
  <conditionalFormatting sqref="G7">
    <cfRule type="cellIs" dxfId="3572" priority="67" stopIfTrue="1" operator="equal">
      <formula>$F$7</formula>
    </cfRule>
    <cfRule type="cellIs" dxfId="3571" priority="68" stopIfTrue="1" operator="lessThan">
      <formula>$F$7</formula>
    </cfRule>
  </conditionalFormatting>
  <conditionalFormatting sqref="G8">
    <cfRule type="cellIs" dxfId="3570" priority="80" stopIfTrue="1" operator="lessThan">
      <formula>$F$8</formula>
    </cfRule>
    <cfRule type="cellIs" dxfId="3569" priority="79" stopIfTrue="1" operator="equal">
      <formula>$F$8</formula>
    </cfRule>
  </conditionalFormatting>
  <conditionalFormatting sqref="G9">
    <cfRule type="cellIs" dxfId="3568" priority="94" stopIfTrue="1" operator="lessThan">
      <formula>$F$9</formula>
    </cfRule>
    <cfRule type="cellIs" dxfId="3567" priority="93" stopIfTrue="1" operator="equal">
      <formula>$F$9</formula>
    </cfRule>
  </conditionalFormatting>
  <conditionalFormatting sqref="G10">
    <cfRule type="cellIs" dxfId="3566" priority="108" stopIfTrue="1" operator="lessThan">
      <formula>$F$10</formula>
    </cfRule>
    <cfRule type="cellIs" dxfId="3565" priority="107" stopIfTrue="1" operator="equal">
      <formula>$F$10</formula>
    </cfRule>
  </conditionalFormatting>
  <conditionalFormatting sqref="G11">
    <cfRule type="cellIs" dxfId="3564" priority="121" stopIfTrue="1" operator="equal">
      <formula>$F$11</formula>
    </cfRule>
    <cfRule type="cellIs" dxfId="3563" priority="122" stopIfTrue="1" operator="lessThan">
      <formula>$F$11</formula>
    </cfRule>
  </conditionalFormatting>
  <conditionalFormatting sqref="G12">
    <cfRule type="cellIs" dxfId="3562" priority="136" stopIfTrue="1" operator="lessThan">
      <formula>$F$12</formula>
    </cfRule>
    <cfRule type="cellIs" dxfId="3561" priority="135" stopIfTrue="1" operator="equal">
      <formula>$F$12</formula>
    </cfRule>
  </conditionalFormatting>
  <conditionalFormatting sqref="G13">
    <cfRule type="cellIs" dxfId="3560" priority="204" stopIfTrue="1" operator="lessThan">
      <formula>$F$13</formula>
    </cfRule>
    <cfRule type="cellIs" dxfId="3559" priority="203" stopIfTrue="1" operator="equal">
      <formula>$F$13</formula>
    </cfRule>
  </conditionalFormatting>
  <conditionalFormatting sqref="G14">
    <cfRule type="cellIs" dxfId="3558" priority="205" stopIfTrue="1" operator="equal">
      <formula>$F$14</formula>
    </cfRule>
    <cfRule type="cellIs" dxfId="3557" priority="206" stopIfTrue="1" operator="lessThan">
      <formula>$F$14</formula>
    </cfRule>
  </conditionalFormatting>
  <conditionalFormatting sqref="G15">
    <cfRule type="cellIs" dxfId="3556" priority="207" stopIfTrue="1" operator="equal">
      <formula>$F$15</formula>
    </cfRule>
    <cfRule type="cellIs" dxfId="3555" priority="208" stopIfTrue="1" operator="lessThan">
      <formula>$F$15</formula>
    </cfRule>
  </conditionalFormatting>
  <conditionalFormatting sqref="G16">
    <cfRule type="cellIs" dxfId="3554" priority="210" stopIfTrue="1" operator="lessThan">
      <formula>$F$16</formula>
    </cfRule>
    <cfRule type="cellIs" dxfId="3553" priority="209" stopIfTrue="1" operator="equal">
      <formula>$F$16</formula>
    </cfRule>
  </conditionalFormatting>
  <conditionalFormatting sqref="G17">
    <cfRule type="cellIs" dxfId="3552" priority="211" stopIfTrue="1" operator="equal">
      <formula>$F$17</formula>
    </cfRule>
    <cfRule type="cellIs" dxfId="3551" priority="212" stopIfTrue="1" operator="lessThan">
      <formula>$F$17</formula>
    </cfRule>
  </conditionalFormatting>
  <conditionalFormatting sqref="G18">
    <cfRule type="cellIs" dxfId="3550" priority="213" stopIfTrue="1" operator="equal">
      <formula>$F$18</formula>
    </cfRule>
    <cfRule type="cellIs" dxfId="3549" priority="214" stopIfTrue="1" operator="lessThan">
      <formula>$F$18</formula>
    </cfRule>
  </conditionalFormatting>
  <conditionalFormatting sqref="G19">
    <cfRule type="cellIs" dxfId="3548" priority="215" stopIfTrue="1" operator="equal">
      <formula>$F$19</formula>
    </cfRule>
    <cfRule type="cellIs" dxfId="3547" priority="216" stopIfTrue="1" operator="lessThan">
      <formula>$F$19</formula>
    </cfRule>
  </conditionalFormatting>
  <conditionalFormatting sqref="G20">
    <cfRule type="cellIs" dxfId="3546" priority="218" stopIfTrue="1" operator="lessThan">
      <formula>$F$20</formula>
    </cfRule>
    <cfRule type="cellIs" dxfId="3545" priority="217" stopIfTrue="1" operator="equal">
      <formula>$F$20</formula>
    </cfRule>
  </conditionalFormatting>
  <conditionalFormatting sqref="G21">
    <cfRule type="cellIs" dxfId="3544" priority="220" stopIfTrue="1" operator="lessThan">
      <formula>$F$21</formula>
    </cfRule>
    <cfRule type="cellIs" dxfId="3543" priority="219" stopIfTrue="1" operator="equal">
      <formula>$F$21</formula>
    </cfRule>
  </conditionalFormatting>
  <conditionalFormatting sqref="G22">
    <cfRule type="cellIs" dxfId="3542" priority="221" stopIfTrue="1" operator="equal">
      <formula>$F$22</formula>
    </cfRule>
    <cfRule type="cellIs" dxfId="3541" priority="222" stopIfTrue="1" operator="lessThan">
      <formula>$F$22</formula>
    </cfRule>
  </conditionalFormatting>
  <conditionalFormatting sqref="G23">
    <cfRule type="cellIs" dxfId="3540" priority="223" stopIfTrue="1" operator="equal">
      <formula>$F$23</formula>
    </cfRule>
    <cfRule type="cellIs" dxfId="3539" priority="224" stopIfTrue="1" operator="lessThan">
      <formula>$F$23</formula>
    </cfRule>
  </conditionalFormatting>
  <conditionalFormatting sqref="G24">
    <cfRule type="cellIs" dxfId="3538" priority="300" stopIfTrue="1" operator="lessThan">
      <formula>$F$24</formula>
    </cfRule>
    <cfRule type="cellIs" dxfId="3537" priority="299" stopIfTrue="1" operator="equal">
      <formula>$F$24</formula>
    </cfRule>
  </conditionalFormatting>
  <conditionalFormatting sqref="G25">
    <cfRule type="cellIs" dxfId="3536" priority="226" stopIfTrue="1" operator="lessThan">
      <formula>$F$25</formula>
    </cfRule>
    <cfRule type="cellIs" dxfId="3535" priority="225" stopIfTrue="1" operator="equal">
      <formula>$F$25</formula>
    </cfRule>
  </conditionalFormatting>
  <conditionalFormatting sqref="G26">
    <cfRule type="cellIs" dxfId="3534" priority="228" stopIfTrue="1" operator="lessThan">
      <formula>$F$26</formula>
    </cfRule>
    <cfRule type="cellIs" dxfId="3533" priority="227" stopIfTrue="1" operator="equal">
      <formula>$F$26</formula>
    </cfRule>
  </conditionalFormatting>
  <conditionalFormatting sqref="G27">
    <cfRule type="cellIs" dxfId="3532" priority="229" stopIfTrue="1" operator="equal">
      <formula>$F$27</formula>
    </cfRule>
    <cfRule type="cellIs" dxfId="3531" priority="230" stopIfTrue="1" operator="lessThan">
      <formula>$F$27</formula>
    </cfRule>
  </conditionalFormatting>
  <conditionalFormatting sqref="G28">
    <cfRule type="cellIs" dxfId="3530" priority="231" stopIfTrue="1" operator="equal">
      <formula>$F$28</formula>
    </cfRule>
    <cfRule type="cellIs" dxfId="3529" priority="232" stopIfTrue="1" operator="lessThan">
      <formula>$F$28</formula>
    </cfRule>
  </conditionalFormatting>
  <conditionalFormatting sqref="H4">
    <cfRule type="cellIs" dxfId="3528" priority="309" stopIfTrue="1" operator="equal">
      <formula>$G$4</formula>
    </cfRule>
  </conditionalFormatting>
  <conditionalFormatting sqref="H5">
    <cfRule type="cellIs" dxfId="3527" priority="307" stopIfTrue="1" operator="equal">
      <formula>$G$5</formula>
    </cfRule>
    <cfRule type="cellIs" dxfId="3526" priority="308" stopIfTrue="1" operator="lessThan">
      <formula>$G$5</formula>
    </cfRule>
  </conditionalFormatting>
  <conditionalFormatting sqref="H6">
    <cfRule type="cellIs" dxfId="3525" priority="55" stopIfTrue="1" operator="equal">
      <formula>$G$6</formula>
    </cfRule>
    <cfRule type="cellIs" dxfId="3524" priority="56" stopIfTrue="1" operator="lessThan">
      <formula>$G$6</formula>
    </cfRule>
  </conditionalFormatting>
  <conditionalFormatting sqref="H7">
    <cfRule type="cellIs" dxfId="3523" priority="29" stopIfTrue="1" operator="lessThan">
      <formula>$G$7</formula>
    </cfRule>
    <cfRule type="cellIs" dxfId="3522" priority="28" stopIfTrue="1" operator="equal">
      <formula>$G$7</formula>
    </cfRule>
  </conditionalFormatting>
  <conditionalFormatting sqref="H8">
    <cfRule type="cellIs" dxfId="3521" priority="81" stopIfTrue="1" operator="equal">
      <formula>$G$8</formula>
    </cfRule>
    <cfRule type="cellIs" dxfId="3520" priority="82" stopIfTrue="1" operator="lessThan">
      <formula>$G$8</formula>
    </cfRule>
  </conditionalFormatting>
  <conditionalFormatting sqref="H9">
    <cfRule type="cellIs" dxfId="3519" priority="95" stopIfTrue="1" operator="equal">
      <formula>$G$9</formula>
    </cfRule>
    <cfRule type="cellIs" dxfId="3518" priority="96" stopIfTrue="1" operator="lessThan">
      <formula>$G$9</formula>
    </cfRule>
  </conditionalFormatting>
  <conditionalFormatting sqref="H10">
    <cfRule type="cellIs" dxfId="3517" priority="110" stopIfTrue="1" operator="lessThan">
      <formula>$G$10</formula>
    </cfRule>
    <cfRule type="cellIs" dxfId="3516" priority="109" stopIfTrue="1" operator="equal">
      <formula>$G$10</formula>
    </cfRule>
  </conditionalFormatting>
  <conditionalFormatting sqref="H11">
    <cfRule type="cellIs" dxfId="3515" priority="123" stopIfTrue="1" operator="equal">
      <formula>$G$11</formula>
    </cfRule>
    <cfRule type="cellIs" dxfId="3514" priority="124" stopIfTrue="1" operator="lessThan">
      <formula>$G$11</formula>
    </cfRule>
  </conditionalFormatting>
  <conditionalFormatting sqref="H12">
    <cfRule type="cellIs" dxfId="3513" priority="137" stopIfTrue="1" operator="equal">
      <formula>$G$12</formula>
    </cfRule>
    <cfRule type="cellIs" dxfId="3512" priority="138" stopIfTrue="1" operator="lessThan">
      <formula>$G$12</formula>
    </cfRule>
  </conditionalFormatting>
  <conditionalFormatting sqref="H13">
    <cfRule type="cellIs" dxfId="3511" priority="234" stopIfTrue="1" operator="lessThan">
      <formula>$G$13</formula>
    </cfRule>
    <cfRule type="cellIs" dxfId="3510" priority="233" stopIfTrue="1" operator="equal">
      <formula>$G$13</formula>
    </cfRule>
  </conditionalFormatting>
  <conditionalFormatting sqref="H14">
    <cfRule type="cellIs" dxfId="3509" priority="235" stopIfTrue="1" operator="equal">
      <formula>$G$14</formula>
    </cfRule>
    <cfRule type="cellIs" dxfId="3508" priority="236" stopIfTrue="1" operator="lessThan">
      <formula>$G$14</formula>
    </cfRule>
  </conditionalFormatting>
  <conditionalFormatting sqref="H15">
    <cfRule type="cellIs" dxfId="3507" priority="238" stopIfTrue="1" operator="lessThan">
      <formula>$G$15</formula>
    </cfRule>
    <cfRule type="cellIs" dxfId="3506" priority="237" stopIfTrue="1" operator="equal">
      <formula>$G$15</formula>
    </cfRule>
  </conditionalFormatting>
  <conditionalFormatting sqref="H16">
    <cfRule type="cellIs" dxfId="3505" priority="240" stopIfTrue="1" operator="lessThan">
      <formula>$G$16</formula>
    </cfRule>
    <cfRule type="cellIs" dxfId="3504" priority="239" stopIfTrue="1" operator="equal">
      <formula>$G$16</formula>
    </cfRule>
  </conditionalFormatting>
  <conditionalFormatting sqref="H17">
    <cfRule type="cellIs" dxfId="3503" priority="242" stopIfTrue="1" operator="lessThan">
      <formula>$G$17</formula>
    </cfRule>
    <cfRule type="cellIs" dxfId="3502" priority="241" stopIfTrue="1" operator="equal">
      <formula>$G$17</formula>
    </cfRule>
  </conditionalFormatting>
  <conditionalFormatting sqref="H18">
    <cfRule type="cellIs" dxfId="3501" priority="244" stopIfTrue="1" operator="lessThan">
      <formula>$G$18</formula>
    </cfRule>
    <cfRule type="cellIs" dxfId="3500" priority="243" stopIfTrue="1" operator="equal">
      <formula>$G$18</formula>
    </cfRule>
  </conditionalFormatting>
  <conditionalFormatting sqref="H19">
    <cfRule type="cellIs" dxfId="3499" priority="245" stopIfTrue="1" operator="equal">
      <formula>$G$19</formula>
    </cfRule>
    <cfRule type="cellIs" dxfId="3498" priority="246" stopIfTrue="1" operator="lessThan">
      <formula>$G$19</formula>
    </cfRule>
  </conditionalFormatting>
  <conditionalFormatting sqref="H20">
    <cfRule type="cellIs" dxfId="3497" priority="247" stopIfTrue="1" operator="equal">
      <formula>$G$20</formula>
    </cfRule>
    <cfRule type="cellIs" dxfId="3496" priority="248" stopIfTrue="1" operator="lessThan">
      <formula>$G$20</formula>
    </cfRule>
  </conditionalFormatting>
  <conditionalFormatting sqref="H21">
    <cfRule type="cellIs" dxfId="3495" priority="250" stopIfTrue="1" operator="lessThan">
      <formula>$G$21</formula>
    </cfRule>
    <cfRule type="cellIs" dxfId="3494" priority="249" stopIfTrue="1" operator="equal">
      <formula>$G$21</formula>
    </cfRule>
  </conditionalFormatting>
  <conditionalFormatting sqref="H22">
    <cfRule type="cellIs" dxfId="3493" priority="251" stopIfTrue="1" operator="equal">
      <formula>$G$22</formula>
    </cfRule>
    <cfRule type="cellIs" dxfId="3492" priority="252" stopIfTrue="1" operator="lessThan">
      <formula>$G$22</formula>
    </cfRule>
  </conditionalFormatting>
  <conditionalFormatting sqref="H23">
    <cfRule type="cellIs" dxfId="3491" priority="254" stopIfTrue="1" operator="lessThan">
      <formula>$G$23</formula>
    </cfRule>
    <cfRule type="cellIs" dxfId="3490" priority="253" stopIfTrue="1" operator="equal">
      <formula>$G$23</formula>
    </cfRule>
  </conditionalFormatting>
  <conditionalFormatting sqref="H24">
    <cfRule type="cellIs" dxfId="3489" priority="302" stopIfTrue="1" operator="lessThan">
      <formula>$G$24</formula>
    </cfRule>
    <cfRule type="cellIs" dxfId="3488" priority="301" stopIfTrue="1" operator="equal">
      <formula>$G$24</formula>
    </cfRule>
  </conditionalFormatting>
  <conditionalFormatting sqref="H25">
    <cfRule type="cellIs" dxfId="3487" priority="255" stopIfTrue="1" operator="equal">
      <formula>$G$25</formula>
    </cfRule>
    <cfRule type="cellIs" dxfId="3486" priority="256" stopIfTrue="1" operator="lessThan">
      <formula>$G$25</formula>
    </cfRule>
  </conditionalFormatting>
  <conditionalFormatting sqref="H26">
    <cfRule type="cellIs" dxfId="3485" priority="258" stopIfTrue="1" operator="lessThan">
      <formula>$G$26</formula>
    </cfRule>
    <cfRule type="cellIs" dxfId="3484" priority="257" stopIfTrue="1" operator="equal">
      <formula>$G$26</formula>
    </cfRule>
  </conditionalFormatting>
  <conditionalFormatting sqref="H27">
    <cfRule type="cellIs" dxfId="3483" priority="259" stopIfTrue="1" operator="equal">
      <formula>$G$27</formula>
    </cfRule>
    <cfRule type="cellIs" dxfId="3482" priority="260" stopIfTrue="1" operator="lessThan">
      <formula>$G$27</formula>
    </cfRule>
  </conditionalFormatting>
  <conditionalFormatting sqref="H28">
    <cfRule type="cellIs" dxfId="3481" priority="262" stopIfTrue="1" operator="lessThan">
      <formula>$G$28</formula>
    </cfRule>
    <cfRule type="cellIs" dxfId="3480" priority="261" stopIfTrue="1" operator="equal">
      <formula>$G$28</formula>
    </cfRule>
  </conditionalFormatting>
  <conditionalFormatting sqref="I4">
    <cfRule type="cellIs" dxfId="3479" priority="26" stopIfTrue="1" operator="lessThan">
      <formula>$H$4</formula>
    </cfRule>
    <cfRule type="cellIs" dxfId="3478" priority="27" stopIfTrue="1" operator="equal">
      <formula>$H$4</formula>
    </cfRule>
  </conditionalFormatting>
  <conditionalFormatting sqref="I5">
    <cfRule type="cellIs" dxfId="3477" priority="30" stopIfTrue="1" operator="equal">
      <formula>$H$5</formula>
    </cfRule>
    <cfRule type="cellIs" dxfId="3476" priority="31" stopIfTrue="1" operator="lessThan">
      <formula>$H$5</formula>
    </cfRule>
  </conditionalFormatting>
  <conditionalFormatting sqref="I6">
    <cfRule type="cellIs" dxfId="3475" priority="57" stopIfTrue="1" operator="equal">
      <formula>$H$6</formula>
    </cfRule>
    <cfRule type="cellIs" dxfId="3474" priority="58" stopIfTrue="1" operator="lessThan">
      <formula>$H$6</formula>
    </cfRule>
  </conditionalFormatting>
  <conditionalFormatting sqref="I7">
    <cfRule type="cellIs" dxfId="3473" priority="70" stopIfTrue="1" operator="lessThan">
      <formula>$H$7</formula>
    </cfRule>
    <cfRule type="cellIs" dxfId="3472" priority="69" stopIfTrue="1" operator="equal">
      <formula>$H$7</formula>
    </cfRule>
  </conditionalFormatting>
  <conditionalFormatting sqref="I8">
    <cfRule type="cellIs" dxfId="3471" priority="84" stopIfTrue="1" operator="lessThan">
      <formula>$H$8</formula>
    </cfRule>
    <cfRule type="cellIs" dxfId="3470" priority="83" stopIfTrue="1" operator="equal">
      <formula>$H$8</formula>
    </cfRule>
  </conditionalFormatting>
  <conditionalFormatting sqref="I9">
    <cfRule type="cellIs" dxfId="3469" priority="97" stopIfTrue="1" operator="equal">
      <formula>$H$9</formula>
    </cfRule>
    <cfRule type="cellIs" dxfId="3468" priority="98" stopIfTrue="1" operator="lessThan">
      <formula>$H$9</formula>
    </cfRule>
  </conditionalFormatting>
  <conditionalFormatting sqref="I10">
    <cfRule type="cellIs" dxfId="3467" priority="111" stopIfTrue="1" operator="equal">
      <formula>$H$10</formula>
    </cfRule>
    <cfRule type="cellIs" dxfId="3466" priority="112" stopIfTrue="1" operator="lessThan">
      <formula>$H$10</formula>
    </cfRule>
  </conditionalFormatting>
  <conditionalFormatting sqref="I11">
    <cfRule type="cellIs" dxfId="3465" priority="125" stopIfTrue="1" operator="equal">
      <formula>$H$11</formula>
    </cfRule>
    <cfRule type="cellIs" dxfId="3464" priority="126" stopIfTrue="1" operator="lessThan">
      <formula>$H$11</formula>
    </cfRule>
  </conditionalFormatting>
  <conditionalFormatting sqref="I12">
    <cfRule type="cellIs" dxfId="3463" priority="139" stopIfTrue="1" operator="equal">
      <formula>$H$12</formula>
    </cfRule>
    <cfRule type="cellIs" dxfId="3462" priority="140" stopIfTrue="1" operator="lessThan">
      <formula>$H$12</formula>
    </cfRule>
  </conditionalFormatting>
  <conditionalFormatting sqref="I13">
    <cfRule type="cellIs" dxfId="3461" priority="265" stopIfTrue="1" operator="equal">
      <formula>$H$13</formula>
    </cfRule>
    <cfRule type="cellIs" dxfId="3460" priority="266" stopIfTrue="1" operator="lessThan">
      <formula>$H$13</formula>
    </cfRule>
  </conditionalFormatting>
  <conditionalFormatting sqref="I14">
    <cfRule type="cellIs" dxfId="3459" priority="268" stopIfTrue="1" operator="lessThan">
      <formula>$H$14</formula>
    </cfRule>
    <cfRule type="cellIs" dxfId="3458" priority="267" stopIfTrue="1" operator="equal">
      <formula>$H$14</formula>
    </cfRule>
  </conditionalFormatting>
  <conditionalFormatting sqref="I15">
    <cfRule type="cellIs" dxfId="3457" priority="269" stopIfTrue="1" operator="equal">
      <formula>$H$15</formula>
    </cfRule>
    <cfRule type="cellIs" dxfId="3456" priority="270" stopIfTrue="1" operator="lessThan">
      <formula>$H$15</formula>
    </cfRule>
  </conditionalFormatting>
  <conditionalFormatting sqref="I16">
    <cfRule type="cellIs" dxfId="3455" priority="272" stopIfTrue="1" operator="lessThan">
      <formula>$H$16</formula>
    </cfRule>
    <cfRule type="cellIs" dxfId="3454" priority="271" stopIfTrue="1" operator="equal">
      <formula>$H$16</formula>
    </cfRule>
  </conditionalFormatting>
  <conditionalFormatting sqref="I17">
    <cfRule type="cellIs" dxfId="3453" priority="274" stopIfTrue="1" operator="lessThan">
      <formula>$H$17</formula>
    </cfRule>
    <cfRule type="cellIs" dxfId="3452" priority="273" stopIfTrue="1" operator="equal">
      <formula>$H$17</formula>
    </cfRule>
  </conditionalFormatting>
  <conditionalFormatting sqref="I18">
    <cfRule type="cellIs" dxfId="3451" priority="275" stopIfTrue="1" operator="equal">
      <formula>$H$18</formula>
    </cfRule>
    <cfRule type="cellIs" dxfId="3450" priority="276" stopIfTrue="1" operator="lessThan">
      <formula>$H$18</formula>
    </cfRule>
  </conditionalFormatting>
  <conditionalFormatting sqref="I19">
    <cfRule type="cellIs" dxfId="3449" priority="277" stopIfTrue="1" operator="equal">
      <formula>$H$19</formula>
    </cfRule>
    <cfRule type="cellIs" dxfId="3448" priority="278" stopIfTrue="1" operator="lessThan">
      <formula>$H$19</formula>
    </cfRule>
  </conditionalFormatting>
  <conditionalFormatting sqref="I20">
    <cfRule type="cellIs" dxfId="3447" priority="279" stopIfTrue="1" operator="equal">
      <formula>$H$20</formula>
    </cfRule>
    <cfRule type="cellIs" dxfId="3446" priority="280" stopIfTrue="1" operator="lessThan">
      <formula>$H$20</formula>
    </cfRule>
  </conditionalFormatting>
  <conditionalFormatting sqref="I21">
    <cfRule type="cellIs" dxfId="3445" priority="281" stopIfTrue="1" operator="equal">
      <formula>$H$21</formula>
    </cfRule>
    <cfRule type="cellIs" dxfId="3444" priority="282" stopIfTrue="1" operator="lessThan">
      <formula>$H$21</formula>
    </cfRule>
  </conditionalFormatting>
  <conditionalFormatting sqref="I22">
    <cfRule type="cellIs" dxfId="3443" priority="284" stopIfTrue="1" operator="lessThan">
      <formula>$H$22</formula>
    </cfRule>
    <cfRule type="cellIs" dxfId="3442" priority="283" stopIfTrue="1" operator="equal">
      <formula>$H$22</formula>
    </cfRule>
  </conditionalFormatting>
  <conditionalFormatting sqref="I23">
    <cfRule type="cellIs" dxfId="3441" priority="286" stopIfTrue="1" operator="lessThan">
      <formula>$H$23</formula>
    </cfRule>
    <cfRule type="cellIs" dxfId="3440" priority="285" stopIfTrue="1" operator="equal">
      <formula>$H$23</formula>
    </cfRule>
  </conditionalFormatting>
  <conditionalFormatting sqref="I24">
    <cfRule type="cellIs" dxfId="3439" priority="304" stopIfTrue="1" operator="lessThan">
      <formula>$H$24</formula>
    </cfRule>
    <cfRule type="cellIs" dxfId="3438" priority="303" stopIfTrue="1" operator="equal">
      <formula>$H$24</formula>
    </cfRule>
  </conditionalFormatting>
  <conditionalFormatting sqref="I25">
    <cfRule type="cellIs" dxfId="3437" priority="287" stopIfTrue="1" operator="equal">
      <formula>$H$25</formula>
    </cfRule>
    <cfRule type="cellIs" dxfId="3436" priority="288" stopIfTrue="1" operator="lessThan">
      <formula>$H$25</formula>
    </cfRule>
  </conditionalFormatting>
  <conditionalFormatting sqref="I26">
    <cfRule type="cellIs" dxfId="3435" priority="290" stopIfTrue="1" operator="lessThan">
      <formula>$H$26</formula>
    </cfRule>
    <cfRule type="cellIs" dxfId="3434" priority="289" stopIfTrue="1" operator="equal">
      <formula>$H$26</formula>
    </cfRule>
  </conditionalFormatting>
  <conditionalFormatting sqref="I27">
    <cfRule type="cellIs" dxfId="3433" priority="291" stopIfTrue="1" operator="equal">
      <formula>$H$27</formula>
    </cfRule>
    <cfRule type="cellIs" dxfId="3432" priority="292" stopIfTrue="1" operator="lessThan">
      <formula>$H$27</formula>
    </cfRule>
  </conditionalFormatting>
  <conditionalFormatting sqref="I28">
    <cfRule type="cellIs" dxfId="3431" priority="293" stopIfTrue="1" operator="equal">
      <formula>$H$28</formula>
    </cfRule>
    <cfRule type="cellIs" dxfId="3430" priority="294" stopIfTrue="1" operator="lessThan">
      <formula>$H$28</formula>
    </cfRule>
  </conditionalFormatting>
  <conditionalFormatting sqref="J4">
    <cfRule type="cellIs" dxfId="3429" priority="46" stopIfTrue="1" operator="equal">
      <formula>$I$4</formula>
    </cfRule>
  </conditionalFormatting>
  <conditionalFormatting sqref="J5">
    <cfRule type="cellIs" dxfId="3428" priority="33" stopIfTrue="1" operator="lessThan">
      <formula>$I$5</formula>
    </cfRule>
    <cfRule type="cellIs" dxfId="3427" priority="32" stopIfTrue="1" operator="equal">
      <formula>$I$5</formula>
    </cfRule>
  </conditionalFormatting>
  <conditionalFormatting sqref="J6">
    <cfRule type="cellIs" dxfId="3426" priority="59" stopIfTrue="1" operator="equal">
      <formula>$I$6</formula>
    </cfRule>
    <cfRule type="cellIs" dxfId="3425" priority="60" stopIfTrue="1" operator="lessThan">
      <formula>$I$6</formula>
    </cfRule>
  </conditionalFormatting>
  <conditionalFormatting sqref="J7">
    <cfRule type="cellIs" dxfId="3424" priority="71" stopIfTrue="1" operator="equal">
      <formula>$I$7</formula>
    </cfRule>
    <cfRule type="cellIs" dxfId="3423" priority="72" stopIfTrue="1" operator="lessThan">
      <formula>$I$7</formula>
    </cfRule>
  </conditionalFormatting>
  <conditionalFormatting sqref="J8">
    <cfRule type="cellIs" dxfId="3422" priority="86" stopIfTrue="1" operator="lessThan">
      <formula>$I$8</formula>
    </cfRule>
    <cfRule type="cellIs" dxfId="3421" priority="85" stopIfTrue="1" operator="equal">
      <formula>$I$8</formula>
    </cfRule>
  </conditionalFormatting>
  <conditionalFormatting sqref="J9">
    <cfRule type="cellIs" dxfId="3420" priority="100" stopIfTrue="1" operator="lessThan">
      <formula>$I$9</formula>
    </cfRule>
    <cfRule type="cellIs" dxfId="3419" priority="99" stopIfTrue="1" operator="equal">
      <formula>$I$9</formula>
    </cfRule>
  </conditionalFormatting>
  <conditionalFormatting sqref="J10">
    <cfRule type="cellIs" dxfId="3418" priority="114" stopIfTrue="1" operator="lessThan">
      <formula>$I$10</formula>
    </cfRule>
    <cfRule type="cellIs" dxfId="3417" priority="113" stopIfTrue="1" operator="equal">
      <formula>$I$10</formula>
    </cfRule>
  </conditionalFormatting>
  <conditionalFormatting sqref="J11">
    <cfRule type="cellIs" dxfId="3416" priority="127" stopIfTrue="1" operator="equal">
      <formula>$I$11</formula>
    </cfRule>
    <cfRule type="cellIs" dxfId="3415" priority="128" stopIfTrue="1" operator="lessThan">
      <formula>$I$11</formula>
    </cfRule>
  </conditionalFormatting>
  <conditionalFormatting sqref="J12">
    <cfRule type="cellIs" dxfId="3414" priority="142" stopIfTrue="1" operator="lessThan">
      <formula>$I$12</formula>
    </cfRule>
    <cfRule type="cellIs" dxfId="3413" priority="141" stopIfTrue="1" operator="equal">
      <formula>$I$12</formula>
    </cfRule>
  </conditionalFormatting>
  <conditionalFormatting sqref="J13">
    <cfRule type="cellIs" dxfId="3412" priority="311" stopIfTrue="1" operator="equal">
      <formula>$I$13</formula>
    </cfRule>
    <cfRule type="cellIs" dxfId="3411" priority="312" stopIfTrue="1" operator="lessThan">
      <formula>$I$13</formula>
    </cfRule>
  </conditionalFormatting>
  <conditionalFormatting sqref="J14">
    <cfRule type="cellIs" dxfId="3410" priority="313" stopIfTrue="1" operator="equal">
      <formula>$I$14</formula>
    </cfRule>
    <cfRule type="cellIs" dxfId="3409" priority="314" stopIfTrue="1" operator="lessThan">
      <formula>$I$14</formula>
    </cfRule>
  </conditionalFormatting>
  <conditionalFormatting sqref="J15">
    <cfRule type="cellIs" dxfId="3408" priority="316" stopIfTrue="1" operator="lessThan">
      <formula>$I$15</formula>
    </cfRule>
    <cfRule type="cellIs" dxfId="3407" priority="315" stopIfTrue="1" operator="equal">
      <formula>$I$15</formula>
    </cfRule>
  </conditionalFormatting>
  <conditionalFormatting sqref="J16">
    <cfRule type="cellIs" dxfId="3406" priority="317" stopIfTrue="1" operator="equal">
      <formula>$I$16</formula>
    </cfRule>
    <cfRule type="cellIs" dxfId="3405" priority="318" stopIfTrue="1" operator="lessThan">
      <formula>$I$16</formula>
    </cfRule>
  </conditionalFormatting>
  <conditionalFormatting sqref="J17">
    <cfRule type="cellIs" dxfId="3404" priority="320" stopIfTrue="1" operator="lessThan">
      <formula>$I$17</formula>
    </cfRule>
    <cfRule type="cellIs" dxfId="3403" priority="319" stopIfTrue="1" operator="equal">
      <formula>$I$17</formula>
    </cfRule>
  </conditionalFormatting>
  <conditionalFormatting sqref="J18">
    <cfRule type="cellIs" dxfId="3402" priority="321" stopIfTrue="1" operator="equal">
      <formula>$I$18</formula>
    </cfRule>
    <cfRule type="cellIs" dxfId="3401" priority="322" stopIfTrue="1" operator="lessThan">
      <formula>$I$18</formula>
    </cfRule>
  </conditionalFormatting>
  <conditionalFormatting sqref="J19">
    <cfRule type="cellIs" dxfId="3400" priority="324" stopIfTrue="1" operator="lessThan">
      <formula>$I$19</formula>
    </cfRule>
    <cfRule type="cellIs" dxfId="3399" priority="323" stopIfTrue="1" operator="equal">
      <formula>$I$19</formula>
    </cfRule>
  </conditionalFormatting>
  <conditionalFormatting sqref="J20">
    <cfRule type="cellIs" dxfId="3398" priority="326" stopIfTrue="1" operator="lessThan">
      <formula>$I$20</formula>
    </cfRule>
    <cfRule type="cellIs" dxfId="3397" priority="325" stopIfTrue="1" operator="equal">
      <formula>$I$20</formula>
    </cfRule>
  </conditionalFormatting>
  <conditionalFormatting sqref="J21">
    <cfRule type="cellIs" dxfId="3396" priority="327" stopIfTrue="1" operator="equal">
      <formula>$I$21</formula>
    </cfRule>
    <cfRule type="cellIs" dxfId="3395" priority="328" stopIfTrue="1" operator="lessThan">
      <formula>$I$21</formula>
    </cfRule>
  </conditionalFormatting>
  <conditionalFormatting sqref="J22">
    <cfRule type="cellIs" dxfId="3394" priority="330" stopIfTrue="1" operator="lessThan">
      <formula>$I$22</formula>
    </cfRule>
    <cfRule type="cellIs" dxfId="3393" priority="329" stopIfTrue="1" operator="equal">
      <formula>$I$22</formula>
    </cfRule>
  </conditionalFormatting>
  <conditionalFormatting sqref="J23">
    <cfRule type="cellIs" dxfId="3392" priority="332" stopIfTrue="1" operator="lessThan">
      <formula>$I$23</formula>
    </cfRule>
    <cfRule type="cellIs" dxfId="3391" priority="331" stopIfTrue="1" operator="equal">
      <formula>$I$23</formula>
    </cfRule>
  </conditionalFormatting>
  <conditionalFormatting sqref="J24">
    <cfRule type="cellIs" dxfId="3390" priority="334" stopIfTrue="1" operator="lessThan">
      <formula>$I$24</formula>
    </cfRule>
    <cfRule type="cellIs" dxfId="3389" priority="333" stopIfTrue="1" operator="equal">
      <formula>$I$24</formula>
    </cfRule>
  </conditionalFormatting>
  <conditionalFormatting sqref="J25">
    <cfRule type="cellIs" dxfId="3388" priority="336" stopIfTrue="1" operator="lessThan">
      <formula>$I$25</formula>
    </cfRule>
    <cfRule type="cellIs" dxfId="3387" priority="335" stopIfTrue="1" operator="equal">
      <formula>$I$25</formula>
    </cfRule>
  </conditionalFormatting>
  <conditionalFormatting sqref="J26">
    <cfRule type="cellIs" dxfId="3386" priority="338" stopIfTrue="1" operator="lessThan">
      <formula>$I$26</formula>
    </cfRule>
    <cfRule type="cellIs" dxfId="3385" priority="337" stopIfTrue="1" operator="equal">
      <formula>$I$26</formula>
    </cfRule>
  </conditionalFormatting>
  <conditionalFormatting sqref="J27">
    <cfRule type="cellIs" dxfId="3384" priority="340" stopIfTrue="1" operator="lessThan">
      <formula>$I$27</formula>
    </cfRule>
    <cfRule type="cellIs" dxfId="3383" priority="339" stopIfTrue="1" operator="equal">
      <formula>$I$27</formula>
    </cfRule>
  </conditionalFormatting>
  <conditionalFormatting sqref="J28">
    <cfRule type="cellIs" dxfId="3382" priority="343" stopIfTrue="1" operator="lessThan">
      <formula>$I$28</formula>
    </cfRule>
    <cfRule type="cellIs" dxfId="3381" priority="342" stopIfTrue="1" operator="equal">
      <formula>$I$28</formula>
    </cfRule>
  </conditionalFormatting>
  <conditionalFormatting sqref="J29">
    <cfRule type="cellIs" dxfId="3380" priority="344" stopIfTrue="1" operator="equal">
      <formula>$I$29</formula>
    </cfRule>
    <cfRule type="cellIs" dxfId="3379" priority="345" stopIfTrue="1" operator="lessThan">
      <formula>$I$29</formula>
    </cfRule>
  </conditionalFormatting>
  <conditionalFormatting sqref="K4">
    <cfRule type="cellIs" dxfId="3378" priority="47" stopIfTrue="1" operator="lessThan">
      <formula>$J$4</formula>
    </cfRule>
    <cfRule type="cellIs" dxfId="3377" priority="48" stopIfTrue="1" operator="equal">
      <formula>$J$4</formula>
    </cfRule>
  </conditionalFormatting>
  <conditionalFormatting sqref="K5">
    <cfRule type="cellIs" dxfId="3376" priority="35" stopIfTrue="1" operator="lessThan">
      <formula>$J$5</formula>
    </cfRule>
    <cfRule type="cellIs" dxfId="3375" priority="34" stopIfTrue="1" operator="equal">
      <formula>$J$5</formula>
    </cfRule>
  </conditionalFormatting>
  <conditionalFormatting sqref="K6">
    <cfRule type="cellIs" dxfId="3374" priority="62" stopIfTrue="1" operator="lessThan">
      <formula>$J$6</formula>
    </cfRule>
    <cfRule type="cellIs" dxfId="3373" priority="61" stopIfTrue="1" operator="equal">
      <formula>$J$6</formula>
    </cfRule>
  </conditionalFormatting>
  <conditionalFormatting sqref="K7">
    <cfRule type="cellIs" dxfId="3372" priority="74" stopIfTrue="1" operator="lessThan">
      <formula>$J$7</formula>
    </cfRule>
    <cfRule type="cellIs" dxfId="3371" priority="73" stopIfTrue="1" operator="equal">
      <formula>$J$7</formula>
    </cfRule>
  </conditionalFormatting>
  <conditionalFormatting sqref="K8">
    <cfRule type="cellIs" dxfId="3370" priority="88" stopIfTrue="1" operator="lessThan">
      <formula>$J$8</formula>
    </cfRule>
    <cfRule type="cellIs" dxfId="3369" priority="87" stopIfTrue="1" operator="equal">
      <formula>$J$8</formula>
    </cfRule>
  </conditionalFormatting>
  <conditionalFormatting sqref="K9">
    <cfRule type="cellIs" dxfId="3368" priority="102" stopIfTrue="1" operator="lessThan">
      <formula>$J$9</formula>
    </cfRule>
    <cfRule type="cellIs" dxfId="3367" priority="101" stopIfTrue="1" operator="equal">
      <formula>$J$9</formula>
    </cfRule>
  </conditionalFormatting>
  <conditionalFormatting sqref="K10">
    <cfRule type="cellIs" dxfId="3366" priority="116" stopIfTrue="1" operator="lessThan">
      <formula>$J$10</formula>
    </cfRule>
    <cfRule type="cellIs" dxfId="3365" priority="115" stopIfTrue="1" operator="equal">
      <formula>$J$10</formula>
    </cfRule>
  </conditionalFormatting>
  <conditionalFormatting sqref="K11">
    <cfRule type="cellIs" dxfId="3364" priority="130" stopIfTrue="1" operator="lessThan">
      <formula>$J$11</formula>
    </cfRule>
    <cfRule type="cellIs" dxfId="3363" priority="129" stopIfTrue="1" operator="equal">
      <formula>$J$11</formula>
    </cfRule>
  </conditionalFormatting>
  <conditionalFormatting sqref="K12">
    <cfRule type="cellIs" dxfId="3362" priority="143" stopIfTrue="1" operator="equal">
      <formula>$J$12</formula>
    </cfRule>
    <cfRule type="cellIs" dxfId="3361" priority="144" stopIfTrue="1" operator="lessThan">
      <formula>$J$12</formula>
    </cfRule>
  </conditionalFormatting>
  <conditionalFormatting sqref="K13">
    <cfRule type="cellIs" dxfId="3360" priority="347" stopIfTrue="1" operator="lessThan">
      <formula>$J$13</formula>
    </cfRule>
    <cfRule type="cellIs" dxfId="3359" priority="346" stopIfTrue="1" operator="equal">
      <formula>$J$13</formula>
    </cfRule>
  </conditionalFormatting>
  <conditionalFormatting sqref="K14">
    <cfRule type="cellIs" dxfId="3358" priority="349" stopIfTrue="1" operator="lessThan">
      <formula>$J$14</formula>
    </cfRule>
    <cfRule type="cellIs" dxfId="3357" priority="348" stopIfTrue="1" operator="equal">
      <formula>$J$14</formula>
    </cfRule>
  </conditionalFormatting>
  <conditionalFormatting sqref="K15">
    <cfRule type="cellIs" dxfId="3356" priority="350" stopIfTrue="1" operator="equal">
      <formula>$J$15</formula>
    </cfRule>
    <cfRule type="cellIs" dxfId="3355" priority="351" stopIfTrue="1" operator="lessThan">
      <formula>$J$15</formula>
    </cfRule>
  </conditionalFormatting>
  <conditionalFormatting sqref="K16">
    <cfRule type="cellIs" dxfId="3354" priority="352" stopIfTrue="1" operator="equal">
      <formula>$J$16</formula>
    </cfRule>
    <cfRule type="cellIs" dxfId="3353" priority="353" stopIfTrue="1" operator="lessThan">
      <formula>$J$16</formula>
    </cfRule>
  </conditionalFormatting>
  <conditionalFormatting sqref="K17">
    <cfRule type="cellIs" dxfId="3352" priority="354" stopIfTrue="1" operator="equal">
      <formula>$J$17</formula>
    </cfRule>
    <cfRule type="cellIs" dxfId="3351" priority="355" stopIfTrue="1" operator="lessThan">
      <formula>$J$17</formula>
    </cfRule>
  </conditionalFormatting>
  <conditionalFormatting sqref="K18">
    <cfRule type="cellIs" dxfId="3350" priority="356" stopIfTrue="1" operator="equal">
      <formula>$J$18</formula>
    </cfRule>
    <cfRule type="cellIs" dxfId="3349" priority="357" stopIfTrue="1" operator="lessThan">
      <formula>$J$18</formula>
    </cfRule>
  </conditionalFormatting>
  <conditionalFormatting sqref="K19">
    <cfRule type="cellIs" dxfId="3348" priority="358" stopIfTrue="1" operator="equal">
      <formula>$J$19</formula>
    </cfRule>
    <cfRule type="cellIs" dxfId="3347" priority="359" stopIfTrue="1" operator="lessThan">
      <formula>$J$19</formula>
    </cfRule>
  </conditionalFormatting>
  <conditionalFormatting sqref="K20">
    <cfRule type="cellIs" dxfId="3346" priority="360" stopIfTrue="1" operator="equal">
      <formula>$J$20</formula>
    </cfRule>
    <cfRule type="cellIs" dxfId="3345" priority="361" stopIfTrue="1" operator="lessThan">
      <formula>$J$20</formula>
    </cfRule>
  </conditionalFormatting>
  <conditionalFormatting sqref="K21">
    <cfRule type="cellIs" dxfId="3344" priority="362" stopIfTrue="1" operator="equal">
      <formula>$J$21</formula>
    </cfRule>
    <cfRule type="cellIs" dxfId="3343" priority="363" stopIfTrue="1" operator="lessThan">
      <formula>$J$21</formula>
    </cfRule>
  </conditionalFormatting>
  <conditionalFormatting sqref="K22">
    <cfRule type="cellIs" dxfId="3342" priority="364" stopIfTrue="1" operator="equal">
      <formula>$J$22</formula>
    </cfRule>
    <cfRule type="cellIs" dxfId="3341" priority="365" stopIfTrue="1" operator="lessThan">
      <formula>$J$22</formula>
    </cfRule>
  </conditionalFormatting>
  <conditionalFormatting sqref="K23">
    <cfRule type="cellIs" dxfId="3340" priority="367" stopIfTrue="1" operator="lessThan">
      <formula>$J$23</formula>
    </cfRule>
    <cfRule type="cellIs" dxfId="3339" priority="366" stopIfTrue="1" operator="equal">
      <formula>$J$23</formula>
    </cfRule>
  </conditionalFormatting>
  <conditionalFormatting sqref="K24">
    <cfRule type="cellIs" dxfId="3338" priority="368" stopIfTrue="1" operator="equal">
      <formula>$J$24</formula>
    </cfRule>
    <cfRule type="cellIs" dxfId="3337" priority="369" stopIfTrue="1" operator="lessThan">
      <formula>$J$24</formula>
    </cfRule>
  </conditionalFormatting>
  <conditionalFormatting sqref="K25">
    <cfRule type="cellIs" dxfId="3336" priority="370" stopIfTrue="1" operator="equal">
      <formula>$J$25</formula>
    </cfRule>
    <cfRule type="cellIs" dxfId="3335" priority="371" stopIfTrue="1" operator="lessThan">
      <formula>$J$25</formula>
    </cfRule>
  </conditionalFormatting>
  <conditionalFormatting sqref="K26">
    <cfRule type="cellIs" dxfId="3334" priority="372" stopIfTrue="1" operator="equal">
      <formula>$J$26</formula>
    </cfRule>
    <cfRule type="cellIs" dxfId="3333" priority="373" stopIfTrue="1" operator="lessThan">
      <formula>$J$26</formula>
    </cfRule>
  </conditionalFormatting>
  <conditionalFormatting sqref="K27">
    <cfRule type="cellIs" dxfId="3332" priority="374" stopIfTrue="1" operator="equal">
      <formula>$J$27</formula>
    </cfRule>
    <cfRule type="cellIs" dxfId="3331" priority="375" stopIfTrue="1" operator="lessThan">
      <formula>$J$27</formula>
    </cfRule>
  </conditionalFormatting>
  <conditionalFormatting sqref="K28">
    <cfRule type="cellIs" dxfId="3330" priority="376" stopIfTrue="1" operator="equal">
      <formula>$J$28</formula>
    </cfRule>
    <cfRule type="cellIs" dxfId="3329" priority="377" stopIfTrue="1" operator="lessThan">
      <formula>$J$28</formula>
    </cfRule>
  </conditionalFormatting>
  <conditionalFormatting sqref="L4">
    <cfRule type="cellIs" dxfId="3328" priority="378" stopIfTrue="1" operator="equal">
      <formula>$K$4</formula>
    </cfRule>
    <cfRule type="cellIs" dxfId="3327" priority="379" stopIfTrue="1" operator="lessThan">
      <formula>$K$4</formula>
    </cfRule>
  </conditionalFormatting>
  <conditionalFormatting sqref="L5">
    <cfRule type="cellIs" dxfId="3326" priority="380" stopIfTrue="1" operator="equal">
      <formula>$K$5</formula>
    </cfRule>
    <cfRule type="cellIs" dxfId="3325" priority="381" stopIfTrue="1" operator="lessThan">
      <formula>$K$5</formula>
    </cfRule>
  </conditionalFormatting>
  <conditionalFormatting sqref="L6">
    <cfRule type="cellIs" dxfId="3324" priority="382" stopIfTrue="1" operator="equal">
      <formula>$K$6</formula>
    </cfRule>
    <cfRule type="cellIs" dxfId="3323" priority="383" stopIfTrue="1" operator="lessThan">
      <formula>$K$6</formula>
    </cfRule>
  </conditionalFormatting>
  <conditionalFormatting sqref="L7">
    <cfRule type="cellIs" dxfId="3322" priority="384" stopIfTrue="1" operator="equal">
      <formula>$K$7</formula>
    </cfRule>
    <cfRule type="cellIs" dxfId="3321" priority="385" stopIfTrue="1" operator="lessThan">
      <formula>$K$7</formula>
    </cfRule>
  </conditionalFormatting>
  <conditionalFormatting sqref="L8">
    <cfRule type="cellIs" dxfId="3320" priority="387" stopIfTrue="1" operator="lessThan">
      <formula>$K$8</formula>
    </cfRule>
    <cfRule type="cellIs" dxfId="3319" priority="386" stopIfTrue="1" operator="equal">
      <formula>$K$8</formula>
    </cfRule>
  </conditionalFormatting>
  <conditionalFormatting sqref="L9">
    <cfRule type="cellIs" dxfId="3318" priority="389" stopIfTrue="1" operator="lessThan">
      <formula>$K$9</formula>
    </cfRule>
    <cfRule type="cellIs" dxfId="3317" priority="388" stopIfTrue="1" operator="equal">
      <formula>$K$9</formula>
    </cfRule>
  </conditionalFormatting>
  <conditionalFormatting sqref="L10">
    <cfRule type="cellIs" dxfId="3316" priority="390" stopIfTrue="1" operator="equal">
      <formula>$K$10</formula>
    </cfRule>
    <cfRule type="cellIs" dxfId="3315" priority="391" stopIfTrue="1" operator="lessThan">
      <formula>$K$10</formula>
    </cfRule>
  </conditionalFormatting>
  <conditionalFormatting sqref="L11">
    <cfRule type="cellIs" dxfId="3314" priority="392" stopIfTrue="1" operator="equal">
      <formula>$K$11</formula>
    </cfRule>
    <cfRule type="cellIs" dxfId="3313" priority="393" stopIfTrue="1" operator="lessThan">
      <formula>$K$11</formula>
    </cfRule>
  </conditionalFormatting>
  <conditionalFormatting sqref="L12">
    <cfRule type="cellIs" dxfId="3312" priority="394" stopIfTrue="1" operator="equal">
      <formula>$K$12</formula>
    </cfRule>
    <cfRule type="cellIs" dxfId="3311" priority="395" stopIfTrue="1" operator="lessThan">
      <formula>$K$12</formula>
    </cfRule>
  </conditionalFormatting>
  <conditionalFormatting sqref="L13">
    <cfRule type="cellIs" dxfId="3310" priority="396" stopIfTrue="1" operator="equal">
      <formula>$K$13</formula>
    </cfRule>
    <cfRule type="cellIs" dxfId="3309" priority="397" stopIfTrue="1" operator="lessThan">
      <formula>$K$13</formula>
    </cfRule>
  </conditionalFormatting>
  <conditionalFormatting sqref="L14">
    <cfRule type="cellIs" dxfId="3308" priority="398" stopIfTrue="1" operator="equal">
      <formula>$K$14</formula>
    </cfRule>
    <cfRule type="cellIs" dxfId="3307" priority="399" stopIfTrue="1" operator="lessThan">
      <formula>$K$14</formula>
    </cfRule>
  </conditionalFormatting>
  <conditionalFormatting sqref="L15">
    <cfRule type="cellIs" dxfId="3306" priority="400" stopIfTrue="1" operator="equal">
      <formula>$K$15</formula>
    </cfRule>
    <cfRule type="cellIs" dxfId="3305" priority="401" stopIfTrue="1" operator="lessThan">
      <formula>$K$15</formula>
    </cfRule>
  </conditionalFormatting>
  <conditionalFormatting sqref="L16">
    <cfRule type="cellIs" dxfId="3304" priority="402" stopIfTrue="1" operator="equal">
      <formula>$K$16</formula>
    </cfRule>
    <cfRule type="cellIs" dxfId="3303" priority="403" stopIfTrue="1" operator="lessThan">
      <formula>$K$16</formula>
    </cfRule>
  </conditionalFormatting>
  <conditionalFormatting sqref="L17">
    <cfRule type="cellIs" dxfId="3302" priority="404" stopIfTrue="1" operator="equal">
      <formula>$K$17</formula>
    </cfRule>
    <cfRule type="cellIs" dxfId="3301" priority="405" stopIfTrue="1" operator="lessThan">
      <formula>$K$17</formula>
    </cfRule>
  </conditionalFormatting>
  <conditionalFormatting sqref="L18">
    <cfRule type="cellIs" dxfId="3300" priority="407" stopIfTrue="1" operator="lessThan">
      <formula>$K$18</formula>
    </cfRule>
    <cfRule type="cellIs" dxfId="3299" priority="406" stopIfTrue="1" operator="equal">
      <formula>$K$18</formula>
    </cfRule>
  </conditionalFormatting>
  <conditionalFormatting sqref="L19">
    <cfRule type="cellIs" dxfId="3298" priority="409" stopIfTrue="1" operator="lessThan">
      <formula>$K$19</formula>
    </cfRule>
    <cfRule type="cellIs" dxfId="3297" priority="408" stopIfTrue="1" operator="equal">
      <formula>$K$19</formula>
    </cfRule>
  </conditionalFormatting>
  <conditionalFormatting sqref="L20">
    <cfRule type="cellIs" dxfId="3296" priority="410" stopIfTrue="1" operator="equal">
      <formula>$K$20</formula>
    </cfRule>
    <cfRule type="cellIs" dxfId="3295" priority="411" stopIfTrue="1" operator="lessThan">
      <formula>$K$20</formula>
    </cfRule>
  </conditionalFormatting>
  <conditionalFormatting sqref="L21">
    <cfRule type="cellIs" dxfId="3294" priority="412" stopIfTrue="1" operator="equal">
      <formula>$K$21</formula>
    </cfRule>
    <cfRule type="cellIs" dxfId="3293" priority="413" stopIfTrue="1" operator="lessThan">
      <formula>$K$21</formula>
    </cfRule>
  </conditionalFormatting>
  <conditionalFormatting sqref="L22">
    <cfRule type="cellIs" dxfId="3292" priority="414" stopIfTrue="1" operator="equal">
      <formula>$K$22</formula>
    </cfRule>
    <cfRule type="cellIs" dxfId="3291" priority="415" stopIfTrue="1" operator="lessThan">
      <formula>$K$22</formula>
    </cfRule>
  </conditionalFormatting>
  <conditionalFormatting sqref="L23">
    <cfRule type="cellIs" dxfId="3290" priority="416" stopIfTrue="1" operator="equal">
      <formula>$K$23</formula>
    </cfRule>
    <cfRule type="cellIs" dxfId="3289" priority="417" stopIfTrue="1" operator="lessThan">
      <formula>$K$23</formula>
    </cfRule>
  </conditionalFormatting>
  <conditionalFormatting sqref="L24">
    <cfRule type="cellIs" dxfId="3288" priority="418" stopIfTrue="1" operator="equal">
      <formula>$K$24</formula>
    </cfRule>
    <cfRule type="cellIs" dxfId="3287" priority="419" stopIfTrue="1" operator="lessThan">
      <formula>$K$24</formula>
    </cfRule>
  </conditionalFormatting>
  <conditionalFormatting sqref="L25">
    <cfRule type="cellIs" dxfId="3286" priority="420" stopIfTrue="1" operator="equal">
      <formula>$K$25</formula>
    </cfRule>
    <cfRule type="cellIs" dxfId="3285" priority="421" stopIfTrue="1" operator="lessThan">
      <formula>$K$25</formula>
    </cfRule>
  </conditionalFormatting>
  <conditionalFormatting sqref="L26">
    <cfRule type="cellIs" dxfId="3284" priority="422" stopIfTrue="1" operator="equal">
      <formula>$K$26</formula>
    </cfRule>
    <cfRule type="cellIs" dxfId="3283" priority="423" stopIfTrue="1" operator="lessThan">
      <formula>$K$26</formula>
    </cfRule>
  </conditionalFormatting>
  <conditionalFormatting sqref="L27">
    <cfRule type="cellIs" dxfId="3282" priority="424" stopIfTrue="1" operator="equal">
      <formula>$K$27</formula>
    </cfRule>
    <cfRule type="cellIs" dxfId="3281" priority="425" stopIfTrue="1" operator="lessThan">
      <formula>$K$27</formula>
    </cfRule>
  </conditionalFormatting>
  <conditionalFormatting sqref="L28">
    <cfRule type="cellIs" dxfId="3280" priority="427" stopIfTrue="1" operator="equal">
      <formula>$K$28</formula>
    </cfRule>
    <cfRule type="cellIs" dxfId="3279" priority="426" stopIfTrue="1" operator="lessThan">
      <formula>$K$28</formula>
    </cfRule>
  </conditionalFormatting>
  <conditionalFormatting sqref="M4">
    <cfRule type="cellIs" dxfId="3278" priority="429" stopIfTrue="1" operator="lessThan">
      <formula>$L$4</formula>
    </cfRule>
    <cfRule type="cellIs" dxfId="3277" priority="428" stopIfTrue="1" operator="equal">
      <formula>$L$4</formula>
    </cfRule>
  </conditionalFormatting>
  <conditionalFormatting sqref="M5">
    <cfRule type="cellIs" dxfId="3276" priority="430" stopIfTrue="1" operator="equal">
      <formula>$L$5</formula>
    </cfRule>
    <cfRule type="cellIs" dxfId="3275" priority="431" stopIfTrue="1" operator="lessThan">
      <formula>$L$5</formula>
    </cfRule>
  </conditionalFormatting>
  <conditionalFormatting sqref="M6">
    <cfRule type="cellIs" dxfId="3274" priority="432" stopIfTrue="1" operator="equal">
      <formula>$L$6</formula>
    </cfRule>
    <cfRule type="cellIs" dxfId="3273" priority="433" stopIfTrue="1" operator="lessThan">
      <formula>$L$6</formula>
    </cfRule>
  </conditionalFormatting>
  <conditionalFormatting sqref="M7">
    <cfRule type="cellIs" dxfId="3272" priority="434" stopIfTrue="1" operator="equal">
      <formula>$L$7</formula>
    </cfRule>
    <cfRule type="cellIs" dxfId="3271" priority="435" stopIfTrue="1" operator="lessThan">
      <formula>$L$7</formula>
    </cfRule>
  </conditionalFormatting>
  <conditionalFormatting sqref="M8">
    <cfRule type="cellIs" dxfId="3270" priority="436" stopIfTrue="1" operator="equal">
      <formula>$L$8</formula>
    </cfRule>
    <cfRule type="cellIs" dxfId="3269" priority="437" stopIfTrue="1" operator="lessThan">
      <formula>$L$8</formula>
    </cfRule>
  </conditionalFormatting>
  <conditionalFormatting sqref="M9">
    <cfRule type="cellIs" dxfId="3268" priority="438" stopIfTrue="1" operator="equal">
      <formula>$L$9</formula>
    </cfRule>
    <cfRule type="cellIs" dxfId="3267" priority="439" stopIfTrue="1" operator="lessThan">
      <formula>$L$9</formula>
    </cfRule>
  </conditionalFormatting>
  <conditionalFormatting sqref="M10">
    <cfRule type="cellIs" dxfId="3266" priority="440" stopIfTrue="1" operator="equal">
      <formula>$L$10</formula>
    </cfRule>
    <cfRule type="cellIs" dxfId="3265" priority="441" stopIfTrue="1" operator="lessThan">
      <formula>$L$10</formula>
    </cfRule>
  </conditionalFormatting>
  <conditionalFormatting sqref="M11">
    <cfRule type="cellIs" dxfId="3264" priority="462" stopIfTrue="1" operator="equal">
      <formula>$L$11</formula>
    </cfRule>
    <cfRule type="cellIs" dxfId="3263" priority="463" stopIfTrue="1" operator="lessThan">
      <formula>$L$11</formula>
    </cfRule>
  </conditionalFormatting>
  <conditionalFormatting sqref="M12">
    <cfRule type="cellIs" dxfId="3262" priority="442" stopIfTrue="1" operator="equal">
      <formula>$L$12</formula>
    </cfRule>
    <cfRule type="cellIs" dxfId="3261" priority="443" stopIfTrue="1" operator="lessThan">
      <formula>$L$12</formula>
    </cfRule>
  </conditionalFormatting>
  <conditionalFormatting sqref="M13">
    <cfRule type="cellIs" dxfId="3260" priority="444" stopIfTrue="1" operator="equal">
      <formula>$L$13</formula>
    </cfRule>
    <cfRule type="cellIs" dxfId="3259" priority="445" stopIfTrue="1" operator="lessThan">
      <formula>$L$13</formula>
    </cfRule>
  </conditionalFormatting>
  <conditionalFormatting sqref="M14">
    <cfRule type="cellIs" dxfId="3258" priority="447" stopIfTrue="1" operator="lessThan">
      <formula>$L$14</formula>
    </cfRule>
    <cfRule type="cellIs" dxfId="3257" priority="446" stopIfTrue="1" operator="equal">
      <formula>$L$14</formula>
    </cfRule>
  </conditionalFormatting>
  <conditionalFormatting sqref="M15">
    <cfRule type="cellIs" dxfId="3256" priority="448" stopIfTrue="1" operator="equal">
      <formula>$L$15</formula>
    </cfRule>
    <cfRule type="cellIs" dxfId="3255" priority="449" stopIfTrue="1" operator="lessThan">
      <formula>$L$15</formula>
    </cfRule>
  </conditionalFormatting>
  <conditionalFormatting sqref="M16">
    <cfRule type="cellIs" dxfId="3254" priority="450" stopIfTrue="1" operator="equal">
      <formula>$L$16</formula>
    </cfRule>
    <cfRule type="cellIs" dxfId="3253" priority="451" stopIfTrue="1" operator="lessThan">
      <formula>$L$16</formula>
    </cfRule>
  </conditionalFormatting>
  <conditionalFormatting sqref="M17">
    <cfRule type="cellIs" dxfId="3252" priority="452" stopIfTrue="1" operator="equal">
      <formula>$L$17</formula>
    </cfRule>
    <cfRule type="cellIs" dxfId="3251" priority="453" stopIfTrue="1" operator="lessThan">
      <formula>$L$17</formula>
    </cfRule>
  </conditionalFormatting>
  <conditionalFormatting sqref="M18">
    <cfRule type="cellIs" dxfId="3250" priority="454" stopIfTrue="1" operator="equal">
      <formula>$L$18</formula>
    </cfRule>
    <cfRule type="cellIs" dxfId="3249" priority="455" stopIfTrue="1" operator="lessThan">
      <formula>$L$18</formula>
    </cfRule>
  </conditionalFormatting>
  <conditionalFormatting sqref="M19">
    <cfRule type="cellIs" dxfId="3248" priority="456" stopIfTrue="1" operator="equal">
      <formula>$L$19</formula>
    </cfRule>
    <cfRule type="cellIs" dxfId="3247" priority="457" stopIfTrue="1" operator="lessThan">
      <formula>$L$19</formula>
    </cfRule>
  </conditionalFormatting>
  <conditionalFormatting sqref="M20">
    <cfRule type="cellIs" dxfId="3246" priority="458" stopIfTrue="1" operator="equal">
      <formula>$L$20</formula>
    </cfRule>
    <cfRule type="cellIs" dxfId="3245" priority="459" stopIfTrue="1" operator="lessThan">
      <formula>$L$20</formula>
    </cfRule>
  </conditionalFormatting>
  <conditionalFormatting sqref="M21">
    <cfRule type="cellIs" dxfId="3244" priority="460" stopIfTrue="1" operator="equal">
      <formula>$L$21</formula>
    </cfRule>
    <cfRule type="cellIs" dxfId="3243" priority="461" stopIfTrue="1" operator="lessThan">
      <formula>$L$21</formula>
    </cfRule>
  </conditionalFormatting>
  <conditionalFormatting sqref="M22">
    <cfRule type="cellIs" dxfId="3242" priority="464" stopIfTrue="1" operator="equal">
      <formula>$L$22</formula>
    </cfRule>
    <cfRule type="cellIs" dxfId="3241" priority="465" stopIfTrue="1" operator="lessThan">
      <formula>$L$22</formula>
    </cfRule>
  </conditionalFormatting>
  <conditionalFormatting sqref="M23">
    <cfRule type="cellIs" dxfId="3240" priority="467" stopIfTrue="1" operator="lessThan">
      <formula>$L$23</formula>
    </cfRule>
    <cfRule type="cellIs" dxfId="3239" priority="466" stopIfTrue="1" operator="equal">
      <formula>$L$23</formula>
    </cfRule>
  </conditionalFormatting>
  <conditionalFormatting sqref="M24">
    <cfRule type="cellIs" dxfId="3238" priority="469" stopIfTrue="1" operator="lessThan">
      <formula>$L$24</formula>
    </cfRule>
    <cfRule type="cellIs" dxfId="3237" priority="468" stopIfTrue="1" operator="equal">
      <formula>$L$24</formula>
    </cfRule>
  </conditionalFormatting>
  <conditionalFormatting sqref="M25">
    <cfRule type="cellIs" dxfId="3236" priority="470" stopIfTrue="1" operator="equal">
      <formula>$L$25</formula>
    </cfRule>
    <cfRule type="cellIs" dxfId="3235" priority="471" stopIfTrue="1" operator="lessThan">
      <formula>$L$25</formula>
    </cfRule>
  </conditionalFormatting>
  <conditionalFormatting sqref="M26">
    <cfRule type="cellIs" dxfId="3234" priority="472" stopIfTrue="1" operator="equal">
      <formula>$L$26</formula>
    </cfRule>
    <cfRule type="cellIs" dxfId="3233" priority="473" stopIfTrue="1" operator="lessThan">
      <formula>$L$26</formula>
    </cfRule>
  </conditionalFormatting>
  <conditionalFormatting sqref="M27">
    <cfRule type="cellIs" dxfId="3232" priority="474" stopIfTrue="1" operator="equal">
      <formula>$L$27</formula>
    </cfRule>
    <cfRule type="cellIs" dxfId="3231" priority="475" stopIfTrue="1" operator="lessThan">
      <formula>$L$27</formula>
    </cfRule>
  </conditionalFormatting>
  <conditionalFormatting sqref="M28">
    <cfRule type="cellIs" dxfId="3230" priority="476" stopIfTrue="1" operator="equal">
      <formula>$L$28</formula>
    </cfRule>
    <cfRule type="cellIs" dxfId="3229" priority="477" stopIfTrue="1" operator="lessThan">
      <formula>$L$28</formula>
    </cfRule>
  </conditionalFormatting>
  <conditionalFormatting sqref="N4">
    <cfRule type="cellIs" dxfId="3228" priority="478" stopIfTrue="1" operator="lessThan">
      <formula>$M$4</formula>
    </cfRule>
    <cfRule type="cellIs" dxfId="3227" priority="479" stopIfTrue="1" operator="equal">
      <formula>$M$4</formula>
    </cfRule>
  </conditionalFormatting>
  <conditionalFormatting sqref="N5">
    <cfRule type="cellIs" dxfId="3226" priority="480" stopIfTrue="1" operator="equal">
      <formula>$M$5</formula>
    </cfRule>
    <cfRule type="cellIs" dxfId="3225" priority="481" stopIfTrue="1" operator="lessThan">
      <formula>$M$5</formula>
    </cfRule>
  </conditionalFormatting>
  <conditionalFormatting sqref="N6">
    <cfRule type="cellIs" dxfId="3224" priority="482" stopIfTrue="1" operator="equal">
      <formula>$M$6</formula>
    </cfRule>
    <cfRule type="cellIs" dxfId="3223" priority="483" stopIfTrue="1" operator="lessThan">
      <formula>$M$6</formula>
    </cfRule>
  </conditionalFormatting>
  <conditionalFormatting sqref="N7">
    <cfRule type="cellIs" dxfId="3222" priority="484" stopIfTrue="1" operator="equal">
      <formula>$M$7</formula>
    </cfRule>
    <cfRule type="cellIs" dxfId="3221" priority="485" stopIfTrue="1" operator="lessThan">
      <formula>$M$7</formula>
    </cfRule>
  </conditionalFormatting>
  <conditionalFormatting sqref="N8">
    <cfRule type="cellIs" dxfId="3220" priority="487" stopIfTrue="1" operator="lessThan">
      <formula>$M$8</formula>
    </cfRule>
    <cfRule type="cellIs" dxfId="3219" priority="486" stopIfTrue="1" operator="equal">
      <formula>$M$8</formula>
    </cfRule>
  </conditionalFormatting>
  <conditionalFormatting sqref="N9">
    <cfRule type="cellIs" dxfId="3218" priority="488" stopIfTrue="1" operator="equal">
      <formula>$M$9</formula>
    </cfRule>
    <cfRule type="cellIs" dxfId="3217" priority="489" stopIfTrue="1" operator="lessThan">
      <formula>$M$9</formula>
    </cfRule>
  </conditionalFormatting>
  <conditionalFormatting sqref="N10">
    <cfRule type="cellIs" dxfId="3216" priority="490" stopIfTrue="1" operator="equal">
      <formula>$M$10</formula>
    </cfRule>
    <cfRule type="cellIs" dxfId="3215" priority="491" stopIfTrue="1" operator="lessThan">
      <formula>$M$10</formula>
    </cfRule>
  </conditionalFormatting>
  <conditionalFormatting sqref="N11">
    <cfRule type="cellIs" dxfId="3214" priority="492" stopIfTrue="1" operator="equal">
      <formula>$M$11</formula>
    </cfRule>
    <cfRule type="cellIs" dxfId="3213" priority="493" stopIfTrue="1" operator="lessThan">
      <formula>$M$11</formula>
    </cfRule>
  </conditionalFormatting>
  <conditionalFormatting sqref="N12">
    <cfRule type="cellIs" dxfId="3212" priority="494" stopIfTrue="1" operator="equal">
      <formula>$M$12</formula>
    </cfRule>
    <cfRule type="cellIs" dxfId="3211" priority="495" stopIfTrue="1" operator="lessThan">
      <formula>$M$12</formula>
    </cfRule>
  </conditionalFormatting>
  <conditionalFormatting sqref="N13">
    <cfRule type="cellIs" dxfId="3210" priority="496" stopIfTrue="1" operator="equal">
      <formula>$M$13</formula>
    </cfRule>
    <cfRule type="cellIs" dxfId="3209" priority="497" stopIfTrue="1" operator="lessThan">
      <formula>$M$13</formula>
    </cfRule>
  </conditionalFormatting>
  <conditionalFormatting sqref="N14">
    <cfRule type="cellIs" dxfId="3208" priority="498" stopIfTrue="1" operator="equal">
      <formula>$M$14</formula>
    </cfRule>
    <cfRule type="cellIs" dxfId="3207" priority="499" stopIfTrue="1" operator="lessThan">
      <formula>$M$14</formula>
    </cfRule>
  </conditionalFormatting>
  <conditionalFormatting sqref="N15">
    <cfRule type="cellIs" dxfId="3206" priority="500" stopIfTrue="1" operator="equal">
      <formula>$M$15</formula>
    </cfRule>
    <cfRule type="cellIs" dxfId="3205" priority="501" stopIfTrue="1" operator="lessThan">
      <formula>$M$15</formula>
    </cfRule>
  </conditionalFormatting>
  <conditionalFormatting sqref="N16">
    <cfRule type="cellIs" dxfId="3204" priority="502" stopIfTrue="1" operator="equal">
      <formula>$M$16</formula>
    </cfRule>
    <cfRule type="cellIs" dxfId="3203" priority="503" stopIfTrue="1" operator="lessThan">
      <formula>$M$16</formula>
    </cfRule>
  </conditionalFormatting>
  <conditionalFormatting sqref="N17">
    <cfRule type="cellIs" dxfId="3202" priority="504" stopIfTrue="1" operator="equal">
      <formula>$M$17</formula>
    </cfRule>
    <cfRule type="cellIs" dxfId="3201" priority="505" stopIfTrue="1" operator="lessThan">
      <formula>$M$17</formula>
    </cfRule>
  </conditionalFormatting>
  <conditionalFormatting sqref="N18">
    <cfRule type="cellIs" dxfId="3200" priority="507" stopIfTrue="1" operator="lessThan">
      <formula>$M$18</formula>
    </cfRule>
    <cfRule type="cellIs" dxfId="3199" priority="506" stopIfTrue="1" operator="equal">
      <formula>$M$18</formula>
    </cfRule>
  </conditionalFormatting>
  <conditionalFormatting sqref="N19">
    <cfRule type="cellIs" dxfId="3198" priority="509" stopIfTrue="1" operator="lessThan">
      <formula>$M$19</formula>
    </cfRule>
    <cfRule type="cellIs" dxfId="3197" priority="508" stopIfTrue="1" operator="equal">
      <formula>$M$19</formula>
    </cfRule>
  </conditionalFormatting>
  <conditionalFormatting sqref="N20">
    <cfRule type="cellIs" dxfId="3196" priority="510" stopIfTrue="1" operator="equal">
      <formula>$M$20</formula>
    </cfRule>
    <cfRule type="cellIs" dxfId="3195" priority="511" stopIfTrue="1" operator="lessThan">
      <formula>$M$20</formula>
    </cfRule>
  </conditionalFormatting>
  <conditionalFormatting sqref="N21">
    <cfRule type="cellIs" dxfId="3194" priority="512" stopIfTrue="1" operator="equal">
      <formula>$M$21</formula>
    </cfRule>
    <cfRule type="cellIs" dxfId="3193" priority="513" stopIfTrue="1" operator="lessThan">
      <formula>$M$21</formula>
    </cfRule>
  </conditionalFormatting>
  <conditionalFormatting sqref="N22">
    <cfRule type="cellIs" dxfId="3192" priority="514" stopIfTrue="1" operator="equal">
      <formula>$M$22</formula>
    </cfRule>
    <cfRule type="cellIs" dxfId="3191" priority="515" stopIfTrue="1" operator="lessThan">
      <formula>$M$22</formula>
    </cfRule>
  </conditionalFormatting>
  <conditionalFormatting sqref="N23">
    <cfRule type="cellIs" dxfId="3190" priority="516" stopIfTrue="1" operator="equal">
      <formula>$M$23</formula>
    </cfRule>
    <cfRule type="cellIs" dxfId="3189" priority="517" stopIfTrue="1" operator="lessThan">
      <formula>$M$23</formula>
    </cfRule>
  </conditionalFormatting>
  <conditionalFormatting sqref="N24">
    <cfRule type="cellIs" dxfId="3188" priority="518" stopIfTrue="1" operator="equal">
      <formula>$M$24</formula>
    </cfRule>
    <cfRule type="cellIs" dxfId="3187" priority="519" stopIfTrue="1" operator="lessThan">
      <formula>$M$24</formula>
    </cfRule>
  </conditionalFormatting>
  <conditionalFormatting sqref="N25">
    <cfRule type="cellIs" dxfId="3186" priority="520" stopIfTrue="1" operator="equal">
      <formula>$M$25</formula>
    </cfRule>
    <cfRule type="cellIs" dxfId="3185" priority="521" stopIfTrue="1" operator="lessThan">
      <formula>$M$25</formula>
    </cfRule>
  </conditionalFormatting>
  <conditionalFormatting sqref="N26">
    <cfRule type="cellIs" dxfId="3184" priority="522" stopIfTrue="1" operator="equal">
      <formula>$M$26</formula>
    </cfRule>
    <cfRule type="cellIs" dxfId="3183" priority="523" stopIfTrue="1" operator="lessThan">
      <formula>$M$26</formula>
    </cfRule>
  </conditionalFormatting>
  <conditionalFormatting sqref="N27">
    <cfRule type="cellIs" dxfId="3182" priority="524" stopIfTrue="1" operator="equal">
      <formula>$M$27</formula>
    </cfRule>
    <cfRule type="cellIs" dxfId="3181" priority="525" stopIfTrue="1" operator="lessThan">
      <formula>$M$27</formula>
    </cfRule>
  </conditionalFormatting>
  <conditionalFormatting sqref="N28">
    <cfRule type="cellIs" dxfId="3180" priority="527" stopIfTrue="1" operator="lessThan">
      <formula>$M$28</formula>
    </cfRule>
    <cfRule type="cellIs" dxfId="3179" priority="526" stopIfTrue="1" operator="equal">
      <formula>$M$28</formula>
    </cfRule>
  </conditionalFormatting>
  <conditionalFormatting sqref="O4">
    <cfRule type="cellIs" dxfId="3178" priority="528" stopIfTrue="1" operator="equal">
      <formula>$N$4</formula>
    </cfRule>
    <cfRule type="cellIs" dxfId="3177" priority="529" stopIfTrue="1" operator="lessThan">
      <formula>$N$4</formula>
    </cfRule>
  </conditionalFormatting>
  <conditionalFormatting sqref="O5">
    <cfRule type="cellIs" dxfId="3176" priority="530" stopIfTrue="1" operator="equal">
      <formula>$N$5</formula>
    </cfRule>
    <cfRule type="cellIs" dxfId="3175" priority="531" stopIfTrue="1" operator="lessThan">
      <formula>$N$5</formula>
    </cfRule>
  </conditionalFormatting>
  <conditionalFormatting sqref="O6">
    <cfRule type="cellIs" dxfId="3174" priority="532" stopIfTrue="1" operator="equal">
      <formula>$N$6</formula>
    </cfRule>
    <cfRule type="cellIs" dxfId="3173" priority="533" stopIfTrue="1" operator="lessThan">
      <formula>$N$6</formula>
    </cfRule>
  </conditionalFormatting>
  <conditionalFormatting sqref="O7">
    <cfRule type="cellIs" dxfId="3172" priority="534" stopIfTrue="1" operator="equal">
      <formula>$N$7</formula>
    </cfRule>
    <cfRule type="cellIs" dxfId="3171" priority="535" stopIfTrue="1" operator="lessThan">
      <formula>$N$7</formula>
    </cfRule>
  </conditionalFormatting>
  <conditionalFormatting sqref="O8">
    <cfRule type="cellIs" dxfId="3170" priority="536" stopIfTrue="1" operator="equal">
      <formula>$N$8</formula>
    </cfRule>
    <cfRule type="cellIs" dxfId="3169" priority="537" stopIfTrue="1" operator="lessThan">
      <formula>$N$8</formula>
    </cfRule>
  </conditionalFormatting>
  <conditionalFormatting sqref="O9">
    <cfRule type="cellIs" dxfId="3168" priority="538" stopIfTrue="1" operator="equal">
      <formula>$N$9</formula>
    </cfRule>
    <cfRule type="cellIs" dxfId="3167" priority="539" stopIfTrue="1" operator="lessThan">
      <formula>$N$9</formula>
    </cfRule>
  </conditionalFormatting>
  <conditionalFormatting sqref="O10">
    <cfRule type="cellIs" dxfId="3166" priority="540" stopIfTrue="1" operator="equal">
      <formula>$N$10</formula>
    </cfRule>
    <cfRule type="cellIs" dxfId="3165" priority="541" stopIfTrue="1" operator="lessThan">
      <formula>$N$10</formula>
    </cfRule>
  </conditionalFormatting>
  <conditionalFormatting sqref="O11">
    <cfRule type="cellIs" dxfId="3164" priority="542" stopIfTrue="1" operator="equal">
      <formula>$N$11</formula>
    </cfRule>
    <cfRule type="cellIs" dxfId="3163" priority="543" stopIfTrue="1" operator="lessThan">
      <formula>$N$11</formula>
    </cfRule>
  </conditionalFormatting>
  <conditionalFormatting sqref="O12">
    <cfRule type="cellIs" dxfId="3162" priority="544" stopIfTrue="1" operator="equal">
      <formula>$N$12</formula>
    </cfRule>
    <cfRule type="cellIs" dxfId="3161" priority="545" stopIfTrue="1" operator="lessThan">
      <formula>$N$12</formula>
    </cfRule>
  </conditionalFormatting>
  <conditionalFormatting sqref="O13">
    <cfRule type="cellIs" dxfId="3160" priority="547" stopIfTrue="1" operator="lessThan">
      <formula>$N$13</formula>
    </cfRule>
    <cfRule type="cellIs" dxfId="3159" priority="546" stopIfTrue="1" operator="equal">
      <formula>$N$13</formula>
    </cfRule>
  </conditionalFormatting>
  <conditionalFormatting sqref="O14">
    <cfRule type="cellIs" dxfId="3158" priority="549" stopIfTrue="1" operator="lessThan">
      <formula>$N$14</formula>
    </cfRule>
    <cfRule type="cellIs" dxfId="3157" priority="548" stopIfTrue="1" operator="equal">
      <formula>$N$14</formula>
    </cfRule>
  </conditionalFormatting>
  <conditionalFormatting sqref="O15">
    <cfRule type="cellIs" dxfId="3156" priority="550" stopIfTrue="1" operator="equal">
      <formula>$N$15</formula>
    </cfRule>
    <cfRule type="cellIs" dxfId="3155" priority="551" stopIfTrue="1" operator="lessThan">
      <formula>$N$15</formula>
    </cfRule>
  </conditionalFormatting>
  <conditionalFormatting sqref="O16">
    <cfRule type="cellIs" dxfId="3154" priority="552" stopIfTrue="1" operator="equal">
      <formula>$N$16</formula>
    </cfRule>
    <cfRule type="cellIs" dxfId="3153" priority="553" stopIfTrue="1" operator="lessThan">
      <formula>$N$16</formula>
    </cfRule>
  </conditionalFormatting>
  <conditionalFormatting sqref="O17">
    <cfRule type="cellIs" dxfId="3152" priority="554" stopIfTrue="1" operator="equal">
      <formula>$N$17</formula>
    </cfRule>
    <cfRule type="cellIs" dxfId="3151" priority="555" stopIfTrue="1" operator="lessThan">
      <formula>$N$17</formula>
    </cfRule>
  </conditionalFormatting>
  <conditionalFormatting sqref="O18">
    <cfRule type="cellIs" dxfId="3150" priority="556" stopIfTrue="1" operator="equal">
      <formula>$N$18</formula>
    </cfRule>
    <cfRule type="cellIs" dxfId="3149" priority="557" stopIfTrue="1" operator="lessThan">
      <formula>$N$18</formula>
    </cfRule>
  </conditionalFormatting>
  <conditionalFormatting sqref="O19">
    <cfRule type="cellIs" dxfId="3148" priority="558" stopIfTrue="1" operator="equal">
      <formula>$N$19</formula>
    </cfRule>
    <cfRule type="cellIs" dxfId="3147" priority="559" stopIfTrue="1" operator="lessThan">
      <formula>$N$19</formula>
    </cfRule>
  </conditionalFormatting>
  <conditionalFormatting sqref="O20">
    <cfRule type="cellIs" dxfId="3146" priority="560" stopIfTrue="1" operator="equal">
      <formula>$N$20</formula>
    </cfRule>
    <cfRule type="cellIs" dxfId="3145" priority="561" stopIfTrue="1" operator="lessThan">
      <formula>$N$20</formula>
    </cfRule>
  </conditionalFormatting>
  <conditionalFormatting sqref="O21">
    <cfRule type="cellIs" dxfId="3144" priority="562" stopIfTrue="1" operator="equal">
      <formula>$N$21</formula>
    </cfRule>
    <cfRule type="cellIs" dxfId="3143" priority="563" stopIfTrue="1" operator="lessThan">
      <formula>$N$21</formula>
    </cfRule>
  </conditionalFormatting>
  <conditionalFormatting sqref="O22">
    <cfRule type="cellIs" dxfId="3142" priority="564" stopIfTrue="1" operator="equal">
      <formula>$N$22</formula>
    </cfRule>
    <cfRule type="cellIs" dxfId="3141" priority="565" stopIfTrue="1" operator="lessThan">
      <formula>$N$22</formula>
    </cfRule>
  </conditionalFormatting>
  <conditionalFormatting sqref="O23">
    <cfRule type="cellIs" dxfId="3140" priority="567" stopIfTrue="1" operator="lessThan">
      <formula>$N$23</formula>
    </cfRule>
    <cfRule type="cellIs" dxfId="3139" priority="566" stopIfTrue="1" operator="equal">
      <formula>$N$23</formula>
    </cfRule>
  </conditionalFormatting>
  <conditionalFormatting sqref="O24">
    <cfRule type="cellIs" dxfId="3138" priority="569" stopIfTrue="1" operator="lessThan">
      <formula>$N$24</formula>
    </cfRule>
    <cfRule type="cellIs" dxfId="3137" priority="568" stopIfTrue="1" operator="equal">
      <formula>$N$24</formula>
    </cfRule>
  </conditionalFormatting>
  <conditionalFormatting sqref="O25">
    <cfRule type="cellIs" dxfId="3136" priority="570" stopIfTrue="1" operator="equal">
      <formula>$N$25</formula>
    </cfRule>
    <cfRule type="cellIs" dxfId="3135" priority="571" stopIfTrue="1" operator="lessThan">
      <formula>$N$25</formula>
    </cfRule>
  </conditionalFormatting>
  <conditionalFormatting sqref="O26">
    <cfRule type="cellIs" dxfId="3134" priority="572" stopIfTrue="1" operator="equal">
      <formula>$N$26</formula>
    </cfRule>
    <cfRule type="cellIs" dxfId="3133" priority="573" stopIfTrue="1" operator="lessThan">
      <formula>$N$26</formula>
    </cfRule>
  </conditionalFormatting>
  <conditionalFormatting sqref="O27">
    <cfRule type="cellIs" dxfId="3132" priority="574" stopIfTrue="1" operator="equal">
      <formula>$N$27</formula>
    </cfRule>
    <cfRule type="cellIs" dxfId="3131" priority="575" stopIfTrue="1" operator="lessThan">
      <formula>$N$27</formula>
    </cfRule>
  </conditionalFormatting>
  <conditionalFormatting sqref="O28">
    <cfRule type="cellIs" dxfId="3130" priority="576" stopIfTrue="1" operator="equal">
      <formula>$N$28</formula>
    </cfRule>
    <cfRule type="cellIs" dxfId="3129" priority="577" stopIfTrue="1" operator="lessThan">
      <formula>$N$28</formula>
    </cfRule>
  </conditionalFormatting>
  <conditionalFormatting sqref="P4">
    <cfRule type="cellIs" dxfId="3128" priority="578" stopIfTrue="1" operator="equal">
      <formula>$O$4</formula>
    </cfRule>
    <cfRule type="cellIs" dxfId="3127" priority="579" stopIfTrue="1" operator="lessThan">
      <formula>$O$4</formula>
    </cfRule>
  </conditionalFormatting>
  <conditionalFormatting sqref="P5">
    <cfRule type="cellIs" dxfId="3126" priority="580" stopIfTrue="1" operator="equal">
      <formula>$O$5</formula>
    </cfRule>
    <cfRule type="cellIs" dxfId="3125" priority="581" stopIfTrue="1" operator="lessThan">
      <formula>$O$5</formula>
    </cfRule>
  </conditionalFormatting>
  <conditionalFormatting sqref="P6">
    <cfRule type="cellIs" dxfId="3124" priority="582" stopIfTrue="1" operator="equal">
      <formula>$O$6</formula>
    </cfRule>
    <cfRule type="cellIs" dxfId="3123" priority="583" stopIfTrue="1" operator="lessThan">
      <formula>$O$6</formula>
    </cfRule>
  </conditionalFormatting>
  <conditionalFormatting sqref="P7">
    <cfRule type="cellIs" dxfId="3122" priority="584" stopIfTrue="1" operator="equal">
      <formula>$O$7</formula>
    </cfRule>
    <cfRule type="cellIs" dxfId="3121" priority="585" stopIfTrue="1" operator="lessThan">
      <formula>$O$7</formula>
    </cfRule>
  </conditionalFormatting>
  <conditionalFormatting sqref="P8">
    <cfRule type="cellIs" dxfId="3120" priority="587" stopIfTrue="1" operator="lessThan">
      <formula>$O$8</formula>
    </cfRule>
    <cfRule type="cellIs" dxfId="3119" priority="586" stopIfTrue="1" operator="equal">
      <formula>$O$8</formula>
    </cfRule>
  </conditionalFormatting>
  <conditionalFormatting sqref="P9">
    <cfRule type="cellIs" dxfId="3118" priority="589" stopIfTrue="1" operator="lessThan">
      <formula>$O$9</formula>
    </cfRule>
    <cfRule type="cellIs" dxfId="3117" priority="588" stopIfTrue="1" operator="equal">
      <formula>$O$9</formula>
    </cfRule>
  </conditionalFormatting>
  <conditionalFormatting sqref="P10">
    <cfRule type="cellIs" dxfId="3116" priority="590" stopIfTrue="1" operator="equal">
      <formula>$O$10</formula>
    </cfRule>
    <cfRule type="cellIs" dxfId="3115" priority="591" stopIfTrue="1" operator="lessThan">
      <formula>$O$10</formula>
    </cfRule>
  </conditionalFormatting>
  <conditionalFormatting sqref="P11">
    <cfRule type="cellIs" dxfId="3114" priority="592" stopIfTrue="1" operator="equal">
      <formula>$O$11</formula>
    </cfRule>
    <cfRule type="cellIs" dxfId="3113" priority="593" stopIfTrue="1" operator="lessThan">
      <formula>$O$11</formula>
    </cfRule>
  </conditionalFormatting>
  <conditionalFormatting sqref="P12">
    <cfRule type="cellIs" dxfId="3112" priority="594" stopIfTrue="1" operator="equal">
      <formula>$O$12</formula>
    </cfRule>
    <cfRule type="cellIs" dxfId="3111" priority="595" stopIfTrue="1" operator="lessThan">
      <formula>$O$12</formula>
    </cfRule>
  </conditionalFormatting>
  <conditionalFormatting sqref="P13">
    <cfRule type="cellIs" dxfId="3110" priority="596" stopIfTrue="1" operator="equal">
      <formula>$O$13</formula>
    </cfRule>
    <cfRule type="cellIs" dxfId="3109" priority="597" stopIfTrue="1" operator="lessThan">
      <formula>$O$13</formula>
    </cfRule>
  </conditionalFormatting>
  <conditionalFormatting sqref="P14">
    <cfRule type="cellIs" dxfId="3108" priority="598" stopIfTrue="1" operator="equal">
      <formula>$O$14</formula>
    </cfRule>
    <cfRule type="cellIs" dxfId="3107" priority="599" stopIfTrue="1" operator="lessThan">
      <formula>$O$14</formula>
    </cfRule>
  </conditionalFormatting>
  <conditionalFormatting sqref="P15">
    <cfRule type="cellIs" dxfId="3106" priority="600" stopIfTrue="1" operator="equal">
      <formula>$O$15</formula>
    </cfRule>
    <cfRule type="cellIs" dxfId="3105" priority="601" stopIfTrue="1" operator="lessThan">
      <formula>$O$15</formula>
    </cfRule>
  </conditionalFormatting>
  <conditionalFormatting sqref="P16">
    <cfRule type="cellIs" dxfId="3104" priority="602" stopIfTrue="1" operator="equal">
      <formula>$O$16</formula>
    </cfRule>
    <cfRule type="cellIs" dxfId="3103" priority="603" stopIfTrue="1" operator="lessThan">
      <formula>$O$16</formula>
    </cfRule>
  </conditionalFormatting>
  <conditionalFormatting sqref="P17">
    <cfRule type="cellIs" dxfId="3102" priority="604" stopIfTrue="1" operator="equal">
      <formula>$O$17</formula>
    </cfRule>
    <cfRule type="cellIs" dxfId="3101" priority="605" stopIfTrue="1" operator="lessThan">
      <formula>$O$17</formula>
    </cfRule>
  </conditionalFormatting>
  <conditionalFormatting sqref="P18">
    <cfRule type="cellIs" dxfId="3100" priority="607" stopIfTrue="1" operator="lessThan">
      <formula>$O$18</formula>
    </cfRule>
    <cfRule type="cellIs" dxfId="3099" priority="606" stopIfTrue="1" operator="equal">
      <formula>$O$18</formula>
    </cfRule>
  </conditionalFormatting>
  <conditionalFormatting sqref="P19">
    <cfRule type="cellIs" dxfId="3098" priority="608" stopIfTrue="1" operator="equal">
      <formula>$O$19</formula>
    </cfRule>
    <cfRule type="cellIs" dxfId="3097" priority="609" stopIfTrue="1" operator="lessThan">
      <formula>$O$19</formula>
    </cfRule>
  </conditionalFormatting>
  <conditionalFormatting sqref="P20">
    <cfRule type="cellIs" dxfId="3096" priority="610" stopIfTrue="1" operator="equal">
      <formula>$O$20</formula>
    </cfRule>
    <cfRule type="cellIs" dxfId="3095" priority="611" stopIfTrue="1" operator="lessThan">
      <formula>$O$20</formula>
    </cfRule>
  </conditionalFormatting>
  <conditionalFormatting sqref="P21">
    <cfRule type="cellIs" dxfId="3094" priority="612" stopIfTrue="1" operator="equal">
      <formula>$O$21</formula>
    </cfRule>
    <cfRule type="cellIs" dxfId="3093" priority="613" stopIfTrue="1" operator="lessThan">
      <formula>$O$21</formula>
    </cfRule>
  </conditionalFormatting>
  <conditionalFormatting sqref="P22">
    <cfRule type="cellIs" dxfId="3092" priority="614" stopIfTrue="1" operator="equal">
      <formula>$O$22</formula>
    </cfRule>
    <cfRule type="cellIs" dxfId="3091" priority="615" stopIfTrue="1" operator="lessThan">
      <formula>$O$22</formula>
    </cfRule>
  </conditionalFormatting>
  <conditionalFormatting sqref="P23">
    <cfRule type="cellIs" dxfId="3090" priority="616" stopIfTrue="1" operator="equal">
      <formula>$O$23</formula>
    </cfRule>
    <cfRule type="cellIs" dxfId="3089" priority="617" stopIfTrue="1" operator="lessThan">
      <formula>$O$23</formula>
    </cfRule>
  </conditionalFormatting>
  <conditionalFormatting sqref="P24">
    <cfRule type="cellIs" dxfId="3088" priority="618" stopIfTrue="1" operator="equal">
      <formula>$O$24</formula>
    </cfRule>
    <cfRule type="cellIs" dxfId="3087" priority="619" stopIfTrue="1" operator="lessThan">
      <formula>$O$24</formula>
    </cfRule>
  </conditionalFormatting>
  <conditionalFormatting sqref="P25">
    <cfRule type="cellIs" dxfId="3086" priority="620" stopIfTrue="1" operator="equal">
      <formula>$O$25</formula>
    </cfRule>
    <cfRule type="cellIs" dxfId="3085" priority="621" stopIfTrue="1" operator="lessThan">
      <formula>$O$25</formula>
    </cfRule>
  </conditionalFormatting>
  <conditionalFormatting sqref="P26">
    <cfRule type="cellIs" dxfId="3084" priority="622" stopIfTrue="1" operator="equal">
      <formula>$O$26</formula>
    </cfRule>
    <cfRule type="cellIs" dxfId="3083" priority="623" stopIfTrue="1" operator="lessThan">
      <formula>$O$26</formula>
    </cfRule>
  </conditionalFormatting>
  <conditionalFormatting sqref="P27">
    <cfRule type="cellIs" dxfId="3082" priority="624" stopIfTrue="1" operator="equal">
      <formula>$O$27</formula>
    </cfRule>
    <cfRule type="cellIs" dxfId="3081" priority="625" stopIfTrue="1" operator="lessThan">
      <formula>$O$27</formula>
    </cfRule>
  </conditionalFormatting>
  <conditionalFormatting sqref="P28">
    <cfRule type="cellIs" dxfId="3080" priority="627" stopIfTrue="1" operator="lessThan">
      <formula>$O$28</formula>
    </cfRule>
    <cfRule type="cellIs" dxfId="3079" priority="626" stopIfTrue="1" operator="equal">
      <formula>$O$28</formula>
    </cfRule>
  </conditionalFormatting>
  <conditionalFormatting sqref="V4:AG23">
    <cfRule type="cellIs" dxfId="3078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49"/>
  <sheetViews>
    <sheetView zoomScaleNormal="100" zoomScaleSheetLayoutView="100" workbookViewId="0">
      <selection activeCell="F2" sqref="F2"/>
    </sheetView>
  </sheetViews>
  <sheetFormatPr defaultRowHeight="14.5" x14ac:dyDescent="0.35"/>
  <cols>
    <col min="1" max="1" width="8.54296875" customWidth="1"/>
    <col min="2" max="2" width="16.08984375" customWidth="1"/>
    <col min="3" max="3" width="12.54296875" style="93" customWidth="1"/>
    <col min="4" max="16" width="10.1796875" customWidth="1"/>
    <col min="17" max="17" width="9.26953125" bestFit="1" customWidth="1"/>
    <col min="20" max="20" width="3.54296875" customWidth="1"/>
  </cols>
  <sheetData>
    <row r="1" spans="1:37" ht="15" thickBot="1" x14ac:dyDescent="0.4"/>
    <row r="2" spans="1:37" s="1" customFormat="1" ht="21" customHeight="1" thickBot="1" x14ac:dyDescent="0.55000000000000004">
      <c r="A2" s="112">
        <v>1853</v>
      </c>
      <c r="B2" s="2"/>
      <c r="C2" s="315"/>
      <c r="D2" s="3">
        <f>'1850'!D2</f>
        <v>46022</v>
      </c>
      <c r="E2" s="3">
        <f>'1850'!E2</f>
        <v>46055</v>
      </c>
      <c r="F2" s="3">
        <f>'1850'!F2</f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25</v>
      </c>
      <c r="R2" s="1" t="s">
        <v>26</v>
      </c>
      <c r="S2" s="1" t="s">
        <v>27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  <c r="AJ2" s="1">
        <v>2025</v>
      </c>
    </row>
    <row r="3" spans="1:37" s="1" customFormat="1" ht="15" thickBot="1" x14ac:dyDescent="0.4">
      <c r="A3" s="4" t="s">
        <v>2</v>
      </c>
      <c r="B3" s="5"/>
      <c r="C3" s="316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  <c r="AI3" s="4" t="s">
        <v>13</v>
      </c>
      <c r="AJ3" s="4" t="s">
        <v>14</v>
      </c>
      <c r="AK3" s="4" t="s">
        <v>3</v>
      </c>
    </row>
    <row r="4" spans="1:37" ht="15" thickBot="1" x14ac:dyDescent="0.4">
      <c r="A4" s="371">
        <v>1</v>
      </c>
      <c r="B4" s="6" t="s">
        <v>244</v>
      </c>
      <c r="C4" s="312">
        <v>241010646</v>
      </c>
      <c r="D4" s="7">
        <v>175.815</v>
      </c>
      <c r="E4" s="7">
        <v>192.06100000000001</v>
      </c>
      <c r="F4" s="7">
        <v>204.75399999999999</v>
      </c>
      <c r="G4" s="7"/>
      <c r="H4" s="7"/>
      <c r="I4" s="7"/>
      <c r="J4" s="7"/>
      <c r="K4" s="7"/>
      <c r="L4" s="7"/>
      <c r="M4" s="8"/>
      <c r="N4" s="7"/>
      <c r="O4" s="7"/>
      <c r="P4" s="7"/>
      <c r="Q4" s="9">
        <f>P4-D4</f>
        <v>-175.815</v>
      </c>
      <c r="U4" s="1">
        <v>1</v>
      </c>
      <c r="V4" s="144">
        <f t="shared" ref="V4:AG4" si="0">E4-D4</f>
        <v>16.246000000000009</v>
      </c>
      <c r="W4" s="144">
        <f t="shared" si="0"/>
        <v>12.692999999999984</v>
      </c>
      <c r="X4" s="144">
        <f t="shared" si="0"/>
        <v>-204.75399999999999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  <c r="AI4" s="144">
        <v>16.003000000000014</v>
      </c>
      <c r="AJ4" s="144">
        <v>13.437000000000012</v>
      </c>
      <c r="AK4" s="144">
        <v>12.960999999999984</v>
      </c>
    </row>
    <row r="5" spans="1:37" x14ac:dyDescent="0.35">
      <c r="A5" s="371"/>
      <c r="B5" s="10" t="s">
        <v>245</v>
      </c>
      <c r="C5" s="313">
        <v>71182275</v>
      </c>
      <c r="D5" s="11">
        <v>129.63999999999999</v>
      </c>
      <c r="E5" s="11">
        <v>137.75399999999999</v>
      </c>
      <c r="F5" s="11">
        <v>142.70099999999999</v>
      </c>
      <c r="G5" s="11"/>
      <c r="H5" s="11"/>
      <c r="I5" s="11"/>
      <c r="J5" s="11"/>
      <c r="K5" s="11"/>
      <c r="L5" s="11"/>
      <c r="M5" s="12"/>
      <c r="N5" s="11"/>
      <c r="O5" s="11"/>
      <c r="P5" s="11"/>
      <c r="Q5" s="9"/>
      <c r="R5" s="9">
        <f>P5-D5</f>
        <v>-129.63999999999999</v>
      </c>
      <c r="U5" s="1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I5" s="145"/>
      <c r="AJ5" s="145"/>
      <c r="AK5" s="145"/>
    </row>
    <row r="6" spans="1:37" x14ac:dyDescent="0.35">
      <c r="A6" s="372">
        <v>2</v>
      </c>
      <c r="B6" s="10" t="s">
        <v>244</v>
      </c>
      <c r="C6" s="313">
        <v>241010634</v>
      </c>
      <c r="D6" s="11">
        <v>81.340999999999994</v>
      </c>
      <c r="E6" s="11">
        <v>89.161000000000001</v>
      </c>
      <c r="F6" s="11">
        <v>94.861999999999995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9">
        <f>P6-D6</f>
        <v>-81.340999999999994</v>
      </c>
      <c r="U6" s="1">
        <v>2</v>
      </c>
      <c r="V6" s="146">
        <f t="shared" ref="V6:AG6" si="1">E6-D6</f>
        <v>7.8200000000000074</v>
      </c>
      <c r="W6" s="146">
        <f t="shared" si="1"/>
        <v>5.7009999999999934</v>
      </c>
      <c r="X6" s="146">
        <f t="shared" si="1"/>
        <v>-94.861999999999995</v>
      </c>
      <c r="Y6" s="146">
        <f t="shared" si="1"/>
        <v>0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  <c r="AI6" s="146">
        <v>5.4590000000000032</v>
      </c>
      <c r="AJ6" s="146">
        <v>6.8780000000000001</v>
      </c>
      <c r="AK6" s="146">
        <v>7.2539999999999907</v>
      </c>
    </row>
    <row r="7" spans="1:37" x14ac:dyDescent="0.35">
      <c r="A7" s="372"/>
      <c r="B7" s="10" t="s">
        <v>245</v>
      </c>
      <c r="C7" s="313">
        <v>71182253</v>
      </c>
      <c r="D7" s="11">
        <v>38.241999999999997</v>
      </c>
      <c r="E7" s="11">
        <v>40.832999999999998</v>
      </c>
      <c r="F7" s="11">
        <v>42.619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9"/>
      <c r="R7" s="9">
        <f>P7-D7</f>
        <v>-38.241999999999997</v>
      </c>
      <c r="U7" s="1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I7" s="145"/>
      <c r="AJ7" s="145"/>
      <c r="AK7" s="145"/>
    </row>
    <row r="8" spans="1:37" x14ac:dyDescent="0.35">
      <c r="A8" s="377">
        <v>3</v>
      </c>
      <c r="B8" s="10" t="s">
        <v>244</v>
      </c>
      <c r="C8" s="313">
        <v>241010645</v>
      </c>
      <c r="D8" s="11">
        <v>100.236</v>
      </c>
      <c r="E8" s="11">
        <v>110.881</v>
      </c>
      <c r="F8" s="11">
        <v>119.483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9">
        <f>P8-D8</f>
        <v>-100.236</v>
      </c>
      <c r="U8" s="1">
        <v>3</v>
      </c>
      <c r="V8" s="146">
        <f t="shared" ref="V8:AG8" si="2">E8-D8</f>
        <v>10.644999999999996</v>
      </c>
      <c r="W8" s="146">
        <f t="shared" si="2"/>
        <v>8.6020000000000039</v>
      </c>
      <c r="X8" s="146">
        <f t="shared" si="2"/>
        <v>-119.483</v>
      </c>
      <c r="Y8" s="146">
        <f t="shared" si="2"/>
        <v>0</v>
      </c>
      <c r="Z8" s="146">
        <f t="shared" si="2"/>
        <v>0</v>
      </c>
      <c r="AA8" s="146">
        <f t="shared" si="2"/>
        <v>0</v>
      </c>
      <c r="AB8" s="146">
        <f t="shared" si="2"/>
        <v>0</v>
      </c>
      <c r="AC8" s="146">
        <f t="shared" si="2"/>
        <v>0</v>
      </c>
      <c r="AD8" s="146">
        <f t="shared" si="2"/>
        <v>0</v>
      </c>
      <c r="AE8" s="146">
        <f t="shared" si="2"/>
        <v>0</v>
      </c>
      <c r="AF8" s="146">
        <f t="shared" si="2"/>
        <v>0</v>
      </c>
      <c r="AG8" s="146">
        <f t="shared" si="2"/>
        <v>0</v>
      </c>
      <c r="AI8" s="146">
        <v>6.5190000000000055</v>
      </c>
      <c r="AJ8" s="146">
        <v>5.9390000000000072</v>
      </c>
      <c r="AK8" s="146">
        <v>7.8179999999999978</v>
      </c>
    </row>
    <row r="9" spans="1:37" x14ac:dyDescent="0.35">
      <c r="A9" s="377"/>
      <c r="B9" s="10" t="s">
        <v>245</v>
      </c>
      <c r="C9" s="313">
        <v>71182217</v>
      </c>
      <c r="D9" s="11">
        <v>83.977999999999994</v>
      </c>
      <c r="E9" s="11">
        <v>89.158000000000001</v>
      </c>
      <c r="F9" s="11">
        <v>93.165999999999997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>
        <f>P9-D9</f>
        <v>-83.977999999999994</v>
      </c>
      <c r="U9" s="1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  <c r="AI9" s="145"/>
      <c r="AJ9" s="145"/>
      <c r="AK9" s="145"/>
    </row>
    <row r="10" spans="1:37" x14ac:dyDescent="0.35">
      <c r="A10" s="372">
        <v>4</v>
      </c>
      <c r="B10" s="10" t="s">
        <v>244</v>
      </c>
      <c r="C10" s="313">
        <v>241010647</v>
      </c>
      <c r="D10" s="11">
        <v>54.348999999999997</v>
      </c>
      <c r="E10" s="11">
        <v>58.58</v>
      </c>
      <c r="F10" s="11">
        <v>61.624000000000002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9">
        <f>P10-D10</f>
        <v>-54.348999999999997</v>
      </c>
      <c r="U10" s="1">
        <v>4</v>
      </c>
      <c r="V10" s="146">
        <f t="shared" ref="V10:AG10" si="3">E10-D10</f>
        <v>4.2310000000000016</v>
      </c>
      <c r="W10" s="146">
        <f t="shared" si="3"/>
        <v>3.044000000000004</v>
      </c>
      <c r="X10" s="146">
        <f t="shared" si="3"/>
        <v>-61.624000000000002</v>
      </c>
      <c r="Y10" s="146">
        <f t="shared" si="3"/>
        <v>0</v>
      </c>
      <c r="Z10" s="146">
        <f t="shared" si="3"/>
        <v>0</v>
      </c>
      <c r="AA10" s="146">
        <f t="shared" si="3"/>
        <v>0</v>
      </c>
      <c r="AB10" s="146">
        <f t="shared" si="3"/>
        <v>0</v>
      </c>
      <c r="AC10" s="146">
        <f t="shared" si="3"/>
        <v>0</v>
      </c>
      <c r="AD10" s="146">
        <f t="shared" si="3"/>
        <v>0</v>
      </c>
      <c r="AE10" s="146">
        <f t="shared" si="3"/>
        <v>0</v>
      </c>
      <c r="AF10" s="146">
        <f t="shared" si="3"/>
        <v>0</v>
      </c>
      <c r="AG10" s="146">
        <f t="shared" si="3"/>
        <v>0</v>
      </c>
      <c r="AI10" s="146">
        <v>4.132000000000005</v>
      </c>
      <c r="AJ10" s="146">
        <v>3.7469999999999999</v>
      </c>
      <c r="AK10" s="146">
        <v>4.8709999999999951</v>
      </c>
    </row>
    <row r="11" spans="1:37" x14ac:dyDescent="0.35">
      <c r="A11" s="372"/>
      <c r="B11" s="10" t="s">
        <v>245</v>
      </c>
      <c r="C11" s="313">
        <v>71182254</v>
      </c>
      <c r="D11" s="11">
        <v>43.999000000000002</v>
      </c>
      <c r="E11" s="11">
        <v>47</v>
      </c>
      <c r="F11" s="11">
        <v>48.398000000000003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>
        <f>P11-D11</f>
        <v>-43.999000000000002</v>
      </c>
      <c r="U11" s="1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  <c r="AI11" s="145"/>
      <c r="AJ11" s="145"/>
      <c r="AK11" s="145"/>
    </row>
    <row r="12" spans="1:37" x14ac:dyDescent="0.35">
      <c r="A12" s="372">
        <v>5</v>
      </c>
      <c r="B12" s="10" t="s">
        <v>244</v>
      </c>
      <c r="C12" s="313">
        <v>241010638</v>
      </c>
      <c r="D12" s="11">
        <v>88.007000000000005</v>
      </c>
      <c r="E12" s="11">
        <v>95.257000000000005</v>
      </c>
      <c r="F12" s="11">
        <v>101.833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>
        <f>P12-D12</f>
        <v>-88.007000000000005</v>
      </c>
      <c r="U12" s="1">
        <v>5</v>
      </c>
      <c r="V12" s="146">
        <f t="shared" ref="V12:AG12" si="4">E12-D12</f>
        <v>7.25</v>
      </c>
      <c r="W12" s="146">
        <f t="shared" si="4"/>
        <v>6.5759999999999934</v>
      </c>
      <c r="X12" s="146">
        <f t="shared" si="4"/>
        <v>-101.833</v>
      </c>
      <c r="Y12" s="146">
        <f t="shared" si="4"/>
        <v>0</v>
      </c>
      <c r="Z12" s="146">
        <f t="shared" si="4"/>
        <v>0</v>
      </c>
      <c r="AA12" s="146">
        <f t="shared" si="4"/>
        <v>0</v>
      </c>
      <c r="AB12" s="146">
        <f t="shared" si="4"/>
        <v>0</v>
      </c>
      <c r="AC12" s="146">
        <f t="shared" si="4"/>
        <v>0</v>
      </c>
      <c r="AD12" s="146">
        <f t="shared" si="4"/>
        <v>0</v>
      </c>
      <c r="AE12" s="146">
        <f t="shared" si="4"/>
        <v>0</v>
      </c>
      <c r="AF12" s="146">
        <f t="shared" si="4"/>
        <v>0</v>
      </c>
      <c r="AG12" s="146">
        <f t="shared" si="4"/>
        <v>0</v>
      </c>
      <c r="AI12" s="146">
        <v>6.6940000000000026</v>
      </c>
      <c r="AJ12" s="146">
        <v>6.9030000000000058</v>
      </c>
      <c r="AK12" s="146">
        <v>7.4519999999999982</v>
      </c>
    </row>
    <row r="13" spans="1:37" x14ac:dyDescent="0.35">
      <c r="A13" s="372"/>
      <c r="B13" s="10" t="s">
        <v>245</v>
      </c>
      <c r="C13" s="313">
        <v>71182267</v>
      </c>
      <c r="D13" s="11">
        <v>36.795999999999999</v>
      </c>
      <c r="E13" s="11">
        <v>38.966000000000001</v>
      </c>
      <c r="F13" s="11">
        <v>40.395000000000003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>
        <f>P13-D13</f>
        <v>-36.795999999999999</v>
      </c>
      <c r="U13" s="1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  <c r="AI13" s="145"/>
      <c r="AJ13" s="145"/>
      <c r="AK13" s="145"/>
    </row>
    <row r="14" spans="1:37" x14ac:dyDescent="0.35">
      <c r="A14" s="372">
        <v>6</v>
      </c>
      <c r="B14" s="10" t="s">
        <v>244</v>
      </c>
      <c r="C14" s="313">
        <v>241010623</v>
      </c>
      <c r="D14" s="11">
        <v>84.296000000000006</v>
      </c>
      <c r="E14" s="11">
        <v>91.305000000000007</v>
      </c>
      <c r="F14" s="11">
        <v>97.516000000000005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>
        <f>P14-D14</f>
        <v>-84.296000000000006</v>
      </c>
      <c r="U14" s="1">
        <v>6</v>
      </c>
      <c r="V14" s="146">
        <f t="shared" ref="V14:AG14" si="5">E14-D14</f>
        <v>7.0090000000000003</v>
      </c>
      <c r="W14" s="146">
        <f t="shared" si="5"/>
        <v>6.2109999999999985</v>
      </c>
      <c r="X14" s="146">
        <f t="shared" si="5"/>
        <v>-97.516000000000005</v>
      </c>
      <c r="Y14" s="146">
        <f t="shared" si="5"/>
        <v>0</v>
      </c>
      <c r="Z14" s="146">
        <f t="shared" si="5"/>
        <v>0</v>
      </c>
      <c r="AA14" s="146">
        <f t="shared" si="5"/>
        <v>0</v>
      </c>
      <c r="AB14" s="146">
        <f t="shared" si="5"/>
        <v>0</v>
      </c>
      <c r="AC14" s="146">
        <f t="shared" si="5"/>
        <v>0</v>
      </c>
      <c r="AD14" s="146">
        <f t="shared" si="5"/>
        <v>0</v>
      </c>
      <c r="AE14" s="146">
        <f t="shared" si="5"/>
        <v>0</v>
      </c>
      <c r="AF14" s="146">
        <f t="shared" si="5"/>
        <v>0</v>
      </c>
      <c r="AG14" s="146">
        <f t="shared" si="5"/>
        <v>0</v>
      </c>
      <c r="AI14" s="146">
        <v>7.0740000000000052</v>
      </c>
      <c r="AJ14" s="146">
        <v>7.6709999999999923</v>
      </c>
      <c r="AK14" s="146">
        <v>5.8530000000000086</v>
      </c>
    </row>
    <row r="15" spans="1:37" x14ac:dyDescent="0.35">
      <c r="A15" s="372"/>
      <c r="B15" s="10" t="s">
        <v>245</v>
      </c>
      <c r="C15" s="313">
        <v>71182261</v>
      </c>
      <c r="D15" s="11">
        <v>60.341000000000001</v>
      </c>
      <c r="E15" s="11">
        <v>64.823999999999998</v>
      </c>
      <c r="F15" s="11">
        <v>67.762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9"/>
      <c r="R15" s="9">
        <f>P15-D15</f>
        <v>-60.341000000000001</v>
      </c>
      <c r="U15" s="1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I15" s="145"/>
      <c r="AJ15" s="145"/>
      <c r="AK15" s="145"/>
    </row>
    <row r="16" spans="1:37" x14ac:dyDescent="0.35">
      <c r="A16" s="372">
        <v>7</v>
      </c>
      <c r="B16" s="10" t="s">
        <v>244</v>
      </c>
      <c r="C16" s="313">
        <v>241010627</v>
      </c>
      <c r="D16" s="11">
        <v>148.233</v>
      </c>
      <c r="E16" s="11">
        <v>162.12</v>
      </c>
      <c r="F16" s="11">
        <v>171.40700000000001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>
        <f>P16-D16</f>
        <v>-148.233</v>
      </c>
      <c r="U16" s="1">
        <v>7</v>
      </c>
      <c r="V16" s="146">
        <f t="shared" ref="V16:AG16" si="6">E16-D16</f>
        <v>13.887</v>
      </c>
      <c r="W16" s="146">
        <f t="shared" si="6"/>
        <v>9.2870000000000061</v>
      </c>
      <c r="X16" s="146">
        <f t="shared" si="6"/>
        <v>-171.40700000000001</v>
      </c>
      <c r="Y16" s="146">
        <f t="shared" si="6"/>
        <v>0</v>
      </c>
      <c r="Z16" s="146">
        <f t="shared" si="6"/>
        <v>0</v>
      </c>
      <c r="AA16" s="146">
        <f t="shared" si="6"/>
        <v>0</v>
      </c>
      <c r="AB16" s="146">
        <f t="shared" si="6"/>
        <v>0</v>
      </c>
      <c r="AC16" s="146">
        <f t="shared" si="6"/>
        <v>0</v>
      </c>
      <c r="AD16" s="146">
        <f t="shared" si="6"/>
        <v>0</v>
      </c>
      <c r="AE16" s="146">
        <f t="shared" si="6"/>
        <v>0</v>
      </c>
      <c r="AF16" s="146">
        <f t="shared" si="6"/>
        <v>0</v>
      </c>
      <c r="AG16" s="146">
        <f t="shared" si="6"/>
        <v>0</v>
      </c>
      <c r="AI16" s="146">
        <v>10.693000000000012</v>
      </c>
      <c r="AJ16" s="146">
        <v>13.132000000000005</v>
      </c>
      <c r="AK16" s="146">
        <v>12.301999999999992</v>
      </c>
    </row>
    <row r="17" spans="1:37" x14ac:dyDescent="0.35">
      <c r="A17" s="372"/>
      <c r="B17" s="10" t="s">
        <v>245</v>
      </c>
      <c r="C17" s="313">
        <v>71182272</v>
      </c>
      <c r="D17" s="11">
        <v>97.447000000000003</v>
      </c>
      <c r="E17" s="11">
        <v>101.902</v>
      </c>
      <c r="F17" s="11">
        <v>104.289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9"/>
      <c r="R17" s="9">
        <f>P17-D17</f>
        <v>-97.447000000000003</v>
      </c>
      <c r="U17" s="1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  <c r="AI17" s="145"/>
      <c r="AJ17" s="145"/>
      <c r="AK17" s="145"/>
    </row>
    <row r="18" spans="1:37" x14ac:dyDescent="0.35">
      <c r="A18" s="372">
        <v>8</v>
      </c>
      <c r="B18" s="10" t="s">
        <v>244</v>
      </c>
      <c r="C18" s="313">
        <v>241010626</v>
      </c>
      <c r="D18" s="11">
        <v>129.38</v>
      </c>
      <c r="E18" s="11">
        <v>141.30699999999999</v>
      </c>
      <c r="F18" s="11">
        <v>151.48099999999999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9">
        <f>P18-D18</f>
        <v>-129.38</v>
      </c>
      <c r="U18" s="1">
        <v>8</v>
      </c>
      <c r="V18" s="146">
        <f t="shared" ref="V18:AG18" si="7">E18-D18</f>
        <v>11.926999999999992</v>
      </c>
      <c r="W18" s="146">
        <f t="shared" si="7"/>
        <v>10.174000000000007</v>
      </c>
      <c r="X18" s="146">
        <f t="shared" si="7"/>
        <v>-151.48099999999999</v>
      </c>
      <c r="Y18" s="146">
        <f t="shared" si="7"/>
        <v>0</v>
      </c>
      <c r="Z18" s="146">
        <f t="shared" si="7"/>
        <v>0</v>
      </c>
      <c r="AA18" s="146">
        <f t="shared" si="7"/>
        <v>0</v>
      </c>
      <c r="AB18" s="146">
        <f t="shared" si="7"/>
        <v>0</v>
      </c>
      <c r="AC18" s="146">
        <f t="shared" si="7"/>
        <v>0</v>
      </c>
      <c r="AD18" s="146">
        <f t="shared" si="7"/>
        <v>0</v>
      </c>
      <c r="AE18" s="146">
        <f t="shared" si="7"/>
        <v>0</v>
      </c>
      <c r="AF18" s="146">
        <f t="shared" si="7"/>
        <v>0</v>
      </c>
      <c r="AG18" s="146">
        <f t="shared" si="7"/>
        <v>0</v>
      </c>
      <c r="AI18" s="146">
        <v>10.254000000000005</v>
      </c>
      <c r="AJ18" s="146">
        <v>10.501999999999995</v>
      </c>
      <c r="AK18" s="146">
        <v>10.231999999999999</v>
      </c>
    </row>
    <row r="19" spans="1:37" x14ac:dyDescent="0.35">
      <c r="A19" s="372"/>
      <c r="B19" s="10" t="s">
        <v>245</v>
      </c>
      <c r="C19" s="313">
        <v>71182249</v>
      </c>
      <c r="D19" s="11">
        <v>77.097999999999999</v>
      </c>
      <c r="E19" s="11">
        <v>82.438000000000002</v>
      </c>
      <c r="F19" s="11">
        <v>85.698999999999998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9"/>
      <c r="R19" s="9">
        <f>P19-D19</f>
        <v>-77.097999999999999</v>
      </c>
      <c r="U19" s="1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I19" s="145"/>
      <c r="AJ19" s="145"/>
      <c r="AK19" s="145"/>
    </row>
    <row r="20" spans="1:37" x14ac:dyDescent="0.35">
      <c r="A20" s="372">
        <v>9</v>
      </c>
      <c r="B20" s="10" t="s">
        <v>244</v>
      </c>
      <c r="C20" s="313">
        <v>241010624</v>
      </c>
      <c r="D20" s="11">
        <v>44.594000000000001</v>
      </c>
      <c r="E20" s="11">
        <v>48.472000000000001</v>
      </c>
      <c r="F20" s="11">
        <v>52.140999999999998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>
        <f>P20-D20</f>
        <v>-44.594000000000001</v>
      </c>
      <c r="U20" s="1">
        <v>9</v>
      </c>
      <c r="V20" s="146">
        <f t="shared" ref="V20:AG20" si="8">E20-D20</f>
        <v>3.8780000000000001</v>
      </c>
      <c r="W20" s="146">
        <f t="shared" si="8"/>
        <v>3.6689999999999969</v>
      </c>
      <c r="X20" s="146">
        <f t="shared" si="8"/>
        <v>-52.140999999999998</v>
      </c>
      <c r="Y20" s="146">
        <f t="shared" si="8"/>
        <v>0</v>
      </c>
      <c r="Z20" s="146">
        <f t="shared" si="8"/>
        <v>0</v>
      </c>
      <c r="AA20" s="146">
        <f t="shared" si="8"/>
        <v>0</v>
      </c>
      <c r="AB20" s="146">
        <f t="shared" si="8"/>
        <v>0</v>
      </c>
      <c r="AC20" s="146">
        <f t="shared" si="8"/>
        <v>0</v>
      </c>
      <c r="AD20" s="146">
        <f t="shared" si="8"/>
        <v>0</v>
      </c>
      <c r="AE20" s="146">
        <f t="shared" si="8"/>
        <v>0</v>
      </c>
      <c r="AF20" s="146">
        <f t="shared" si="8"/>
        <v>0</v>
      </c>
      <c r="AG20" s="146">
        <f t="shared" si="8"/>
        <v>0</v>
      </c>
      <c r="AI20" s="146">
        <v>3.4029999999999987</v>
      </c>
      <c r="AJ20" s="146">
        <v>3.7079999999999984</v>
      </c>
      <c r="AK20" s="146">
        <v>3.7610000000000028</v>
      </c>
    </row>
    <row r="21" spans="1:37" x14ac:dyDescent="0.35">
      <c r="A21" s="372"/>
      <c r="B21" s="10" t="s">
        <v>245</v>
      </c>
      <c r="C21" s="313">
        <v>71182281</v>
      </c>
      <c r="D21" s="11">
        <v>89.992000000000004</v>
      </c>
      <c r="E21" s="11">
        <v>95.679000000000002</v>
      </c>
      <c r="F21" s="11">
        <v>99.18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>
        <f>P21-D21</f>
        <v>-89.992000000000004</v>
      </c>
      <c r="U21" s="1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I21" s="145"/>
      <c r="AJ21" s="145"/>
      <c r="AK21" s="145"/>
    </row>
    <row r="22" spans="1:37" x14ac:dyDescent="0.35">
      <c r="A22" s="372">
        <v>10</v>
      </c>
      <c r="B22" s="10" t="s">
        <v>244</v>
      </c>
      <c r="C22" s="313">
        <v>241010628</v>
      </c>
      <c r="D22" s="11">
        <v>34.131</v>
      </c>
      <c r="E22" s="11">
        <v>36.905000000000001</v>
      </c>
      <c r="F22" s="11">
        <v>39.308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9">
        <f>P22-D22</f>
        <v>-34.131</v>
      </c>
      <c r="U22" s="1">
        <v>10</v>
      </c>
      <c r="V22" s="146">
        <f t="shared" ref="V22:AG22" si="9">E22-D22</f>
        <v>2.7740000000000009</v>
      </c>
      <c r="W22" s="146">
        <f t="shared" si="9"/>
        <v>2.4029999999999987</v>
      </c>
      <c r="X22" s="146">
        <f t="shared" si="9"/>
        <v>-39.308</v>
      </c>
      <c r="Y22" s="146">
        <f t="shared" si="9"/>
        <v>0</v>
      </c>
      <c r="Z22" s="146">
        <f t="shared" si="9"/>
        <v>0</v>
      </c>
      <c r="AA22" s="146">
        <f t="shared" si="9"/>
        <v>0</v>
      </c>
      <c r="AB22" s="146">
        <f t="shared" si="9"/>
        <v>0</v>
      </c>
      <c r="AC22" s="146">
        <f t="shared" si="9"/>
        <v>0</v>
      </c>
      <c r="AD22" s="146">
        <f t="shared" si="9"/>
        <v>0</v>
      </c>
      <c r="AE22" s="146">
        <f t="shared" si="9"/>
        <v>0</v>
      </c>
      <c r="AF22" s="146">
        <f t="shared" si="9"/>
        <v>0</v>
      </c>
      <c r="AG22" s="146">
        <f t="shared" si="9"/>
        <v>0</v>
      </c>
      <c r="AI22" s="146">
        <v>2.411999999999999</v>
      </c>
      <c r="AJ22" s="146">
        <v>2.338000000000001</v>
      </c>
      <c r="AK22" s="146">
        <v>2.7899999999999991</v>
      </c>
    </row>
    <row r="23" spans="1:37" x14ac:dyDescent="0.35">
      <c r="A23" s="372"/>
      <c r="B23" s="10" t="s">
        <v>245</v>
      </c>
      <c r="C23" s="313">
        <v>71182268</v>
      </c>
      <c r="D23" s="11">
        <v>82.507999999999996</v>
      </c>
      <c r="E23" s="11">
        <v>87.314999999999998</v>
      </c>
      <c r="F23" s="11">
        <v>90.543000000000006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4"/>
      <c r="R23" s="97">
        <f>P23-D23</f>
        <v>-82.507999999999996</v>
      </c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I23" s="145"/>
      <c r="AJ23" s="145"/>
      <c r="AK23" s="145"/>
    </row>
    <row r="24" spans="1:37" x14ac:dyDescent="0.35">
      <c r="A24" s="113"/>
      <c r="B24" s="10" t="s">
        <v>255</v>
      </c>
      <c r="C24" s="313">
        <v>2080200105</v>
      </c>
      <c r="D24" s="15">
        <v>12933</v>
      </c>
      <c r="E24" s="15">
        <v>13098</v>
      </c>
      <c r="F24" s="15">
        <v>13234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-940.38200000000006</v>
      </c>
      <c r="R24" s="9">
        <f>SUM(R4:R23)</f>
        <v>-740.04099999999994</v>
      </c>
      <c r="S24" s="27">
        <f>P24-D24</f>
        <v>-12933</v>
      </c>
    </row>
    <row r="25" spans="1:37" x14ac:dyDescent="0.35">
      <c r="A25" s="113" t="s">
        <v>15</v>
      </c>
      <c r="B25" s="10" t="s">
        <v>256</v>
      </c>
      <c r="C25" s="313">
        <v>2080200100</v>
      </c>
      <c r="D25" s="15">
        <v>21566</v>
      </c>
      <c r="E25" s="15">
        <v>21938</v>
      </c>
      <c r="F25" s="15">
        <v>22221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S25" s="27">
        <f>P25-D25</f>
        <v>-21566</v>
      </c>
      <c r="U25" s="1" t="s">
        <v>118</v>
      </c>
      <c r="V25" s="109">
        <f t="shared" ref="V25:AG25" si="10">E26-D26</f>
        <v>0</v>
      </c>
      <c r="W25" s="109">
        <f t="shared" si="10"/>
        <v>0</v>
      </c>
      <c r="X25" s="109">
        <f t="shared" si="10"/>
        <v>-746.37099999999998</v>
      </c>
      <c r="Y25" s="109">
        <f t="shared" si="10"/>
        <v>0</v>
      </c>
      <c r="Z25" s="109">
        <f t="shared" si="10"/>
        <v>0</v>
      </c>
      <c r="AA25" s="109">
        <f t="shared" si="10"/>
        <v>0</v>
      </c>
      <c r="AB25" s="109">
        <f t="shared" si="10"/>
        <v>0</v>
      </c>
      <c r="AC25" s="109">
        <f t="shared" si="10"/>
        <v>0</v>
      </c>
      <c r="AD25" s="109">
        <f t="shared" si="10"/>
        <v>0</v>
      </c>
      <c r="AE25" s="109">
        <f t="shared" si="10"/>
        <v>0</v>
      </c>
      <c r="AF25" s="109">
        <f t="shared" si="10"/>
        <v>0</v>
      </c>
      <c r="AG25" s="109">
        <f t="shared" si="10"/>
        <v>0</v>
      </c>
    </row>
    <row r="26" spans="1:37" x14ac:dyDescent="0.35">
      <c r="A26" s="113"/>
      <c r="B26" s="28" t="s">
        <v>257</v>
      </c>
      <c r="C26" s="317">
        <v>200076532</v>
      </c>
      <c r="D26" s="11">
        <v>746.37099999999998</v>
      </c>
      <c r="E26" s="11">
        <v>746.37099999999998</v>
      </c>
      <c r="F26" s="11">
        <v>746.37099999999998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9">
        <f>P26-D26</f>
        <v>-746.37099999999998</v>
      </c>
      <c r="R26" s="220">
        <f>ROUND(Q26,0)-1</f>
        <v>-747</v>
      </c>
      <c r="S26" s="221" t="s">
        <v>162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pans="1:37" ht="15" thickBot="1" x14ac:dyDescent="0.4">
      <c r="A27" s="113"/>
      <c r="B27" s="282" t="s">
        <v>247</v>
      </c>
      <c r="C27" s="317">
        <v>241175207</v>
      </c>
      <c r="D27" s="18">
        <v>1173.0999999999999</v>
      </c>
      <c r="E27" s="18">
        <v>1285.7</v>
      </c>
      <c r="F27" s="18">
        <v>1380.1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9">
        <f>P27-D27</f>
        <v>-1173.0999999999999</v>
      </c>
      <c r="R27" s="220">
        <f>Q27-R26</f>
        <v>-426.09999999999991</v>
      </c>
      <c r="S27" s="221" t="s">
        <v>163</v>
      </c>
      <c r="V27" s="237">
        <f>(E27-D27)-(E26-D26)</f>
        <v>112.60000000000014</v>
      </c>
      <c r="W27" s="237">
        <f t="shared" ref="W27:AG27" si="11">(F27-E27)-(F26-E26)</f>
        <v>94.399999999999864</v>
      </c>
      <c r="X27" s="237">
        <f t="shared" si="11"/>
        <v>-633.72899999999993</v>
      </c>
      <c r="Y27" s="237">
        <f t="shared" si="11"/>
        <v>0</v>
      </c>
      <c r="Z27" s="237">
        <f t="shared" si="11"/>
        <v>0</v>
      </c>
      <c r="AA27" s="237">
        <f t="shared" si="11"/>
        <v>0</v>
      </c>
      <c r="AB27" s="237">
        <f t="shared" si="11"/>
        <v>0</v>
      </c>
      <c r="AC27" s="237">
        <f t="shared" si="11"/>
        <v>0</v>
      </c>
      <c r="AD27" s="237">
        <f t="shared" si="11"/>
        <v>0</v>
      </c>
      <c r="AE27" s="237">
        <f t="shared" si="11"/>
        <v>0</v>
      </c>
      <c r="AF27" s="237">
        <f t="shared" si="11"/>
        <v>0</v>
      </c>
      <c r="AG27" s="237">
        <f t="shared" si="11"/>
        <v>0</v>
      </c>
      <c r="AI27" s="237">
        <v>82.002999999999929</v>
      </c>
      <c r="AJ27" s="237">
        <v>84.726999999999975</v>
      </c>
      <c r="AK27" s="237">
        <v>86.799999999999955</v>
      </c>
    </row>
    <row r="28" spans="1:37" x14ac:dyDescent="0.35">
      <c r="A28" s="113"/>
      <c r="B28" s="10" t="s">
        <v>214</v>
      </c>
      <c r="C28" s="313"/>
      <c r="D28" s="19">
        <v>416.82</v>
      </c>
      <c r="E28" s="19">
        <v>465.29</v>
      </c>
      <c r="F28" s="19">
        <v>494.86</v>
      </c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32"/>
      <c r="R28" s="9">
        <f>(P28-D28)</f>
        <v>-416.82</v>
      </c>
      <c r="S28" t="s">
        <v>78</v>
      </c>
      <c r="V28" s="251">
        <f>(E28-D28)</f>
        <v>48.470000000000027</v>
      </c>
      <c r="W28" s="251">
        <f>(F28-E28)</f>
        <v>29.569999999999993</v>
      </c>
      <c r="X28" s="251">
        <f t="shared" ref="X28:AG28" si="12">(G28-F28)</f>
        <v>-494.86</v>
      </c>
      <c r="Y28" s="251">
        <f t="shared" si="12"/>
        <v>0</v>
      </c>
      <c r="Z28" s="251">
        <f t="shared" si="12"/>
        <v>0</v>
      </c>
      <c r="AA28" s="251">
        <f t="shared" si="12"/>
        <v>0</v>
      </c>
      <c r="AB28" s="251">
        <f t="shared" si="12"/>
        <v>0</v>
      </c>
      <c r="AC28" s="251">
        <f t="shared" si="12"/>
        <v>0</v>
      </c>
      <c r="AD28" s="251">
        <f t="shared" si="12"/>
        <v>0</v>
      </c>
      <c r="AE28" s="251">
        <f t="shared" si="12"/>
        <v>0</v>
      </c>
      <c r="AF28" s="251">
        <f t="shared" si="12"/>
        <v>0</v>
      </c>
      <c r="AG28" s="251">
        <f t="shared" si="12"/>
        <v>0</v>
      </c>
      <c r="AI28" s="251">
        <v>12.170000000000016</v>
      </c>
      <c r="AJ28" s="251">
        <v>27.329999999999984</v>
      </c>
      <c r="AK28" s="251">
        <v>31.639999999999986</v>
      </c>
    </row>
    <row r="29" spans="1:37" ht="15" thickBot="1" x14ac:dyDescent="0.4">
      <c r="A29" s="4"/>
      <c r="B29" s="26" t="s">
        <v>28</v>
      </c>
      <c r="C29" s="318"/>
      <c r="D29" s="29">
        <v>2894</v>
      </c>
      <c r="E29" s="29">
        <v>3202</v>
      </c>
      <c r="F29" s="29">
        <v>3380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R29" s="16">
        <f>P29-D29</f>
        <v>-2894</v>
      </c>
      <c r="S29" t="s">
        <v>79</v>
      </c>
    </row>
    <row r="30" spans="1:37" ht="15" thickBot="1" x14ac:dyDescent="0.4">
      <c r="A30" s="114" t="str">
        <f>'1850'!A29</f>
        <v xml:space="preserve">fakturační vodoměr č.         </v>
      </c>
      <c r="B30" s="22"/>
      <c r="C30" s="319">
        <f>'1850'!C29</f>
        <v>63796</v>
      </c>
      <c r="D30" s="23">
        <f>'1850'!D29</f>
        <v>65454</v>
      </c>
      <c r="E30" s="23">
        <f>'1850'!E29</f>
        <v>65848.899999999994</v>
      </c>
      <c r="F30" s="23">
        <f>'1850'!F29</f>
        <v>66193.7</v>
      </c>
      <c r="G30" s="23">
        <f>'1850'!G29</f>
        <v>0</v>
      </c>
      <c r="H30" s="23">
        <f>'1850'!H29</f>
        <v>0</v>
      </c>
      <c r="I30" s="23">
        <f>'1850'!I29</f>
        <v>0</v>
      </c>
      <c r="J30" s="23">
        <f>'1850'!J29</f>
        <v>0</v>
      </c>
      <c r="K30" s="23">
        <f>'1850'!K29</f>
        <v>0</v>
      </c>
      <c r="L30" s="23">
        <f>'1850'!L29</f>
        <v>0</v>
      </c>
      <c r="M30" s="23">
        <f>'1850'!M29</f>
        <v>0</v>
      </c>
      <c r="N30" s="23">
        <f>'1850'!N29</f>
        <v>0</v>
      </c>
      <c r="O30" s="23">
        <f>'1850'!O29</f>
        <v>0</v>
      </c>
      <c r="P30" s="23">
        <f>'1850'!P29</f>
        <v>0</v>
      </c>
      <c r="Q30" s="9">
        <f>P30-D30</f>
        <v>-65454</v>
      </c>
      <c r="AE30" s="9"/>
    </row>
    <row r="31" spans="1:37" ht="15" thickBot="1" x14ac:dyDescent="0.4">
      <c r="B31" s="30"/>
      <c r="C31" s="331"/>
    </row>
    <row r="32" spans="1:37" x14ac:dyDescent="0.35">
      <c r="A32" s="388">
        <v>11</v>
      </c>
      <c r="B32" s="161" t="s">
        <v>258</v>
      </c>
      <c r="C32" s="333">
        <v>11717149</v>
      </c>
      <c r="D32" s="162">
        <v>26.83</v>
      </c>
      <c r="E32" s="162">
        <v>27.071999999999999</v>
      </c>
      <c r="F32" s="162">
        <v>27.251000000000001</v>
      </c>
      <c r="G32" s="162"/>
      <c r="H32" s="162"/>
      <c r="I32" s="162"/>
      <c r="J32" s="162"/>
      <c r="K32" s="162"/>
      <c r="L32" s="162"/>
      <c r="M32" s="162"/>
      <c r="N32" s="162"/>
      <c r="O32" s="162"/>
      <c r="P32" s="163"/>
      <c r="Q32" s="9">
        <f>P32-D32</f>
        <v>-26.83</v>
      </c>
      <c r="T32" t="s">
        <v>114</v>
      </c>
      <c r="U32" s="390">
        <v>11</v>
      </c>
      <c r="V32" s="109">
        <f t="shared" ref="V32:AG32" si="13">E32-D32</f>
        <v>0.24200000000000088</v>
      </c>
      <c r="W32" s="109">
        <f t="shared" si="13"/>
        <v>0.17900000000000205</v>
      </c>
      <c r="X32" s="109">
        <f t="shared" si="13"/>
        <v>-27.251000000000001</v>
      </c>
      <c r="Y32" s="109">
        <f t="shared" si="13"/>
        <v>0</v>
      </c>
      <c r="Z32" s="109">
        <f t="shared" si="13"/>
        <v>0</v>
      </c>
      <c r="AA32" s="109">
        <f t="shared" si="13"/>
        <v>0</v>
      </c>
      <c r="AB32" s="109">
        <f t="shared" si="13"/>
        <v>0</v>
      </c>
      <c r="AC32" s="109">
        <f t="shared" si="13"/>
        <v>0</v>
      </c>
      <c r="AD32" s="109">
        <f t="shared" si="13"/>
        <v>0</v>
      </c>
      <c r="AE32" s="109">
        <f t="shared" si="13"/>
        <v>0</v>
      </c>
      <c r="AF32" s="109">
        <f t="shared" si="13"/>
        <v>0</v>
      </c>
      <c r="AG32" s="109">
        <f t="shared" si="13"/>
        <v>0</v>
      </c>
    </row>
    <row r="33" spans="1:33" ht="15" thickBot="1" x14ac:dyDescent="0.4">
      <c r="A33" s="389"/>
      <c r="B33" s="164" t="s">
        <v>259</v>
      </c>
      <c r="C33" s="334">
        <v>11683196</v>
      </c>
      <c r="D33" s="165">
        <v>1.0740000000000001</v>
      </c>
      <c r="E33" s="165">
        <v>1.0740000000000001</v>
      </c>
      <c r="F33" s="165">
        <v>1.0740000000000001</v>
      </c>
      <c r="G33" s="165"/>
      <c r="H33" s="165"/>
      <c r="I33" s="165"/>
      <c r="J33" s="165"/>
      <c r="K33" s="165"/>
      <c r="L33" s="165"/>
      <c r="M33" s="165"/>
      <c r="N33" s="165"/>
      <c r="O33" s="165"/>
      <c r="P33" s="166"/>
      <c r="Q33" s="9">
        <f>P33-D33</f>
        <v>-1.0740000000000001</v>
      </c>
      <c r="T33" t="s">
        <v>108</v>
      </c>
      <c r="U33" s="390"/>
      <c r="V33" s="109">
        <f t="shared" ref="V33:AG33" si="14">E33-D33</f>
        <v>0</v>
      </c>
      <c r="W33" s="109">
        <f t="shared" si="14"/>
        <v>0</v>
      </c>
      <c r="X33" s="109">
        <f t="shared" si="14"/>
        <v>-1.0740000000000001</v>
      </c>
      <c r="Y33" s="109">
        <f t="shared" si="14"/>
        <v>0</v>
      </c>
      <c r="Z33" s="109">
        <f t="shared" si="14"/>
        <v>0</v>
      </c>
      <c r="AA33" s="109">
        <f t="shared" si="14"/>
        <v>0</v>
      </c>
      <c r="AB33" s="109">
        <f t="shared" si="14"/>
        <v>0</v>
      </c>
      <c r="AC33" s="109">
        <f t="shared" si="14"/>
        <v>0</v>
      </c>
      <c r="AD33" s="109">
        <f t="shared" si="14"/>
        <v>0</v>
      </c>
      <c r="AE33" s="109">
        <f t="shared" si="14"/>
        <v>0</v>
      </c>
      <c r="AF33" s="109">
        <f t="shared" si="14"/>
        <v>0</v>
      </c>
      <c r="AG33" s="109">
        <f t="shared" si="14"/>
        <v>0</v>
      </c>
    </row>
    <row r="34" spans="1:33" x14ac:dyDescent="0.35">
      <c r="L34" s="122"/>
    </row>
    <row r="35" spans="1:33" x14ac:dyDescent="0.35">
      <c r="A35" s="1"/>
      <c r="E35" t="s">
        <v>125</v>
      </c>
      <c r="L35" s="122"/>
    </row>
    <row r="36" spans="1:33" x14ac:dyDescent="0.35">
      <c r="A36" s="1"/>
      <c r="E36" s="380">
        <v>43956</v>
      </c>
      <c r="F36" s="84" t="s">
        <v>115</v>
      </c>
      <c r="G36" s="384"/>
      <c r="H36" s="384"/>
      <c r="I36" s="106"/>
      <c r="P36" s="104" t="s">
        <v>176</v>
      </c>
      <c r="Q36" s="9">
        <f>Q8-Q32-Q33</f>
        <v>-72.332000000000008</v>
      </c>
    </row>
    <row r="37" spans="1:33" x14ac:dyDescent="0.35">
      <c r="A37" s="1"/>
      <c r="E37" s="380"/>
      <c r="F37" s="84" t="s">
        <v>116</v>
      </c>
      <c r="G37" s="384"/>
      <c r="H37" s="384"/>
      <c r="I37" s="106"/>
      <c r="N37" s="235"/>
      <c r="O37" s="235"/>
      <c r="P37" s="236" t="s">
        <v>177</v>
      </c>
      <c r="Q37" s="97">
        <f>Q32+Q33</f>
        <v>-27.904</v>
      </c>
    </row>
    <row r="38" spans="1:33" x14ac:dyDescent="0.35">
      <c r="A38" s="1"/>
      <c r="E38" t="s">
        <v>124</v>
      </c>
      <c r="P38" t="s">
        <v>178</v>
      </c>
      <c r="Q38" s="9">
        <f>SUM(Q36:Q37)</f>
        <v>-100.236</v>
      </c>
    </row>
    <row r="39" spans="1:33" x14ac:dyDescent="0.35">
      <c r="A39" s="1"/>
      <c r="E39" s="380">
        <v>43956</v>
      </c>
      <c r="F39" s="84" t="s">
        <v>115</v>
      </c>
      <c r="G39" s="384"/>
      <c r="H39" s="384"/>
      <c r="I39" s="106"/>
    </row>
    <row r="40" spans="1:33" x14ac:dyDescent="0.35">
      <c r="A40" s="1"/>
      <c r="E40" s="380"/>
      <c r="F40" s="84" t="s">
        <v>116</v>
      </c>
      <c r="G40" s="384"/>
      <c r="H40" s="384"/>
      <c r="I40" s="106"/>
      <c r="K40" s="254" t="s">
        <v>210</v>
      </c>
      <c r="L40" s="225"/>
      <c r="M40" s="225"/>
      <c r="N40" s="225"/>
      <c r="O40" s="224" t="s">
        <v>166</v>
      </c>
      <c r="P40" s="255">
        <v>234.86</v>
      </c>
      <c r="Q40" s="225" t="s">
        <v>127</v>
      </c>
    </row>
    <row r="41" spans="1:33" x14ac:dyDescent="0.35">
      <c r="K41" s="254" t="s">
        <v>211</v>
      </c>
      <c r="L41" s="225"/>
      <c r="M41" s="225"/>
      <c r="N41" s="225"/>
      <c r="O41" s="224" t="s">
        <v>166</v>
      </c>
      <c r="P41" s="255">
        <v>0</v>
      </c>
      <c r="Q41" s="254" t="s">
        <v>78</v>
      </c>
    </row>
    <row r="42" spans="1:33" x14ac:dyDescent="0.35">
      <c r="E42" t="s">
        <v>221</v>
      </c>
      <c r="H42" s="262" t="s">
        <v>222</v>
      </c>
    </row>
    <row r="43" spans="1:33" x14ac:dyDescent="0.35">
      <c r="E43" s="380">
        <v>43874</v>
      </c>
      <c r="F43" s="84" t="s">
        <v>115</v>
      </c>
      <c r="G43" s="384">
        <v>10282180</v>
      </c>
      <c r="H43" s="384"/>
      <c r="I43" s="106">
        <v>655.34799999999996</v>
      </c>
    </row>
    <row r="44" spans="1:33" x14ac:dyDescent="0.35">
      <c r="E44" s="380"/>
      <c r="F44" s="84" t="s">
        <v>116</v>
      </c>
      <c r="G44" s="384">
        <v>200076532</v>
      </c>
      <c r="H44" s="384"/>
      <c r="I44" s="106">
        <v>0</v>
      </c>
    </row>
    <row r="46" spans="1:33" x14ac:dyDescent="0.35">
      <c r="E46" t="s">
        <v>229</v>
      </c>
    </row>
    <row r="47" spans="1:33" x14ac:dyDescent="0.35">
      <c r="E47" s="279">
        <v>45607</v>
      </c>
      <c r="F47" s="386">
        <v>2080200100</v>
      </c>
      <c r="G47" s="387"/>
      <c r="H47" s="106">
        <v>17365</v>
      </c>
      <c r="I47" t="s">
        <v>109</v>
      </c>
    </row>
    <row r="48" spans="1:33" x14ac:dyDescent="0.35">
      <c r="E48" s="279">
        <v>45973</v>
      </c>
      <c r="F48" s="384">
        <v>2080200100</v>
      </c>
      <c r="G48" s="384"/>
      <c r="H48" s="106">
        <v>20943</v>
      </c>
      <c r="I48" t="s">
        <v>109</v>
      </c>
    </row>
    <row r="49" spans="7:9" x14ac:dyDescent="0.35">
      <c r="G49" t="s">
        <v>171</v>
      </c>
      <c r="H49">
        <f>H48-H47</f>
        <v>3578</v>
      </c>
      <c r="I49" t="s">
        <v>109</v>
      </c>
    </row>
  </sheetData>
  <sheetProtection selectLockedCells="1" selectUnlockedCells="1"/>
  <mergeCells count="23">
    <mergeCell ref="A14:A15"/>
    <mergeCell ref="A32:A33"/>
    <mergeCell ref="U32:U33"/>
    <mergeCell ref="E36:E37"/>
    <mergeCell ref="G36:H36"/>
    <mergeCell ref="G37:H37"/>
    <mergeCell ref="A4:A5"/>
    <mergeCell ref="A6:A7"/>
    <mergeCell ref="A8:A9"/>
    <mergeCell ref="A10:A11"/>
    <mergeCell ref="A12:A13"/>
    <mergeCell ref="F47:G47"/>
    <mergeCell ref="F48:G48"/>
    <mergeCell ref="A16:A17"/>
    <mergeCell ref="A18:A19"/>
    <mergeCell ref="A20:A21"/>
    <mergeCell ref="A22:A23"/>
    <mergeCell ref="E43:E44"/>
    <mergeCell ref="G43:H43"/>
    <mergeCell ref="G44:H44"/>
    <mergeCell ref="E39:E40"/>
    <mergeCell ref="G39:H39"/>
    <mergeCell ref="G40:H40"/>
  </mergeCells>
  <conditionalFormatting sqref="E4">
    <cfRule type="cellIs" dxfId="3077" priority="126" stopIfTrue="1" operator="equal">
      <formula>$D$4</formula>
    </cfRule>
    <cfRule type="cellIs" dxfId="3076" priority="125" stopIfTrue="1" operator="lessThan">
      <formula>$D$4</formula>
    </cfRule>
  </conditionalFormatting>
  <conditionalFormatting sqref="E5">
    <cfRule type="cellIs" dxfId="3075" priority="130" stopIfTrue="1" operator="lessThan">
      <formula>$D$5</formula>
    </cfRule>
    <cfRule type="cellIs" dxfId="3074" priority="129" stopIfTrue="1" operator="equal">
      <formula>$D$5</formula>
    </cfRule>
  </conditionalFormatting>
  <conditionalFormatting sqref="E6">
    <cfRule type="cellIs" dxfId="3073" priority="137" stopIfTrue="1" operator="lessThan">
      <formula>$D$6</formula>
    </cfRule>
    <cfRule type="cellIs" dxfId="3072" priority="136" stopIfTrue="1" operator="equal">
      <formula>$D$6</formula>
    </cfRule>
  </conditionalFormatting>
  <conditionalFormatting sqref="E7">
    <cfRule type="cellIs" dxfId="3071" priority="151" stopIfTrue="1" operator="lessThan">
      <formula>$D$7</formula>
    </cfRule>
    <cfRule type="cellIs" dxfId="3070" priority="150" stopIfTrue="1" operator="equal">
      <formula>$D$7</formula>
    </cfRule>
  </conditionalFormatting>
  <conditionalFormatting sqref="E8">
    <cfRule type="cellIs" dxfId="3069" priority="162" stopIfTrue="1" operator="equal">
      <formula>$D$8</formula>
    </cfRule>
    <cfRule type="cellIs" dxfId="3068" priority="163" stopIfTrue="1" operator="lessThan">
      <formula>$D$8</formula>
    </cfRule>
  </conditionalFormatting>
  <conditionalFormatting sqref="E9">
    <cfRule type="cellIs" dxfId="3067" priority="177" stopIfTrue="1" operator="lessThan">
      <formula>$D$9</formula>
    </cfRule>
    <cfRule type="cellIs" dxfId="3066" priority="176" stopIfTrue="1" operator="equal">
      <formula>$D$9</formula>
    </cfRule>
  </conditionalFormatting>
  <conditionalFormatting sqref="E10">
    <cfRule type="cellIs" dxfId="3065" priority="190" stopIfTrue="1" operator="equal">
      <formula>$D$10</formula>
    </cfRule>
    <cfRule type="cellIs" dxfId="3064" priority="191" stopIfTrue="1" operator="lessThan">
      <formula>$D$10</formula>
    </cfRule>
  </conditionalFormatting>
  <conditionalFormatting sqref="E11">
    <cfRule type="cellIs" dxfId="3063" priority="204" stopIfTrue="1" operator="equal">
      <formula>$D$11</formula>
    </cfRule>
    <cfRule type="cellIs" dxfId="3062" priority="205" stopIfTrue="1" operator="lessThan">
      <formula>$D$11</formula>
    </cfRule>
  </conditionalFormatting>
  <conditionalFormatting sqref="E12">
    <cfRule type="cellIs" dxfId="3061" priority="219" stopIfTrue="1" operator="lessThan">
      <formula>$D$12</formula>
    </cfRule>
    <cfRule type="cellIs" dxfId="3060" priority="218" stopIfTrue="1" operator="equal">
      <formula>$D$12</formula>
    </cfRule>
  </conditionalFormatting>
  <conditionalFormatting sqref="E13">
    <cfRule type="cellIs" dxfId="3059" priority="350" stopIfTrue="1" operator="equal">
      <formula>$D$13</formula>
    </cfRule>
    <cfRule type="cellIs" dxfId="3058" priority="351" stopIfTrue="1" operator="lessThan">
      <formula>$D$13</formula>
    </cfRule>
  </conditionalFormatting>
  <conditionalFormatting sqref="E14">
    <cfRule type="cellIs" dxfId="3057" priority="233" stopIfTrue="1" operator="lessThan">
      <formula>$D$14</formula>
    </cfRule>
    <cfRule type="cellIs" dxfId="3056" priority="232" stopIfTrue="1" operator="equal">
      <formula>$D$14</formula>
    </cfRule>
  </conditionalFormatting>
  <conditionalFormatting sqref="E15">
    <cfRule type="cellIs" dxfId="3055" priority="235" stopIfTrue="1" operator="lessThan">
      <formula>$D$15</formula>
    </cfRule>
    <cfRule type="cellIs" dxfId="3054" priority="234" stopIfTrue="1" operator="equal">
      <formula>$D$15</formula>
    </cfRule>
  </conditionalFormatting>
  <conditionalFormatting sqref="E16">
    <cfRule type="cellIs" dxfId="3053" priority="236" stopIfTrue="1" operator="equal">
      <formula>$D$16</formula>
    </cfRule>
    <cfRule type="cellIs" dxfId="3052" priority="237" stopIfTrue="1" operator="lessThan">
      <formula>$D$16</formula>
    </cfRule>
  </conditionalFormatting>
  <conditionalFormatting sqref="E17">
    <cfRule type="cellIs" dxfId="3051" priority="239" stopIfTrue="1" operator="lessThan">
      <formula>$D$17</formula>
    </cfRule>
    <cfRule type="cellIs" dxfId="3050" priority="238" stopIfTrue="1" operator="equal">
      <formula>$D$17</formula>
    </cfRule>
  </conditionalFormatting>
  <conditionalFormatting sqref="E18">
    <cfRule type="cellIs" dxfId="3049" priority="241" stopIfTrue="1" operator="lessThan">
      <formula>$D$18</formula>
    </cfRule>
    <cfRule type="cellIs" dxfId="3048" priority="240" stopIfTrue="1" operator="equal">
      <formula>$D$18</formula>
    </cfRule>
  </conditionalFormatting>
  <conditionalFormatting sqref="E19">
    <cfRule type="cellIs" dxfId="3047" priority="243" stopIfTrue="1" operator="lessThan">
      <formula>$D$19</formula>
    </cfRule>
    <cfRule type="cellIs" dxfId="3046" priority="242" stopIfTrue="1" operator="equal">
      <formula>$D$19</formula>
    </cfRule>
  </conditionalFormatting>
  <conditionalFormatting sqref="E20">
    <cfRule type="cellIs" dxfId="3045" priority="245" stopIfTrue="1" operator="lessThan">
      <formula>$D$20</formula>
    </cfRule>
    <cfRule type="cellIs" dxfId="3044" priority="244" stopIfTrue="1" operator="equal">
      <formula>$D$20</formula>
    </cfRule>
  </conditionalFormatting>
  <conditionalFormatting sqref="E21">
    <cfRule type="cellIs" dxfId="3043" priority="247" stopIfTrue="1" operator="lessThan">
      <formula>$D$21</formula>
    </cfRule>
    <cfRule type="cellIs" dxfId="3042" priority="246" stopIfTrue="1" operator="equal">
      <formula>$D$21</formula>
    </cfRule>
  </conditionalFormatting>
  <conditionalFormatting sqref="E22">
    <cfRule type="cellIs" dxfId="3041" priority="248" stopIfTrue="1" operator="equal">
      <formula>$D$22</formula>
    </cfRule>
    <cfRule type="cellIs" dxfId="3040" priority="249" stopIfTrue="1" operator="lessThan">
      <formula>$D$22</formula>
    </cfRule>
  </conditionalFormatting>
  <conditionalFormatting sqref="E23">
    <cfRule type="cellIs" dxfId="3039" priority="251" stopIfTrue="1" operator="lessThan">
      <formula>$D$23</formula>
    </cfRule>
    <cfRule type="cellIs" dxfId="3038" priority="250" stopIfTrue="1" operator="equal">
      <formula>$D$23</formula>
    </cfRule>
  </conditionalFormatting>
  <conditionalFormatting sqref="E24">
    <cfRule type="cellIs" dxfId="3037" priority="382" stopIfTrue="1" operator="equal">
      <formula>$D$24</formula>
    </cfRule>
    <cfRule type="cellIs" dxfId="3036" priority="383" stopIfTrue="1" operator="lessThan">
      <formula>$D$24</formula>
    </cfRule>
  </conditionalFormatting>
  <conditionalFormatting sqref="E25">
    <cfRule type="cellIs" dxfId="3035" priority="253" stopIfTrue="1" operator="lessThan">
      <formula>$D$25</formula>
    </cfRule>
    <cfRule type="cellIs" dxfId="3034" priority="252" stopIfTrue="1" operator="equal">
      <formula>$D$25</formula>
    </cfRule>
  </conditionalFormatting>
  <conditionalFormatting sqref="E26">
    <cfRule type="cellIs" dxfId="3033" priority="255" stopIfTrue="1" operator="lessThan">
      <formula>$D$26</formula>
    </cfRule>
    <cfRule type="cellIs" dxfId="3032" priority="254" stopIfTrue="1" operator="equal">
      <formula>$D$26</formula>
    </cfRule>
  </conditionalFormatting>
  <conditionalFormatting sqref="E27">
    <cfRule type="cellIs" dxfId="3031" priority="257" stopIfTrue="1" operator="lessThan">
      <formula>$D$27</formula>
    </cfRule>
    <cfRule type="cellIs" dxfId="3030" priority="256" stopIfTrue="1" operator="equal">
      <formula>$D$27</formula>
    </cfRule>
  </conditionalFormatting>
  <conditionalFormatting sqref="E28">
    <cfRule type="cellIs" dxfId="3029" priority="258" stopIfTrue="1" operator="equal">
      <formula>$D$28</formula>
    </cfRule>
    <cfRule type="cellIs" dxfId="3028" priority="259" stopIfTrue="1" operator="lessThan">
      <formula>$D$28</formula>
    </cfRule>
  </conditionalFormatting>
  <conditionalFormatting sqref="E29">
    <cfRule type="cellIs" dxfId="3027" priority="106" stopIfTrue="1" operator="lessThan">
      <formula>$D$29</formula>
    </cfRule>
    <cfRule type="cellIs" dxfId="3026" priority="107" stopIfTrue="1" operator="equal">
      <formula>$D$29</formula>
    </cfRule>
  </conditionalFormatting>
  <conditionalFormatting sqref="F4">
    <cfRule type="cellIs" dxfId="3025" priority="127" stopIfTrue="1" operator="equal">
      <formula>$E$4</formula>
    </cfRule>
    <cfRule type="cellIs" dxfId="3024" priority="128" stopIfTrue="1" operator="lessThan">
      <formula>$E$4</formula>
    </cfRule>
  </conditionalFormatting>
  <conditionalFormatting sqref="F5">
    <cfRule type="cellIs" dxfId="3023" priority="392" stopIfTrue="1" operator="equal">
      <formula>$E$5</formula>
    </cfRule>
    <cfRule type="cellIs" dxfId="3022" priority="393" stopIfTrue="1" operator="lessThan">
      <formula>$E$5</formula>
    </cfRule>
  </conditionalFormatting>
  <conditionalFormatting sqref="F6">
    <cfRule type="cellIs" dxfId="3021" priority="138" stopIfTrue="1" operator="equal">
      <formula>$E$6</formula>
    </cfRule>
    <cfRule type="cellIs" dxfId="3020" priority="139" stopIfTrue="1" operator="lessThan">
      <formula>$E$6</formula>
    </cfRule>
  </conditionalFormatting>
  <conditionalFormatting sqref="F7">
    <cfRule type="cellIs" dxfId="3019" priority="153" stopIfTrue="1" operator="lessThan">
      <formula>$E$7</formula>
    </cfRule>
    <cfRule type="cellIs" dxfId="3018" priority="152" stopIfTrue="1" operator="equal">
      <formula>$E$7</formula>
    </cfRule>
  </conditionalFormatting>
  <conditionalFormatting sqref="F8">
    <cfRule type="cellIs" dxfId="3017" priority="164" stopIfTrue="1" operator="equal">
      <formula>$E$8</formula>
    </cfRule>
    <cfRule type="cellIs" dxfId="3016" priority="165" stopIfTrue="1" operator="lessThan">
      <formula>$E$8</formula>
    </cfRule>
  </conditionalFormatting>
  <conditionalFormatting sqref="F9">
    <cfRule type="cellIs" dxfId="3015" priority="178" stopIfTrue="1" operator="equal">
      <formula>$E$9</formula>
    </cfRule>
    <cfRule type="cellIs" dxfId="3014" priority="179" stopIfTrue="1" operator="lessThan">
      <formula>$E$9</formula>
    </cfRule>
  </conditionalFormatting>
  <conditionalFormatting sqref="F10">
    <cfRule type="cellIs" dxfId="3013" priority="192" stopIfTrue="1" operator="equal">
      <formula>$E$10</formula>
    </cfRule>
    <cfRule type="cellIs" dxfId="3012" priority="193" stopIfTrue="1" operator="lessThan">
      <formula>$E$10</formula>
    </cfRule>
  </conditionalFormatting>
  <conditionalFormatting sqref="F11">
    <cfRule type="cellIs" dxfId="3011" priority="207" stopIfTrue="1" operator="lessThan">
      <formula>$E$11</formula>
    </cfRule>
    <cfRule type="cellIs" dxfId="3010" priority="206" stopIfTrue="1" operator="equal">
      <formula>$E$11</formula>
    </cfRule>
  </conditionalFormatting>
  <conditionalFormatting sqref="F12">
    <cfRule type="cellIs" dxfId="3009" priority="221" stopIfTrue="1" operator="lessThan">
      <formula>$E$12</formula>
    </cfRule>
    <cfRule type="cellIs" dxfId="3008" priority="220" stopIfTrue="1" operator="equal">
      <formula>$E$12</formula>
    </cfRule>
  </conditionalFormatting>
  <conditionalFormatting sqref="F13">
    <cfRule type="cellIs" dxfId="3007" priority="260" stopIfTrue="1" operator="equal">
      <formula>$E$13</formula>
    </cfRule>
    <cfRule type="cellIs" dxfId="3006" priority="261" stopIfTrue="1" operator="lessThan">
      <formula>$E$13</formula>
    </cfRule>
  </conditionalFormatting>
  <conditionalFormatting sqref="F14">
    <cfRule type="cellIs" dxfId="3005" priority="262" stopIfTrue="1" operator="equal">
      <formula>$E$14</formula>
    </cfRule>
    <cfRule type="cellIs" dxfId="3004" priority="263" stopIfTrue="1" operator="lessThan">
      <formula>$E$14</formula>
    </cfRule>
  </conditionalFormatting>
  <conditionalFormatting sqref="F15">
    <cfRule type="cellIs" dxfId="3003" priority="264" stopIfTrue="1" operator="equal">
      <formula>$E$15</formula>
    </cfRule>
    <cfRule type="cellIs" dxfId="3002" priority="265" stopIfTrue="1" operator="lessThan">
      <formula>$E$15</formula>
    </cfRule>
  </conditionalFormatting>
  <conditionalFormatting sqref="F16">
    <cfRule type="cellIs" dxfId="3001" priority="266" stopIfTrue="1" operator="equal">
      <formula>$E$16</formula>
    </cfRule>
    <cfRule type="cellIs" dxfId="3000" priority="267" stopIfTrue="1" operator="lessThan">
      <formula>$E$16</formula>
    </cfRule>
  </conditionalFormatting>
  <conditionalFormatting sqref="F17">
    <cfRule type="cellIs" dxfId="2999" priority="269" stopIfTrue="1" operator="lessThan">
      <formula>$E$17</formula>
    </cfRule>
    <cfRule type="cellIs" dxfId="2998" priority="268" stopIfTrue="1" operator="equal">
      <formula>$E$17</formula>
    </cfRule>
  </conditionalFormatting>
  <conditionalFormatting sqref="F18">
    <cfRule type="cellIs" dxfId="2997" priority="270" stopIfTrue="1" operator="equal">
      <formula>$E$18</formula>
    </cfRule>
    <cfRule type="cellIs" dxfId="2996" priority="271" stopIfTrue="1" operator="lessThan">
      <formula>$E$18</formula>
    </cfRule>
  </conditionalFormatting>
  <conditionalFormatting sqref="F19">
    <cfRule type="cellIs" dxfId="2995" priority="272" stopIfTrue="1" operator="equal">
      <formula>$E$19</formula>
    </cfRule>
    <cfRule type="cellIs" dxfId="2994" priority="273" stopIfTrue="1" operator="lessThan">
      <formula>$E$19</formula>
    </cfRule>
  </conditionalFormatting>
  <conditionalFormatting sqref="F20">
    <cfRule type="cellIs" dxfId="2993" priority="275" stopIfTrue="1" operator="lessThan">
      <formula>$E$20</formula>
    </cfRule>
    <cfRule type="cellIs" dxfId="2992" priority="274" stopIfTrue="1" operator="equal">
      <formula>$E$20</formula>
    </cfRule>
  </conditionalFormatting>
  <conditionalFormatting sqref="F21">
    <cfRule type="cellIs" dxfId="2991" priority="277" stopIfTrue="1" operator="lessThan">
      <formula>$E$21</formula>
    </cfRule>
    <cfRule type="cellIs" dxfId="2990" priority="276" stopIfTrue="1" operator="equal">
      <formula>$E$21</formula>
    </cfRule>
  </conditionalFormatting>
  <conditionalFormatting sqref="F22">
    <cfRule type="cellIs" dxfId="2989" priority="279" stopIfTrue="1" operator="lessThan">
      <formula>$E$22</formula>
    </cfRule>
    <cfRule type="cellIs" dxfId="2988" priority="278" stopIfTrue="1" operator="equal">
      <formula>$E$22</formula>
    </cfRule>
  </conditionalFormatting>
  <conditionalFormatting sqref="F23">
    <cfRule type="cellIs" dxfId="2987" priority="280" stopIfTrue="1" operator="equal">
      <formula>$E$23</formula>
    </cfRule>
    <cfRule type="cellIs" dxfId="2986" priority="281" stopIfTrue="1" operator="lessThan">
      <formula>$E$23</formula>
    </cfRule>
  </conditionalFormatting>
  <conditionalFormatting sqref="F24">
    <cfRule type="cellIs" dxfId="2985" priority="385" stopIfTrue="1" operator="lessThan">
      <formula>$E$24</formula>
    </cfRule>
    <cfRule type="cellIs" dxfId="2984" priority="384" stopIfTrue="1" operator="equal">
      <formula>$E$24</formula>
    </cfRule>
  </conditionalFormatting>
  <conditionalFormatting sqref="F25">
    <cfRule type="cellIs" dxfId="2983" priority="282" stopIfTrue="1" operator="equal">
      <formula>$E$25</formula>
    </cfRule>
    <cfRule type="cellIs" dxfId="2982" priority="283" stopIfTrue="1" operator="lessThan">
      <formula>$E$25</formula>
    </cfRule>
  </conditionalFormatting>
  <conditionalFormatting sqref="F26">
    <cfRule type="cellIs" dxfId="2981" priority="284" stopIfTrue="1" operator="equal">
      <formula>$E$26</formula>
    </cfRule>
    <cfRule type="cellIs" dxfId="2980" priority="285" stopIfTrue="1" operator="lessThan">
      <formula>$E$26</formula>
    </cfRule>
  </conditionalFormatting>
  <conditionalFormatting sqref="F27">
    <cfRule type="cellIs" dxfId="2979" priority="286" stopIfTrue="1" operator="equal">
      <formula>$E$27</formula>
    </cfRule>
    <cfRule type="cellIs" dxfId="2978" priority="287" stopIfTrue="1" operator="lessThan">
      <formula>$E$27</formula>
    </cfRule>
  </conditionalFormatting>
  <conditionalFormatting sqref="F28">
    <cfRule type="cellIs" dxfId="2977" priority="289" stopIfTrue="1" operator="lessThan">
      <formula>$E$28</formula>
    </cfRule>
    <cfRule type="cellIs" dxfId="2976" priority="288" stopIfTrue="1" operator="equal">
      <formula>$E$28</formula>
    </cfRule>
  </conditionalFormatting>
  <conditionalFormatting sqref="F29">
    <cfRule type="cellIs" dxfId="2975" priority="104" stopIfTrue="1" operator="lessThan">
      <formula>$E$29</formula>
    </cfRule>
    <cfRule type="cellIs" dxfId="2974" priority="105" stopIfTrue="1" operator="equal">
      <formula>$E$29</formula>
    </cfRule>
  </conditionalFormatting>
  <conditionalFormatting sqref="G4">
    <cfRule type="cellIs" dxfId="2973" priority="123" stopIfTrue="1" operator="equal">
      <formula>$F$4</formula>
    </cfRule>
    <cfRule type="cellIs" dxfId="2972" priority="124" stopIfTrue="1" operator="lessThan">
      <formula>$F$4</formula>
    </cfRule>
  </conditionalFormatting>
  <conditionalFormatting sqref="G5">
    <cfRule type="cellIs" dxfId="2971" priority="132" stopIfTrue="1" operator="lessThan">
      <formula>$F$5</formula>
    </cfRule>
    <cfRule type="cellIs" dxfId="2970" priority="131" stopIfTrue="1" operator="equal">
      <formula>$F$5</formula>
    </cfRule>
  </conditionalFormatting>
  <conditionalFormatting sqref="G6">
    <cfRule type="cellIs" dxfId="2969" priority="141" stopIfTrue="1" operator="lessThan">
      <formula>$F$6</formula>
    </cfRule>
    <cfRule type="cellIs" dxfId="2968" priority="140" stopIfTrue="1" operator="equal">
      <formula>$F$6</formula>
    </cfRule>
  </conditionalFormatting>
  <conditionalFormatting sqref="G7">
    <cfRule type="cellIs" dxfId="2967" priority="155" stopIfTrue="1" operator="lessThan">
      <formula>$F$7</formula>
    </cfRule>
    <cfRule type="cellIs" dxfId="2966" priority="154" stopIfTrue="1" operator="equal">
      <formula>$F$7</formula>
    </cfRule>
  </conditionalFormatting>
  <conditionalFormatting sqref="G8">
    <cfRule type="cellIs" dxfId="2965" priority="167" stopIfTrue="1" operator="lessThan">
      <formula>$F$8</formula>
    </cfRule>
    <cfRule type="cellIs" dxfId="2964" priority="166" stopIfTrue="1" operator="equal">
      <formula>$F$8</formula>
    </cfRule>
  </conditionalFormatting>
  <conditionalFormatting sqref="G9">
    <cfRule type="cellIs" dxfId="2963" priority="180" stopIfTrue="1" operator="equal">
      <formula>$F$9</formula>
    </cfRule>
    <cfRule type="cellIs" dxfId="2962" priority="181" stopIfTrue="1" operator="lessThan">
      <formula>$F$9</formula>
    </cfRule>
  </conditionalFormatting>
  <conditionalFormatting sqref="G10">
    <cfRule type="cellIs" dxfId="2961" priority="195" stopIfTrue="1" operator="lessThan">
      <formula>$F$10</formula>
    </cfRule>
    <cfRule type="cellIs" dxfId="2960" priority="194" stopIfTrue="1" operator="equal">
      <formula>$F$10</formula>
    </cfRule>
  </conditionalFormatting>
  <conditionalFormatting sqref="G11">
    <cfRule type="cellIs" dxfId="2959" priority="208" stopIfTrue="1" operator="equal">
      <formula>$F$11</formula>
    </cfRule>
    <cfRule type="cellIs" dxfId="2958" priority="209" stopIfTrue="1" operator="lessThan">
      <formula>$F$11</formula>
    </cfRule>
  </conditionalFormatting>
  <conditionalFormatting sqref="G12">
    <cfRule type="cellIs" dxfId="2957" priority="222" stopIfTrue="1" operator="equal">
      <formula>$F$12</formula>
    </cfRule>
    <cfRule type="cellIs" dxfId="2956" priority="223" stopIfTrue="1" operator="lessThan">
      <formula>$F$12</formula>
    </cfRule>
  </conditionalFormatting>
  <conditionalFormatting sqref="G13">
    <cfRule type="cellIs" dxfId="2955" priority="290" stopIfTrue="1" operator="equal">
      <formula>$F$13</formula>
    </cfRule>
    <cfRule type="cellIs" dxfId="2954" priority="291" stopIfTrue="1" operator="lessThan">
      <formula>$F$13</formula>
    </cfRule>
  </conditionalFormatting>
  <conditionalFormatting sqref="G14">
    <cfRule type="cellIs" dxfId="2953" priority="292" stopIfTrue="1" operator="equal">
      <formula>$F$14</formula>
    </cfRule>
    <cfRule type="cellIs" dxfId="2952" priority="293" stopIfTrue="1" operator="lessThan">
      <formula>$F$14</formula>
    </cfRule>
  </conditionalFormatting>
  <conditionalFormatting sqref="G15">
    <cfRule type="cellIs" dxfId="2951" priority="295" stopIfTrue="1" operator="lessThan">
      <formula>$F$15</formula>
    </cfRule>
    <cfRule type="cellIs" dxfId="2950" priority="294" stopIfTrue="1" operator="equal">
      <formula>$F$15</formula>
    </cfRule>
  </conditionalFormatting>
  <conditionalFormatting sqref="G16">
    <cfRule type="cellIs" dxfId="2949" priority="296" stopIfTrue="1" operator="equal">
      <formula>$F$16</formula>
    </cfRule>
    <cfRule type="cellIs" dxfId="2948" priority="297" stopIfTrue="1" operator="lessThan">
      <formula>$F$16</formula>
    </cfRule>
  </conditionalFormatting>
  <conditionalFormatting sqref="G17">
    <cfRule type="cellIs" dxfId="2947" priority="298" stopIfTrue="1" operator="equal">
      <formula>$F$17</formula>
    </cfRule>
    <cfRule type="cellIs" dxfId="2946" priority="299" stopIfTrue="1" operator="lessThan">
      <formula>$F$17</formula>
    </cfRule>
  </conditionalFormatting>
  <conditionalFormatting sqref="G18">
    <cfRule type="cellIs" dxfId="2945" priority="300" stopIfTrue="1" operator="equal">
      <formula>$F$18</formula>
    </cfRule>
    <cfRule type="cellIs" dxfId="2944" priority="301" stopIfTrue="1" operator="lessThan">
      <formula>$F$18</formula>
    </cfRule>
  </conditionalFormatting>
  <conditionalFormatting sqref="G19">
    <cfRule type="cellIs" dxfId="2943" priority="302" stopIfTrue="1" operator="equal">
      <formula>$F$19</formula>
    </cfRule>
    <cfRule type="cellIs" dxfId="2942" priority="303" stopIfTrue="1" operator="lessThan">
      <formula>$F$19</formula>
    </cfRule>
  </conditionalFormatting>
  <conditionalFormatting sqref="G20">
    <cfRule type="cellIs" dxfId="2941" priority="304" stopIfTrue="1" operator="equal">
      <formula>$F$20</formula>
    </cfRule>
    <cfRule type="cellIs" dxfId="2940" priority="305" stopIfTrue="1" operator="lessThan">
      <formula>$F$20</formula>
    </cfRule>
  </conditionalFormatting>
  <conditionalFormatting sqref="G21">
    <cfRule type="cellIs" dxfId="2939" priority="306" stopIfTrue="1" operator="equal">
      <formula>$F$21</formula>
    </cfRule>
    <cfRule type="cellIs" dxfId="2938" priority="307" stopIfTrue="1" operator="lessThan">
      <formula>$F$21</formula>
    </cfRule>
  </conditionalFormatting>
  <conditionalFormatting sqref="G22">
    <cfRule type="cellIs" dxfId="2937" priority="308" stopIfTrue="1" operator="equal">
      <formula>$F$22</formula>
    </cfRule>
    <cfRule type="cellIs" dxfId="2936" priority="309" stopIfTrue="1" operator="lessThan">
      <formula>$F$22</formula>
    </cfRule>
  </conditionalFormatting>
  <conditionalFormatting sqref="G23">
    <cfRule type="cellIs" dxfId="2935" priority="310" stopIfTrue="1" operator="equal">
      <formula>$F$23</formula>
    </cfRule>
    <cfRule type="cellIs" dxfId="2934" priority="311" stopIfTrue="1" operator="lessThan">
      <formula>$F$23</formula>
    </cfRule>
  </conditionalFormatting>
  <conditionalFormatting sqref="G24">
    <cfRule type="cellIs" dxfId="2933" priority="387" stopIfTrue="1" operator="lessThan">
      <formula>$F$24</formula>
    </cfRule>
    <cfRule type="cellIs" dxfId="2932" priority="386" stopIfTrue="1" operator="equal">
      <formula>$F$24</formula>
    </cfRule>
  </conditionalFormatting>
  <conditionalFormatting sqref="G25">
    <cfRule type="cellIs" dxfId="2931" priority="312" stopIfTrue="1" operator="equal">
      <formula>$F$25</formula>
    </cfRule>
    <cfRule type="cellIs" dxfId="2930" priority="313" stopIfTrue="1" operator="lessThan">
      <formula>$F$25</formula>
    </cfRule>
  </conditionalFormatting>
  <conditionalFormatting sqref="G26">
    <cfRule type="cellIs" dxfId="2929" priority="315" stopIfTrue="1" operator="lessThan">
      <formula>$F$26</formula>
    </cfRule>
    <cfRule type="cellIs" dxfId="2928" priority="314" stopIfTrue="1" operator="equal">
      <formula>$F$26</formula>
    </cfRule>
  </conditionalFormatting>
  <conditionalFormatting sqref="G27">
    <cfRule type="cellIs" dxfId="2927" priority="317" stopIfTrue="1" operator="lessThan">
      <formula>$F$27</formula>
    </cfRule>
    <cfRule type="cellIs" dxfId="2926" priority="316" stopIfTrue="1" operator="equal">
      <formula>$F$27</formula>
    </cfRule>
  </conditionalFormatting>
  <conditionalFormatting sqref="G28">
    <cfRule type="cellIs" dxfId="2925" priority="319" stopIfTrue="1" operator="lessThan">
      <formula>$F$28</formula>
    </cfRule>
    <cfRule type="cellIs" dxfId="2924" priority="318" stopIfTrue="1" operator="equal">
      <formula>$F$28</formula>
    </cfRule>
  </conditionalFormatting>
  <conditionalFormatting sqref="G29">
    <cfRule type="cellIs" dxfId="2923" priority="463" stopIfTrue="1" operator="lessThan">
      <formula>$F$29</formula>
    </cfRule>
    <cfRule type="cellIs" dxfId="2922" priority="462" stopIfTrue="1" operator="equal">
      <formula>$F$29</formula>
    </cfRule>
  </conditionalFormatting>
  <conditionalFormatting sqref="H4">
    <cfRule type="cellIs" dxfId="2921" priority="396" stopIfTrue="1" operator="equal">
      <formula>$G$4</formula>
    </cfRule>
  </conditionalFormatting>
  <conditionalFormatting sqref="H5">
    <cfRule type="cellIs" dxfId="2920" priority="395" stopIfTrue="1" operator="lessThan">
      <formula>$G$5</formula>
    </cfRule>
    <cfRule type="cellIs" dxfId="2919" priority="394" stopIfTrue="1" operator="equal">
      <formula>$G$5</formula>
    </cfRule>
  </conditionalFormatting>
  <conditionalFormatting sqref="H6">
    <cfRule type="cellIs" dxfId="2918" priority="143" stopIfTrue="1" operator="lessThan">
      <formula>$G$6</formula>
    </cfRule>
    <cfRule type="cellIs" dxfId="2917" priority="142" stopIfTrue="1" operator="equal">
      <formula>$G$6</formula>
    </cfRule>
  </conditionalFormatting>
  <conditionalFormatting sqref="H7">
    <cfRule type="cellIs" dxfId="2916" priority="115" stopIfTrue="1" operator="equal">
      <formula>$G$7</formula>
    </cfRule>
    <cfRule type="cellIs" dxfId="2915" priority="116" stopIfTrue="1" operator="lessThan">
      <formula>$G$7</formula>
    </cfRule>
  </conditionalFormatting>
  <conditionalFormatting sqref="H8">
    <cfRule type="cellIs" dxfId="2914" priority="169" stopIfTrue="1" operator="lessThan">
      <formula>$G$8</formula>
    </cfRule>
    <cfRule type="cellIs" dxfId="2913" priority="168" stopIfTrue="1" operator="equal">
      <formula>$G$8</formula>
    </cfRule>
  </conditionalFormatting>
  <conditionalFormatting sqref="H9">
    <cfRule type="cellIs" dxfId="2912" priority="183" stopIfTrue="1" operator="lessThan">
      <formula>$G$9</formula>
    </cfRule>
    <cfRule type="cellIs" dxfId="2911" priority="182" stopIfTrue="1" operator="equal">
      <formula>$G$9</formula>
    </cfRule>
  </conditionalFormatting>
  <conditionalFormatting sqref="H10">
    <cfRule type="cellIs" dxfId="2910" priority="197" stopIfTrue="1" operator="lessThan">
      <formula>$G$10</formula>
    </cfRule>
    <cfRule type="cellIs" dxfId="2909" priority="196" stopIfTrue="1" operator="equal">
      <formula>$G$10</formula>
    </cfRule>
  </conditionalFormatting>
  <conditionalFormatting sqref="H11">
    <cfRule type="cellIs" dxfId="2908" priority="211" stopIfTrue="1" operator="lessThan">
      <formula>$G$11</formula>
    </cfRule>
    <cfRule type="cellIs" dxfId="2907" priority="210" stopIfTrue="1" operator="equal">
      <formula>$G$11</formula>
    </cfRule>
  </conditionalFormatting>
  <conditionalFormatting sqref="H12">
    <cfRule type="cellIs" dxfId="2906" priority="225" stopIfTrue="1" operator="lessThan">
      <formula>$G$12</formula>
    </cfRule>
    <cfRule type="cellIs" dxfId="2905" priority="224" stopIfTrue="1" operator="equal">
      <formula>$G$12</formula>
    </cfRule>
  </conditionalFormatting>
  <conditionalFormatting sqref="H13">
    <cfRule type="cellIs" dxfId="2904" priority="320" stopIfTrue="1" operator="equal">
      <formula>$G$13</formula>
    </cfRule>
    <cfRule type="cellIs" dxfId="2903" priority="321" stopIfTrue="1" operator="lessThan">
      <formula>$G$13</formula>
    </cfRule>
  </conditionalFormatting>
  <conditionalFormatting sqref="H14">
    <cfRule type="cellIs" dxfId="2902" priority="322" stopIfTrue="1" operator="equal">
      <formula>$G$14</formula>
    </cfRule>
    <cfRule type="cellIs" dxfId="2901" priority="323" stopIfTrue="1" operator="lessThan">
      <formula>$G$14</formula>
    </cfRule>
  </conditionalFormatting>
  <conditionalFormatting sqref="H15">
    <cfRule type="cellIs" dxfId="2900" priority="324" stopIfTrue="1" operator="equal">
      <formula>$G$15</formula>
    </cfRule>
    <cfRule type="cellIs" dxfId="2899" priority="325" stopIfTrue="1" operator="lessThan">
      <formula>$G$15</formula>
    </cfRule>
  </conditionalFormatting>
  <conditionalFormatting sqref="H16">
    <cfRule type="cellIs" dxfId="2898" priority="327" stopIfTrue="1" operator="lessThan">
      <formula>$G$16</formula>
    </cfRule>
    <cfRule type="cellIs" dxfId="2897" priority="326" stopIfTrue="1" operator="equal">
      <formula>$G$16</formula>
    </cfRule>
  </conditionalFormatting>
  <conditionalFormatting sqref="H17">
    <cfRule type="cellIs" dxfId="2896" priority="329" stopIfTrue="1" operator="lessThan">
      <formula>$G$17</formula>
    </cfRule>
    <cfRule type="cellIs" dxfId="2895" priority="328" stopIfTrue="1" operator="equal">
      <formula>$G$17</formula>
    </cfRule>
  </conditionalFormatting>
  <conditionalFormatting sqref="H18">
    <cfRule type="cellIs" dxfId="2894" priority="330" stopIfTrue="1" operator="equal">
      <formula>$G$18</formula>
    </cfRule>
    <cfRule type="cellIs" dxfId="2893" priority="331" stopIfTrue="1" operator="lessThan">
      <formula>$G$18</formula>
    </cfRule>
  </conditionalFormatting>
  <conditionalFormatting sqref="H19">
    <cfRule type="cellIs" dxfId="2892" priority="332" stopIfTrue="1" operator="equal">
      <formula>$G$19</formula>
    </cfRule>
    <cfRule type="cellIs" dxfId="2891" priority="333" stopIfTrue="1" operator="lessThan">
      <formula>$G$19</formula>
    </cfRule>
  </conditionalFormatting>
  <conditionalFormatting sqref="H20">
    <cfRule type="cellIs" dxfId="2890" priority="334" stopIfTrue="1" operator="equal">
      <formula>$G$20</formula>
    </cfRule>
    <cfRule type="cellIs" dxfId="2889" priority="335" stopIfTrue="1" operator="lessThan">
      <formula>$G$20</formula>
    </cfRule>
  </conditionalFormatting>
  <conditionalFormatting sqref="H21">
    <cfRule type="cellIs" dxfId="2888" priority="336" stopIfTrue="1" operator="equal">
      <formula>$G$21</formula>
    </cfRule>
    <cfRule type="cellIs" dxfId="2887" priority="337" stopIfTrue="1" operator="lessThan">
      <formula>$G$21</formula>
    </cfRule>
  </conditionalFormatting>
  <conditionalFormatting sqref="H22">
    <cfRule type="cellIs" dxfId="2886" priority="338" stopIfTrue="1" operator="equal">
      <formula>$G$22</formula>
    </cfRule>
    <cfRule type="cellIs" dxfId="2885" priority="339" stopIfTrue="1" operator="lessThan">
      <formula>$G$22</formula>
    </cfRule>
  </conditionalFormatting>
  <conditionalFormatting sqref="H23">
    <cfRule type="cellIs" dxfId="2884" priority="340" stopIfTrue="1" operator="equal">
      <formula>$G$23</formula>
    </cfRule>
    <cfRule type="cellIs" dxfId="2883" priority="341" stopIfTrue="1" operator="lessThan">
      <formula>$G$23</formula>
    </cfRule>
  </conditionalFormatting>
  <conditionalFormatting sqref="H24">
    <cfRule type="cellIs" dxfId="2882" priority="389" stopIfTrue="1" operator="lessThan">
      <formula>$G$24</formula>
    </cfRule>
    <cfRule type="cellIs" dxfId="2881" priority="388" stopIfTrue="1" operator="equal">
      <formula>$G$24</formula>
    </cfRule>
  </conditionalFormatting>
  <conditionalFormatting sqref="H25">
    <cfRule type="cellIs" dxfId="2880" priority="342" stopIfTrue="1" operator="equal">
      <formula>$G$25</formula>
    </cfRule>
    <cfRule type="cellIs" dxfId="2879" priority="343" stopIfTrue="1" operator="lessThan">
      <formula>$G$25</formula>
    </cfRule>
  </conditionalFormatting>
  <conditionalFormatting sqref="H26">
    <cfRule type="cellIs" dxfId="2878" priority="345" stopIfTrue="1" operator="lessThan">
      <formula>$G$26</formula>
    </cfRule>
    <cfRule type="cellIs" dxfId="2877" priority="344" stopIfTrue="1" operator="equal">
      <formula>$G$26</formula>
    </cfRule>
  </conditionalFormatting>
  <conditionalFormatting sqref="H27">
    <cfRule type="cellIs" dxfId="2876" priority="346" stopIfTrue="1" operator="equal">
      <formula>$G$27</formula>
    </cfRule>
    <cfRule type="cellIs" dxfId="2875" priority="347" stopIfTrue="1" operator="lessThan">
      <formula>$G$27</formula>
    </cfRule>
  </conditionalFormatting>
  <conditionalFormatting sqref="H28">
    <cfRule type="cellIs" dxfId="2874" priority="348" stopIfTrue="1" operator="equal">
      <formula>$G$28</formula>
    </cfRule>
    <cfRule type="cellIs" dxfId="2873" priority="349" stopIfTrue="1" operator="lessThan">
      <formula>$G$28</formula>
    </cfRule>
  </conditionalFormatting>
  <conditionalFormatting sqref="H29">
    <cfRule type="cellIs" dxfId="2872" priority="464" stopIfTrue="1" operator="equal">
      <formula>$G$29</formula>
    </cfRule>
    <cfRule type="cellIs" dxfId="2871" priority="465" stopIfTrue="1" operator="lessThan">
      <formula>$G$29</formula>
    </cfRule>
  </conditionalFormatting>
  <conditionalFormatting sqref="I4">
    <cfRule type="cellIs" dxfId="2870" priority="114" stopIfTrue="1" operator="equal">
      <formula>$H$4</formula>
    </cfRule>
    <cfRule type="cellIs" dxfId="2869" priority="113" stopIfTrue="1" operator="lessThan">
      <formula>$H$4</formula>
    </cfRule>
  </conditionalFormatting>
  <conditionalFormatting sqref="I5">
    <cfRule type="cellIs" dxfId="2868" priority="117" stopIfTrue="1" operator="equal">
      <formula>$H$5</formula>
    </cfRule>
    <cfRule type="cellIs" dxfId="2867" priority="118" stopIfTrue="1" operator="lessThan">
      <formula>$H$5</formula>
    </cfRule>
  </conditionalFormatting>
  <conditionalFormatting sqref="I6">
    <cfRule type="cellIs" dxfId="2866" priority="144" stopIfTrue="1" operator="equal">
      <formula>$H$6</formula>
    </cfRule>
    <cfRule type="cellIs" dxfId="2865" priority="145" stopIfTrue="1" operator="lessThan">
      <formula>$H$6</formula>
    </cfRule>
  </conditionalFormatting>
  <conditionalFormatting sqref="I7">
    <cfRule type="cellIs" dxfId="2864" priority="157" stopIfTrue="1" operator="lessThan">
      <formula>$H$7</formula>
    </cfRule>
    <cfRule type="cellIs" dxfId="2863" priority="156" stopIfTrue="1" operator="equal">
      <formula>$H$7</formula>
    </cfRule>
  </conditionalFormatting>
  <conditionalFormatting sqref="I8">
    <cfRule type="cellIs" dxfId="2862" priority="170" stopIfTrue="1" operator="equal">
      <formula>$H$8</formula>
    </cfRule>
    <cfRule type="cellIs" dxfId="2861" priority="171" stopIfTrue="1" operator="lessThan">
      <formula>$H$8</formula>
    </cfRule>
  </conditionalFormatting>
  <conditionalFormatting sqref="I9">
    <cfRule type="cellIs" dxfId="2860" priority="184" stopIfTrue="1" operator="equal">
      <formula>$H$9</formula>
    </cfRule>
    <cfRule type="cellIs" dxfId="2859" priority="185" stopIfTrue="1" operator="lessThan">
      <formula>$H$9</formula>
    </cfRule>
  </conditionalFormatting>
  <conditionalFormatting sqref="I10">
    <cfRule type="cellIs" dxfId="2858" priority="199" stopIfTrue="1" operator="lessThan">
      <formula>$H$10</formula>
    </cfRule>
    <cfRule type="cellIs" dxfId="2857" priority="198" stopIfTrue="1" operator="equal">
      <formula>$H$10</formula>
    </cfRule>
  </conditionalFormatting>
  <conditionalFormatting sqref="I11">
    <cfRule type="cellIs" dxfId="2856" priority="213" stopIfTrue="1" operator="lessThan">
      <formula>$H$11</formula>
    </cfRule>
    <cfRule type="cellIs" dxfId="2855" priority="212" stopIfTrue="1" operator="equal">
      <formula>$H$11</formula>
    </cfRule>
  </conditionalFormatting>
  <conditionalFormatting sqref="I12">
    <cfRule type="cellIs" dxfId="2854" priority="227" stopIfTrue="1" operator="lessThan">
      <formula>$H$12</formula>
    </cfRule>
    <cfRule type="cellIs" dxfId="2853" priority="226" stopIfTrue="1" operator="equal">
      <formula>$H$12</formula>
    </cfRule>
  </conditionalFormatting>
  <conditionalFormatting sqref="I13">
    <cfRule type="cellIs" dxfId="2852" priority="353" stopIfTrue="1" operator="lessThan">
      <formula>$H$13</formula>
    </cfRule>
    <cfRule type="cellIs" dxfId="2851" priority="352" stopIfTrue="1" operator="equal">
      <formula>$H$13</formula>
    </cfRule>
  </conditionalFormatting>
  <conditionalFormatting sqref="I14">
    <cfRule type="cellIs" dxfId="2850" priority="354" stopIfTrue="1" operator="equal">
      <formula>$H$14</formula>
    </cfRule>
    <cfRule type="cellIs" dxfId="2849" priority="355" stopIfTrue="1" operator="lessThan">
      <formula>$H$14</formula>
    </cfRule>
  </conditionalFormatting>
  <conditionalFormatting sqref="I15">
    <cfRule type="cellIs" dxfId="2848" priority="356" stopIfTrue="1" operator="equal">
      <formula>$H$15</formula>
    </cfRule>
    <cfRule type="cellIs" dxfId="2847" priority="357" stopIfTrue="1" operator="lessThan">
      <formula>$H$15</formula>
    </cfRule>
  </conditionalFormatting>
  <conditionalFormatting sqref="I16">
    <cfRule type="cellIs" dxfId="2846" priority="359" stopIfTrue="1" operator="lessThan">
      <formula>$H$16</formula>
    </cfRule>
    <cfRule type="cellIs" dxfId="2845" priority="358" stopIfTrue="1" operator="equal">
      <formula>$H$16</formula>
    </cfRule>
  </conditionalFormatting>
  <conditionalFormatting sqref="I17">
    <cfRule type="cellIs" dxfId="2844" priority="360" stopIfTrue="1" operator="equal">
      <formula>$H$17</formula>
    </cfRule>
    <cfRule type="cellIs" dxfId="2843" priority="361" stopIfTrue="1" operator="lessThan">
      <formula>$H$17</formula>
    </cfRule>
  </conditionalFormatting>
  <conditionalFormatting sqref="I18">
    <cfRule type="cellIs" dxfId="2842" priority="363" stopIfTrue="1" operator="lessThan">
      <formula>$H$18</formula>
    </cfRule>
    <cfRule type="cellIs" dxfId="2841" priority="362" stopIfTrue="1" operator="equal">
      <formula>$H$18</formula>
    </cfRule>
  </conditionalFormatting>
  <conditionalFormatting sqref="I19">
    <cfRule type="cellIs" dxfId="2840" priority="364" stopIfTrue="1" operator="equal">
      <formula>$H$19</formula>
    </cfRule>
    <cfRule type="cellIs" dxfId="2839" priority="365" stopIfTrue="1" operator="lessThan">
      <formula>$H$19</formula>
    </cfRule>
  </conditionalFormatting>
  <conditionalFormatting sqref="I20">
    <cfRule type="cellIs" dxfId="2838" priority="367" stopIfTrue="1" operator="lessThan">
      <formula>$H$20</formula>
    </cfRule>
    <cfRule type="cellIs" dxfId="2837" priority="366" stopIfTrue="1" operator="equal">
      <formula>$H$20</formula>
    </cfRule>
  </conditionalFormatting>
  <conditionalFormatting sqref="I21">
    <cfRule type="cellIs" dxfId="2836" priority="368" stopIfTrue="1" operator="equal">
      <formula>$H$21</formula>
    </cfRule>
    <cfRule type="cellIs" dxfId="2835" priority="369" stopIfTrue="1" operator="lessThan">
      <formula>$H$21</formula>
    </cfRule>
  </conditionalFormatting>
  <conditionalFormatting sqref="I22">
    <cfRule type="cellIs" dxfId="2834" priority="371" stopIfTrue="1" operator="lessThan">
      <formula>$H$22</formula>
    </cfRule>
    <cfRule type="cellIs" dxfId="2833" priority="370" stopIfTrue="1" operator="equal">
      <formula>$H$22</formula>
    </cfRule>
  </conditionalFormatting>
  <conditionalFormatting sqref="I23">
    <cfRule type="cellIs" dxfId="2832" priority="373" stopIfTrue="1" operator="lessThan">
      <formula>$H$23</formula>
    </cfRule>
    <cfRule type="cellIs" dxfId="2831" priority="372" stopIfTrue="1" operator="equal">
      <formula>$H$23</formula>
    </cfRule>
  </conditionalFormatting>
  <conditionalFormatting sqref="I24">
    <cfRule type="cellIs" dxfId="2830" priority="390" stopIfTrue="1" operator="equal">
      <formula>$H$24</formula>
    </cfRule>
    <cfRule type="cellIs" dxfId="2829" priority="391" stopIfTrue="1" operator="lessThan">
      <formula>$H$24</formula>
    </cfRule>
  </conditionalFormatting>
  <conditionalFormatting sqref="I25">
    <cfRule type="cellIs" dxfId="2828" priority="375" stopIfTrue="1" operator="lessThan">
      <formula>$H$25</formula>
    </cfRule>
    <cfRule type="cellIs" dxfId="2827" priority="374" stopIfTrue="1" operator="equal">
      <formula>$H$25</formula>
    </cfRule>
  </conditionalFormatting>
  <conditionalFormatting sqref="I26">
    <cfRule type="cellIs" dxfId="2826" priority="376" stopIfTrue="1" operator="equal">
      <formula>$H$26</formula>
    </cfRule>
    <cfRule type="cellIs" dxfId="2825" priority="377" stopIfTrue="1" operator="lessThan">
      <formula>$H$26</formula>
    </cfRule>
  </conditionalFormatting>
  <conditionalFormatting sqref="I27">
    <cfRule type="cellIs" dxfId="2824" priority="378" stopIfTrue="1" operator="equal">
      <formula>$H$27</formula>
    </cfRule>
    <cfRule type="cellIs" dxfId="2823" priority="379" stopIfTrue="1" operator="lessThan">
      <formula>$H$27</formula>
    </cfRule>
  </conditionalFormatting>
  <conditionalFormatting sqref="I28">
    <cfRule type="cellIs" dxfId="2822" priority="380" stopIfTrue="1" operator="equal">
      <formula>$H$28</formula>
    </cfRule>
    <cfRule type="cellIs" dxfId="2821" priority="381" stopIfTrue="1" operator="lessThan">
      <formula>$H$28</formula>
    </cfRule>
  </conditionalFormatting>
  <conditionalFormatting sqref="I29">
    <cfRule type="cellIs" dxfId="2820" priority="466" stopIfTrue="1" operator="equal">
      <formula>$H$29</formula>
    </cfRule>
    <cfRule type="cellIs" dxfId="2819" priority="467" stopIfTrue="1" operator="lessThan">
      <formula>$H$29</formula>
    </cfRule>
  </conditionalFormatting>
  <conditionalFormatting sqref="J4">
    <cfRule type="cellIs" dxfId="2818" priority="133" stopIfTrue="1" operator="equal">
      <formula>$I$4</formula>
    </cfRule>
  </conditionalFormatting>
  <conditionalFormatting sqref="J5">
    <cfRule type="cellIs" dxfId="2817" priority="119" stopIfTrue="1" operator="equal">
      <formula>$I$5</formula>
    </cfRule>
    <cfRule type="cellIs" dxfId="2816" priority="120" stopIfTrue="1" operator="lessThan">
      <formula>$I$5</formula>
    </cfRule>
  </conditionalFormatting>
  <conditionalFormatting sqref="J6">
    <cfRule type="cellIs" dxfId="2815" priority="147" stopIfTrue="1" operator="lessThan">
      <formula>$I$6</formula>
    </cfRule>
    <cfRule type="cellIs" dxfId="2814" priority="146" stopIfTrue="1" operator="equal">
      <formula>$I$6</formula>
    </cfRule>
  </conditionalFormatting>
  <conditionalFormatting sqref="J7">
    <cfRule type="cellIs" dxfId="2813" priority="158" stopIfTrue="1" operator="equal">
      <formula>$I$7</formula>
    </cfRule>
    <cfRule type="cellIs" dxfId="2812" priority="159" stopIfTrue="1" operator="lessThan">
      <formula>$I$7</formula>
    </cfRule>
  </conditionalFormatting>
  <conditionalFormatting sqref="J8">
    <cfRule type="cellIs" dxfId="2811" priority="172" stopIfTrue="1" operator="equal">
      <formula>$I$8</formula>
    </cfRule>
    <cfRule type="cellIs" dxfId="2810" priority="173" stopIfTrue="1" operator="lessThan">
      <formula>$I$8</formula>
    </cfRule>
  </conditionalFormatting>
  <conditionalFormatting sqref="J9">
    <cfRule type="cellIs" dxfId="2809" priority="186" stopIfTrue="1" operator="equal">
      <formula>$I$9</formula>
    </cfRule>
    <cfRule type="cellIs" dxfId="2808" priority="187" stopIfTrue="1" operator="lessThan">
      <formula>$I$9</formula>
    </cfRule>
  </conditionalFormatting>
  <conditionalFormatting sqref="J10">
    <cfRule type="cellIs" dxfId="2807" priority="201" stopIfTrue="1" operator="lessThan">
      <formula>$I$10</formula>
    </cfRule>
    <cfRule type="cellIs" dxfId="2806" priority="200" stopIfTrue="1" operator="equal">
      <formula>$I$10</formula>
    </cfRule>
  </conditionalFormatting>
  <conditionalFormatting sqref="J11">
    <cfRule type="cellIs" dxfId="2805" priority="214" stopIfTrue="1" operator="equal">
      <formula>$I$11</formula>
    </cfRule>
    <cfRule type="cellIs" dxfId="2804" priority="215" stopIfTrue="1" operator="lessThan">
      <formula>$I$11</formula>
    </cfRule>
  </conditionalFormatting>
  <conditionalFormatting sqref="J12">
    <cfRule type="cellIs" dxfId="2803" priority="228" stopIfTrue="1" operator="equal">
      <formula>$I$12</formula>
    </cfRule>
    <cfRule type="cellIs" dxfId="2802" priority="229" stopIfTrue="1" operator="lessThan">
      <formula>$I$12</formula>
    </cfRule>
  </conditionalFormatting>
  <conditionalFormatting sqref="J13">
    <cfRule type="cellIs" dxfId="2801" priority="397" stopIfTrue="1" operator="equal">
      <formula>$I$13</formula>
    </cfRule>
    <cfRule type="cellIs" dxfId="2800" priority="398" stopIfTrue="1" operator="lessThan">
      <formula>$I$13</formula>
    </cfRule>
  </conditionalFormatting>
  <conditionalFormatting sqref="J14">
    <cfRule type="cellIs" dxfId="2799" priority="400" stopIfTrue="1" operator="lessThan">
      <formula>$I$14</formula>
    </cfRule>
    <cfRule type="cellIs" dxfId="2798" priority="399" stopIfTrue="1" operator="equal">
      <formula>$I$14</formula>
    </cfRule>
  </conditionalFormatting>
  <conditionalFormatting sqref="J15">
    <cfRule type="cellIs" dxfId="2797" priority="402" stopIfTrue="1" operator="lessThan">
      <formula>$I$15</formula>
    </cfRule>
    <cfRule type="cellIs" dxfId="2796" priority="401" stopIfTrue="1" operator="equal">
      <formula>$I$15</formula>
    </cfRule>
  </conditionalFormatting>
  <conditionalFormatting sqref="J16">
    <cfRule type="cellIs" dxfId="2795" priority="404" stopIfTrue="1" operator="lessThan">
      <formula>$I$16</formula>
    </cfRule>
    <cfRule type="cellIs" dxfId="2794" priority="403" stopIfTrue="1" operator="equal">
      <formula>$I$16</formula>
    </cfRule>
  </conditionalFormatting>
  <conditionalFormatting sqref="J17">
    <cfRule type="cellIs" dxfId="2793" priority="405" stopIfTrue="1" operator="equal">
      <formula>$I$17</formula>
    </cfRule>
    <cfRule type="cellIs" dxfId="2792" priority="406" stopIfTrue="1" operator="lessThan">
      <formula>$I$17</formula>
    </cfRule>
  </conditionalFormatting>
  <conditionalFormatting sqref="J18">
    <cfRule type="cellIs" dxfId="2791" priority="408" stopIfTrue="1" operator="lessThan">
      <formula>$I$18</formula>
    </cfRule>
    <cfRule type="cellIs" dxfId="2790" priority="407" stopIfTrue="1" operator="equal">
      <formula>$I$18</formula>
    </cfRule>
  </conditionalFormatting>
  <conditionalFormatting sqref="J19">
    <cfRule type="cellIs" dxfId="2789" priority="410" stopIfTrue="1" operator="lessThan">
      <formula>$I$19</formula>
    </cfRule>
    <cfRule type="cellIs" dxfId="2788" priority="409" stopIfTrue="1" operator="equal">
      <formula>$I$19</formula>
    </cfRule>
  </conditionalFormatting>
  <conditionalFormatting sqref="J20">
    <cfRule type="cellIs" dxfId="2787" priority="412" stopIfTrue="1" operator="lessThan">
      <formula>$I$20</formula>
    </cfRule>
    <cfRule type="cellIs" dxfId="2786" priority="411" stopIfTrue="1" operator="equal">
      <formula>$I$20</formula>
    </cfRule>
  </conditionalFormatting>
  <conditionalFormatting sqref="J21">
    <cfRule type="cellIs" dxfId="2785" priority="414" stopIfTrue="1" operator="lessThan">
      <formula>$I$21</formula>
    </cfRule>
    <cfRule type="cellIs" dxfId="2784" priority="413" stopIfTrue="1" operator="equal">
      <formula>$I$21</formula>
    </cfRule>
  </conditionalFormatting>
  <conditionalFormatting sqref="J22">
    <cfRule type="cellIs" dxfId="2783" priority="416" stopIfTrue="1" operator="lessThan">
      <formula>$I$22</formula>
    </cfRule>
    <cfRule type="cellIs" dxfId="2782" priority="415" stopIfTrue="1" operator="equal">
      <formula>$I$22</formula>
    </cfRule>
  </conditionalFormatting>
  <conditionalFormatting sqref="J23">
    <cfRule type="cellIs" dxfId="2781" priority="418" stopIfTrue="1" operator="lessThan">
      <formula>$I$23</formula>
    </cfRule>
    <cfRule type="cellIs" dxfId="2780" priority="417" stopIfTrue="1" operator="equal">
      <formula>$I$23</formula>
    </cfRule>
  </conditionalFormatting>
  <conditionalFormatting sqref="J24">
    <cfRule type="cellIs" dxfId="2779" priority="419" stopIfTrue="1" operator="equal">
      <formula>$I$24</formula>
    </cfRule>
    <cfRule type="cellIs" dxfId="2778" priority="420" stopIfTrue="1" operator="lessThan">
      <formula>$I$24</formula>
    </cfRule>
  </conditionalFormatting>
  <conditionalFormatting sqref="J25">
    <cfRule type="cellIs" dxfId="2777" priority="421" stopIfTrue="1" operator="equal">
      <formula>$I$25</formula>
    </cfRule>
    <cfRule type="cellIs" dxfId="2776" priority="422" stopIfTrue="1" operator="lessThan">
      <formula>$I$25</formula>
    </cfRule>
  </conditionalFormatting>
  <conditionalFormatting sqref="J26">
    <cfRule type="cellIs" dxfId="2775" priority="423" stopIfTrue="1" operator="equal">
      <formula>$I$26</formula>
    </cfRule>
    <cfRule type="cellIs" dxfId="2774" priority="424" stopIfTrue="1" operator="lessThan">
      <formula>$I$26</formula>
    </cfRule>
  </conditionalFormatting>
  <conditionalFormatting sqref="J27">
    <cfRule type="cellIs" dxfId="2773" priority="425" stopIfTrue="1" operator="equal">
      <formula>$I$27</formula>
    </cfRule>
    <cfRule type="cellIs" dxfId="2772" priority="426" stopIfTrue="1" operator="lessThan">
      <formula>$I$27</formula>
    </cfRule>
  </conditionalFormatting>
  <conditionalFormatting sqref="J28">
    <cfRule type="cellIs" dxfId="2771" priority="428" stopIfTrue="1" operator="equal">
      <formula>$I$28</formula>
    </cfRule>
    <cfRule type="cellIs" dxfId="2770" priority="429" stopIfTrue="1" operator="lessThan">
      <formula>$I$28</formula>
    </cfRule>
  </conditionalFormatting>
  <conditionalFormatting sqref="J29">
    <cfRule type="cellIs" dxfId="2769" priority="109" stopIfTrue="1" operator="equal">
      <formula>$I$29</formula>
    </cfRule>
    <cfRule type="cellIs" dxfId="2768" priority="110" stopIfTrue="1" operator="lessThan">
      <formula>$I$29</formula>
    </cfRule>
  </conditionalFormatting>
  <conditionalFormatting sqref="K4">
    <cfRule type="cellIs" dxfId="2767" priority="134" stopIfTrue="1" operator="lessThan">
      <formula>$J$4</formula>
    </cfRule>
    <cfRule type="cellIs" dxfId="2766" priority="135" stopIfTrue="1" operator="equal">
      <formula>$J$4</formula>
    </cfRule>
  </conditionalFormatting>
  <conditionalFormatting sqref="K5">
    <cfRule type="cellIs" dxfId="2765" priority="121" stopIfTrue="1" operator="equal">
      <formula>$J$5</formula>
    </cfRule>
    <cfRule type="cellIs" dxfId="2764" priority="122" stopIfTrue="1" operator="lessThan">
      <formula>$J$5</formula>
    </cfRule>
  </conditionalFormatting>
  <conditionalFormatting sqref="K6">
    <cfRule type="cellIs" dxfId="2763" priority="148" stopIfTrue="1" operator="equal">
      <formula>$J$6</formula>
    </cfRule>
    <cfRule type="cellIs" dxfId="2762" priority="149" stopIfTrue="1" operator="lessThan">
      <formula>$J$6</formula>
    </cfRule>
  </conditionalFormatting>
  <conditionalFormatting sqref="K7">
    <cfRule type="cellIs" dxfId="2761" priority="160" stopIfTrue="1" operator="equal">
      <formula>$J$7</formula>
    </cfRule>
    <cfRule type="cellIs" dxfId="2760" priority="161" stopIfTrue="1" operator="lessThan">
      <formula>$J$7</formula>
    </cfRule>
  </conditionalFormatting>
  <conditionalFormatting sqref="K8">
    <cfRule type="cellIs" dxfId="2759" priority="174" stopIfTrue="1" operator="equal">
      <formula>$J$8</formula>
    </cfRule>
    <cfRule type="cellIs" dxfId="2758" priority="175" stopIfTrue="1" operator="lessThan">
      <formula>$J$8</formula>
    </cfRule>
  </conditionalFormatting>
  <conditionalFormatting sqref="K9">
    <cfRule type="cellIs" dxfId="2757" priority="188" stopIfTrue="1" operator="equal">
      <formula>$J$9</formula>
    </cfRule>
    <cfRule type="cellIs" dxfId="2756" priority="189" stopIfTrue="1" operator="lessThan">
      <formula>$J$9</formula>
    </cfRule>
  </conditionalFormatting>
  <conditionalFormatting sqref="K10">
    <cfRule type="cellIs" dxfId="2755" priority="203" stopIfTrue="1" operator="lessThan">
      <formula>$J$10</formula>
    </cfRule>
    <cfRule type="cellIs" dxfId="2754" priority="202" stopIfTrue="1" operator="equal">
      <formula>$J$10</formula>
    </cfRule>
  </conditionalFormatting>
  <conditionalFormatting sqref="K11">
    <cfRule type="cellIs" dxfId="2753" priority="217" stopIfTrue="1" operator="lessThan">
      <formula>$J$11</formula>
    </cfRule>
    <cfRule type="cellIs" dxfId="2752" priority="216" stopIfTrue="1" operator="equal">
      <formula>$J$11</formula>
    </cfRule>
  </conditionalFormatting>
  <conditionalFormatting sqref="K12">
    <cfRule type="cellIs" dxfId="2751" priority="231" stopIfTrue="1" operator="lessThan">
      <formula>$J$12</formula>
    </cfRule>
    <cfRule type="cellIs" dxfId="2750" priority="230" stopIfTrue="1" operator="equal">
      <formula>$J$12</formula>
    </cfRule>
  </conditionalFormatting>
  <conditionalFormatting sqref="K13">
    <cfRule type="cellIs" dxfId="2749" priority="430" stopIfTrue="1" operator="equal">
      <formula>$J$13</formula>
    </cfRule>
    <cfRule type="cellIs" dxfId="2748" priority="431" stopIfTrue="1" operator="lessThan">
      <formula>$J$13</formula>
    </cfRule>
  </conditionalFormatting>
  <conditionalFormatting sqref="K14">
    <cfRule type="cellIs" dxfId="2747" priority="432" stopIfTrue="1" operator="equal">
      <formula>$J$14</formula>
    </cfRule>
    <cfRule type="cellIs" dxfId="2746" priority="433" stopIfTrue="1" operator="lessThan">
      <formula>$J$14</formula>
    </cfRule>
  </conditionalFormatting>
  <conditionalFormatting sqref="K15">
    <cfRule type="cellIs" dxfId="2745" priority="434" stopIfTrue="1" operator="equal">
      <formula>$J$15</formula>
    </cfRule>
    <cfRule type="cellIs" dxfId="2744" priority="435" stopIfTrue="1" operator="lessThan">
      <formula>$J$15</formula>
    </cfRule>
  </conditionalFormatting>
  <conditionalFormatting sqref="K16">
    <cfRule type="cellIs" dxfId="2743" priority="437" stopIfTrue="1" operator="lessThan">
      <formula>$J$16</formula>
    </cfRule>
    <cfRule type="cellIs" dxfId="2742" priority="436" stopIfTrue="1" operator="equal">
      <formula>$J$16</formula>
    </cfRule>
  </conditionalFormatting>
  <conditionalFormatting sqref="K17">
    <cfRule type="cellIs" dxfId="2741" priority="439" stopIfTrue="1" operator="lessThan">
      <formula>$J$17</formula>
    </cfRule>
    <cfRule type="cellIs" dxfId="2740" priority="438" stopIfTrue="1" operator="equal">
      <formula>$J$17</formula>
    </cfRule>
  </conditionalFormatting>
  <conditionalFormatting sqref="K18">
    <cfRule type="cellIs" dxfId="2739" priority="440" stopIfTrue="1" operator="equal">
      <formula>$J$18</formula>
    </cfRule>
    <cfRule type="cellIs" dxfId="2738" priority="441" stopIfTrue="1" operator="lessThan">
      <formula>$J$18</formula>
    </cfRule>
  </conditionalFormatting>
  <conditionalFormatting sqref="K19">
    <cfRule type="cellIs" dxfId="2737" priority="442" stopIfTrue="1" operator="equal">
      <formula>$J$19</formula>
    </cfRule>
    <cfRule type="cellIs" dxfId="2736" priority="443" stopIfTrue="1" operator="lessThan">
      <formula>$J$19</formula>
    </cfRule>
  </conditionalFormatting>
  <conditionalFormatting sqref="K20">
    <cfRule type="cellIs" dxfId="2735" priority="444" stopIfTrue="1" operator="equal">
      <formula>$J$20</formula>
    </cfRule>
    <cfRule type="cellIs" dxfId="2734" priority="445" stopIfTrue="1" operator="lessThan">
      <formula>$J$20</formula>
    </cfRule>
  </conditionalFormatting>
  <conditionalFormatting sqref="K21">
    <cfRule type="cellIs" dxfId="2733" priority="446" stopIfTrue="1" operator="equal">
      <formula>$J$21</formula>
    </cfRule>
    <cfRule type="cellIs" dxfId="2732" priority="447" stopIfTrue="1" operator="lessThan">
      <formula>$J$21</formula>
    </cfRule>
  </conditionalFormatting>
  <conditionalFormatting sqref="K22">
    <cfRule type="cellIs" dxfId="2731" priority="448" stopIfTrue="1" operator="equal">
      <formula>$J$22</formula>
    </cfRule>
    <cfRule type="cellIs" dxfId="2730" priority="449" stopIfTrue="1" operator="lessThan">
      <formula>$J$22</formula>
    </cfRule>
  </conditionalFormatting>
  <conditionalFormatting sqref="K23">
    <cfRule type="cellIs" dxfId="2729" priority="450" stopIfTrue="1" operator="equal">
      <formula>$J$23</formula>
    </cfRule>
    <cfRule type="cellIs" dxfId="2728" priority="451" stopIfTrue="1" operator="lessThan">
      <formula>$J$23</formula>
    </cfRule>
  </conditionalFormatting>
  <conditionalFormatting sqref="K24">
    <cfRule type="cellIs" dxfId="2727" priority="452" stopIfTrue="1" operator="equal">
      <formula>$J$24</formula>
    </cfRule>
    <cfRule type="cellIs" dxfId="2726" priority="453" stopIfTrue="1" operator="lessThan">
      <formula>$J$24</formula>
    </cfRule>
  </conditionalFormatting>
  <conditionalFormatting sqref="K25">
    <cfRule type="cellIs" dxfId="2725" priority="454" stopIfTrue="1" operator="equal">
      <formula>$J$25</formula>
    </cfRule>
    <cfRule type="cellIs" dxfId="2724" priority="455" stopIfTrue="1" operator="lessThan">
      <formula>$J$25</formula>
    </cfRule>
  </conditionalFormatting>
  <conditionalFormatting sqref="K26">
    <cfRule type="cellIs" dxfId="2723" priority="457" stopIfTrue="1" operator="lessThan">
      <formula>$J$26</formula>
    </cfRule>
    <cfRule type="cellIs" dxfId="2722" priority="456" stopIfTrue="1" operator="equal">
      <formula>$J$26</formula>
    </cfRule>
  </conditionalFormatting>
  <conditionalFormatting sqref="K27">
    <cfRule type="cellIs" dxfId="2721" priority="459" stopIfTrue="1" operator="lessThan">
      <formula>$J$27</formula>
    </cfRule>
    <cfRule type="cellIs" dxfId="2720" priority="458" stopIfTrue="1" operator="equal">
      <formula>$J$27</formula>
    </cfRule>
  </conditionalFormatting>
  <conditionalFormatting sqref="K28">
    <cfRule type="cellIs" dxfId="2719" priority="460" stopIfTrue="1" operator="equal">
      <formula>$J$28</formula>
    </cfRule>
    <cfRule type="cellIs" dxfId="2718" priority="461" stopIfTrue="1" operator="lessThan">
      <formula>$J$28</formula>
    </cfRule>
  </conditionalFormatting>
  <conditionalFormatting sqref="K29">
    <cfRule type="cellIs" dxfId="2717" priority="111" stopIfTrue="1" operator="equal">
      <formula>$J$29</formula>
    </cfRule>
    <cfRule type="cellIs" dxfId="2716" priority="112" stopIfTrue="1" operator="lessThan">
      <formula>$J$29</formula>
    </cfRule>
  </conditionalFormatting>
  <conditionalFormatting sqref="L4">
    <cfRule type="cellIs" dxfId="2715" priority="468" stopIfTrue="1" operator="equal">
      <formula>$K$4</formula>
    </cfRule>
    <cfRule type="cellIs" dxfId="2714" priority="469" stopIfTrue="1" operator="lessThan">
      <formula>$K$4</formula>
    </cfRule>
  </conditionalFormatting>
  <conditionalFormatting sqref="L5">
    <cfRule type="cellIs" dxfId="2713" priority="470" stopIfTrue="1" operator="equal">
      <formula>$K$5</formula>
    </cfRule>
    <cfRule type="cellIs" dxfId="2712" priority="471" stopIfTrue="1" operator="lessThan">
      <formula>$K$5</formula>
    </cfRule>
  </conditionalFormatting>
  <conditionalFormatting sqref="L6">
    <cfRule type="cellIs" dxfId="2711" priority="472" stopIfTrue="1" operator="equal">
      <formula>$K$6</formula>
    </cfRule>
    <cfRule type="cellIs" dxfId="2710" priority="473" stopIfTrue="1" operator="lessThan">
      <formula>$K$6</formula>
    </cfRule>
  </conditionalFormatting>
  <conditionalFormatting sqref="L7">
    <cfRule type="cellIs" dxfId="2709" priority="475" stopIfTrue="1" operator="lessThan">
      <formula>$K$7</formula>
    </cfRule>
    <cfRule type="cellIs" dxfId="2708" priority="474" stopIfTrue="1" operator="equal">
      <formula>$K$7</formula>
    </cfRule>
  </conditionalFormatting>
  <conditionalFormatting sqref="L8">
    <cfRule type="cellIs" dxfId="2707" priority="477" stopIfTrue="1" operator="lessThan">
      <formula>$K$8</formula>
    </cfRule>
    <cfRule type="cellIs" dxfId="2706" priority="476" stopIfTrue="1" operator="equal">
      <formula>$K$8</formula>
    </cfRule>
  </conditionalFormatting>
  <conditionalFormatting sqref="L9">
    <cfRule type="cellIs" dxfId="2705" priority="478" stopIfTrue="1" operator="equal">
      <formula>$K$9</formula>
    </cfRule>
    <cfRule type="cellIs" dxfId="2704" priority="479" stopIfTrue="1" operator="lessThan">
      <formula>$K$9</formula>
    </cfRule>
  </conditionalFormatting>
  <conditionalFormatting sqref="L10">
    <cfRule type="cellIs" dxfId="2703" priority="480" stopIfTrue="1" operator="equal">
      <formula>$K$10</formula>
    </cfRule>
    <cfRule type="cellIs" dxfId="2702" priority="481" stopIfTrue="1" operator="lessThan">
      <formula>$K$10</formula>
    </cfRule>
  </conditionalFormatting>
  <conditionalFormatting sqref="L11">
    <cfRule type="cellIs" dxfId="2701" priority="482" stopIfTrue="1" operator="equal">
      <formula>$K$11</formula>
    </cfRule>
    <cfRule type="cellIs" dxfId="2700" priority="483" stopIfTrue="1" operator="lessThan">
      <formula>$K$11</formula>
    </cfRule>
  </conditionalFormatting>
  <conditionalFormatting sqref="L12">
    <cfRule type="cellIs" dxfId="2699" priority="484" stopIfTrue="1" operator="equal">
      <formula>$K$12</formula>
    </cfRule>
    <cfRule type="cellIs" dxfId="2698" priority="485" stopIfTrue="1" operator="lessThan">
      <formula>$K$12</formula>
    </cfRule>
  </conditionalFormatting>
  <conditionalFormatting sqref="L13">
    <cfRule type="cellIs" dxfId="2697" priority="487" stopIfTrue="1" operator="lessThan">
      <formula>$K$13</formula>
    </cfRule>
    <cfRule type="cellIs" dxfId="2696" priority="486" stopIfTrue="1" operator="equal">
      <formula>$K$13</formula>
    </cfRule>
  </conditionalFormatting>
  <conditionalFormatting sqref="L14">
    <cfRule type="cellIs" dxfId="2695" priority="488" stopIfTrue="1" operator="equal">
      <formula>$K$14</formula>
    </cfRule>
    <cfRule type="cellIs" dxfId="2694" priority="489" stopIfTrue="1" operator="lessThan">
      <formula>$K$14</formula>
    </cfRule>
  </conditionalFormatting>
  <conditionalFormatting sqref="L15">
    <cfRule type="cellIs" dxfId="2693" priority="490" stopIfTrue="1" operator="equal">
      <formula>$K$15</formula>
    </cfRule>
    <cfRule type="cellIs" dxfId="2692" priority="491" stopIfTrue="1" operator="lessThan">
      <formula>$K$15</formula>
    </cfRule>
  </conditionalFormatting>
  <conditionalFormatting sqref="L16">
    <cfRule type="cellIs" dxfId="2691" priority="493" stopIfTrue="1" operator="lessThan">
      <formula>$K$16</formula>
    </cfRule>
    <cfRule type="cellIs" dxfId="2690" priority="492" stopIfTrue="1" operator="equal">
      <formula>$K$16</formula>
    </cfRule>
  </conditionalFormatting>
  <conditionalFormatting sqref="L17">
    <cfRule type="cellIs" dxfId="2689" priority="494" stopIfTrue="1" operator="equal">
      <formula>$K$17</formula>
    </cfRule>
    <cfRule type="cellIs" dxfId="2688" priority="495" stopIfTrue="1" operator="lessThan">
      <formula>$K$17</formula>
    </cfRule>
  </conditionalFormatting>
  <conditionalFormatting sqref="L18">
    <cfRule type="cellIs" dxfId="2687" priority="497" stopIfTrue="1" operator="lessThan">
      <formula>$K$18</formula>
    </cfRule>
    <cfRule type="cellIs" dxfId="2686" priority="496" stopIfTrue="1" operator="equal">
      <formula>$K$18</formula>
    </cfRule>
  </conditionalFormatting>
  <conditionalFormatting sqref="L19">
    <cfRule type="cellIs" dxfId="2685" priority="498" stopIfTrue="1" operator="equal">
      <formula>$K$19</formula>
    </cfRule>
    <cfRule type="cellIs" dxfId="2684" priority="499" stopIfTrue="1" operator="lessThan">
      <formula>$K$19</formula>
    </cfRule>
  </conditionalFormatting>
  <conditionalFormatting sqref="L20">
    <cfRule type="cellIs" dxfId="2683" priority="500" stopIfTrue="1" operator="equal">
      <formula>$K$20</formula>
    </cfRule>
    <cfRule type="cellIs" dxfId="2682" priority="501" stopIfTrue="1" operator="lessThan">
      <formula>$K$20</formula>
    </cfRule>
  </conditionalFormatting>
  <conditionalFormatting sqref="L21">
    <cfRule type="cellIs" dxfId="2681" priority="502" stopIfTrue="1" operator="equal">
      <formula>$K$21</formula>
    </cfRule>
    <cfRule type="cellIs" dxfId="2680" priority="503" stopIfTrue="1" operator="lessThan">
      <formula>$K$21</formula>
    </cfRule>
  </conditionalFormatting>
  <conditionalFormatting sqref="L22">
    <cfRule type="cellIs" dxfId="2679" priority="504" stopIfTrue="1" operator="equal">
      <formula>$K$22</formula>
    </cfRule>
    <cfRule type="cellIs" dxfId="2678" priority="505" stopIfTrue="1" operator="lessThan">
      <formula>$K$22</formula>
    </cfRule>
  </conditionalFormatting>
  <conditionalFormatting sqref="L23">
    <cfRule type="cellIs" dxfId="2677" priority="506" stopIfTrue="1" operator="equal">
      <formula>$K$23</formula>
    </cfRule>
    <cfRule type="cellIs" dxfId="2676" priority="507" stopIfTrue="1" operator="lessThan">
      <formula>$K$23</formula>
    </cfRule>
  </conditionalFormatting>
  <conditionalFormatting sqref="L24">
    <cfRule type="cellIs" dxfId="2675" priority="508" stopIfTrue="1" operator="equal">
      <formula>$K$24</formula>
    </cfRule>
    <cfRule type="cellIs" dxfId="2674" priority="509" stopIfTrue="1" operator="lessThan">
      <formula>$K$24</formula>
    </cfRule>
  </conditionalFormatting>
  <conditionalFormatting sqref="L25">
    <cfRule type="cellIs" dxfId="2673" priority="510" stopIfTrue="1" operator="equal">
      <formula>$K$25</formula>
    </cfRule>
    <cfRule type="cellIs" dxfId="2672" priority="511" stopIfTrue="1" operator="lessThan">
      <formula>$K$25</formula>
    </cfRule>
  </conditionalFormatting>
  <conditionalFormatting sqref="L26">
    <cfRule type="cellIs" dxfId="2671" priority="512" stopIfTrue="1" operator="equal">
      <formula>$K$26</formula>
    </cfRule>
    <cfRule type="cellIs" dxfId="2670" priority="513" stopIfTrue="1" operator="lessThan">
      <formula>$K$26</formula>
    </cfRule>
  </conditionalFormatting>
  <conditionalFormatting sqref="L27">
    <cfRule type="cellIs" dxfId="2669" priority="515" stopIfTrue="1" operator="lessThan">
      <formula>$K$27</formula>
    </cfRule>
    <cfRule type="cellIs" dxfId="2668" priority="514" stopIfTrue="1" operator="equal">
      <formula>$K$27</formula>
    </cfRule>
  </conditionalFormatting>
  <conditionalFormatting sqref="L28">
    <cfRule type="cellIs" dxfId="2667" priority="516" stopIfTrue="1" operator="lessThan">
      <formula>$K$28</formula>
    </cfRule>
    <cfRule type="cellIs" dxfId="2666" priority="517" stopIfTrue="1" operator="equal">
      <formula>$K$28</formula>
    </cfRule>
  </conditionalFormatting>
  <conditionalFormatting sqref="L29">
    <cfRule type="cellIs" dxfId="2665" priority="519" stopIfTrue="1" operator="lessThan">
      <formula>$K$29</formula>
    </cfRule>
    <cfRule type="cellIs" dxfId="2664" priority="518" stopIfTrue="1" operator="equal">
      <formula>$K$29</formula>
    </cfRule>
  </conditionalFormatting>
  <conditionalFormatting sqref="M4">
    <cfRule type="cellIs" dxfId="2663" priority="520" stopIfTrue="1" operator="equal">
      <formula>$L$4</formula>
    </cfRule>
    <cfRule type="cellIs" dxfId="2662" priority="521" stopIfTrue="1" operator="lessThan">
      <formula>$L$4</formula>
    </cfRule>
  </conditionalFormatting>
  <conditionalFormatting sqref="M5">
    <cfRule type="cellIs" dxfId="2661" priority="522" stopIfTrue="1" operator="equal">
      <formula>$L$5</formula>
    </cfRule>
    <cfRule type="cellIs" dxfId="2660" priority="523" stopIfTrue="1" operator="lessThan">
      <formula>$L$5</formula>
    </cfRule>
  </conditionalFormatting>
  <conditionalFormatting sqref="M6">
    <cfRule type="cellIs" dxfId="2659" priority="524" stopIfTrue="1" operator="equal">
      <formula>$L$6</formula>
    </cfRule>
    <cfRule type="cellIs" dxfId="2658" priority="525" stopIfTrue="1" operator="lessThan">
      <formula>$L$6</formula>
    </cfRule>
  </conditionalFormatting>
  <conditionalFormatting sqref="M7">
    <cfRule type="cellIs" dxfId="2657" priority="527" stopIfTrue="1" operator="lessThan">
      <formula>$L$7</formula>
    </cfRule>
    <cfRule type="cellIs" dxfId="2656" priority="526" stopIfTrue="1" operator="equal">
      <formula>$L$7</formula>
    </cfRule>
  </conditionalFormatting>
  <conditionalFormatting sqref="M8">
    <cfRule type="cellIs" dxfId="2655" priority="528" stopIfTrue="1" operator="equal">
      <formula>$L$8</formula>
    </cfRule>
    <cfRule type="cellIs" dxfId="2654" priority="529" stopIfTrue="1" operator="lessThan">
      <formula>$L$8</formula>
    </cfRule>
  </conditionalFormatting>
  <conditionalFormatting sqref="M9">
    <cfRule type="cellIs" dxfId="2653" priority="530" stopIfTrue="1" operator="equal">
      <formula>$L$9</formula>
    </cfRule>
    <cfRule type="cellIs" dxfId="2652" priority="531" stopIfTrue="1" operator="lessThan">
      <formula>$L$9</formula>
    </cfRule>
  </conditionalFormatting>
  <conditionalFormatting sqref="M10">
    <cfRule type="cellIs" dxfId="2651" priority="532" stopIfTrue="1" operator="equal">
      <formula>$L$10</formula>
    </cfRule>
    <cfRule type="cellIs" dxfId="2650" priority="533" stopIfTrue="1" operator="lessThan">
      <formula>$L$10</formula>
    </cfRule>
  </conditionalFormatting>
  <conditionalFormatting sqref="M11">
    <cfRule type="cellIs" dxfId="2649" priority="555" stopIfTrue="1" operator="lessThan">
      <formula>$L$11</formula>
    </cfRule>
    <cfRule type="cellIs" dxfId="2648" priority="554" stopIfTrue="1" operator="equal">
      <formula>$L$11</formula>
    </cfRule>
  </conditionalFormatting>
  <conditionalFormatting sqref="M12">
    <cfRule type="cellIs" dxfId="2647" priority="534" stopIfTrue="1" operator="equal">
      <formula>$L$12</formula>
    </cfRule>
    <cfRule type="cellIs" dxfId="2646" priority="535" stopIfTrue="1" operator="lessThan">
      <formula>$L$12</formula>
    </cfRule>
  </conditionalFormatting>
  <conditionalFormatting sqref="M13">
    <cfRule type="cellIs" dxfId="2645" priority="537" stopIfTrue="1" operator="lessThan">
      <formula>$L$13</formula>
    </cfRule>
    <cfRule type="cellIs" dxfId="2644" priority="536" stopIfTrue="1" operator="equal">
      <formula>$L$13</formula>
    </cfRule>
  </conditionalFormatting>
  <conditionalFormatting sqref="M14">
    <cfRule type="cellIs" dxfId="2643" priority="539" stopIfTrue="1" operator="lessThan">
      <formula>$L$14</formula>
    </cfRule>
    <cfRule type="cellIs" dxfId="2642" priority="538" stopIfTrue="1" operator="equal">
      <formula>$L$14</formula>
    </cfRule>
  </conditionalFormatting>
  <conditionalFormatting sqref="M15">
    <cfRule type="cellIs" dxfId="2641" priority="540" stopIfTrue="1" operator="equal">
      <formula>$L$15</formula>
    </cfRule>
    <cfRule type="cellIs" dxfId="2640" priority="541" stopIfTrue="1" operator="lessThan">
      <formula>$L$15</formula>
    </cfRule>
  </conditionalFormatting>
  <conditionalFormatting sqref="M16">
    <cfRule type="cellIs" dxfId="2639" priority="542" stopIfTrue="1" operator="equal">
      <formula>$L$16</formula>
    </cfRule>
    <cfRule type="cellIs" dxfId="2638" priority="543" stopIfTrue="1" operator="lessThan">
      <formula>$L$16</formula>
    </cfRule>
  </conditionalFormatting>
  <conditionalFormatting sqref="M17">
    <cfRule type="cellIs" dxfId="2637" priority="544" stopIfTrue="1" operator="equal">
      <formula>$L$17</formula>
    </cfRule>
    <cfRule type="cellIs" dxfId="2636" priority="545" stopIfTrue="1" operator="lessThan">
      <formula>$L$17</formula>
    </cfRule>
  </conditionalFormatting>
  <conditionalFormatting sqref="M18">
    <cfRule type="cellIs" dxfId="2635" priority="546" stopIfTrue="1" operator="equal">
      <formula>$L$18</formula>
    </cfRule>
    <cfRule type="cellIs" dxfId="2634" priority="547" stopIfTrue="1" operator="lessThan">
      <formula>$L$18</formula>
    </cfRule>
  </conditionalFormatting>
  <conditionalFormatting sqref="M19">
    <cfRule type="cellIs" dxfId="2633" priority="548" stopIfTrue="1" operator="equal">
      <formula>$L$19</formula>
    </cfRule>
    <cfRule type="cellIs" dxfId="2632" priority="549" stopIfTrue="1" operator="lessThan">
      <formula>$L$19</formula>
    </cfRule>
  </conditionalFormatting>
  <conditionalFormatting sqref="M20">
    <cfRule type="cellIs" dxfId="2631" priority="550" stopIfTrue="1" operator="equal">
      <formula>$L$20</formula>
    </cfRule>
    <cfRule type="cellIs" dxfId="2630" priority="551" stopIfTrue="1" operator="lessThan">
      <formula>$L$20</formula>
    </cfRule>
  </conditionalFormatting>
  <conditionalFormatting sqref="M21">
    <cfRule type="cellIs" dxfId="2629" priority="552" stopIfTrue="1" operator="equal">
      <formula>$L$21</formula>
    </cfRule>
    <cfRule type="cellIs" dxfId="2628" priority="553" stopIfTrue="1" operator="lessThan">
      <formula>$L$21</formula>
    </cfRule>
  </conditionalFormatting>
  <conditionalFormatting sqref="M22">
    <cfRule type="cellIs" dxfId="2627" priority="556" stopIfTrue="1" operator="equal">
      <formula>$L$22</formula>
    </cfRule>
    <cfRule type="cellIs" dxfId="2626" priority="557" stopIfTrue="1" operator="lessThan">
      <formula>$L$22</formula>
    </cfRule>
  </conditionalFormatting>
  <conditionalFormatting sqref="M23">
    <cfRule type="cellIs" dxfId="2625" priority="559" stopIfTrue="1" operator="lessThan">
      <formula>$L$23</formula>
    </cfRule>
    <cfRule type="cellIs" dxfId="2624" priority="558" stopIfTrue="1" operator="equal">
      <formula>$L$23</formula>
    </cfRule>
  </conditionalFormatting>
  <conditionalFormatting sqref="M24">
    <cfRule type="cellIs" dxfId="2623" priority="561" stopIfTrue="1" operator="lessThan">
      <formula>$L$24</formula>
    </cfRule>
    <cfRule type="cellIs" dxfId="2622" priority="560" stopIfTrue="1" operator="equal">
      <formula>$L$24</formula>
    </cfRule>
  </conditionalFormatting>
  <conditionalFormatting sqref="M25">
    <cfRule type="cellIs" dxfId="2621" priority="563" stopIfTrue="1" operator="lessThan">
      <formula>$L$25</formula>
    </cfRule>
    <cfRule type="cellIs" dxfId="2620" priority="562" stopIfTrue="1" operator="equal">
      <formula>$L$25</formula>
    </cfRule>
  </conditionalFormatting>
  <conditionalFormatting sqref="M26">
    <cfRule type="cellIs" dxfId="2619" priority="564" stopIfTrue="1" operator="equal">
      <formula>$L$26</formula>
    </cfRule>
    <cfRule type="cellIs" dxfId="2618" priority="565" stopIfTrue="1" operator="lessThan">
      <formula>$L$26</formula>
    </cfRule>
  </conditionalFormatting>
  <conditionalFormatting sqref="M27">
    <cfRule type="cellIs" dxfId="2617" priority="566" stopIfTrue="1" operator="equal">
      <formula>$L$27</formula>
    </cfRule>
    <cfRule type="cellIs" dxfId="2616" priority="567" stopIfTrue="1" operator="lessThan">
      <formula>$L$27</formula>
    </cfRule>
  </conditionalFormatting>
  <conditionalFormatting sqref="M28">
    <cfRule type="cellIs" dxfId="2615" priority="568" stopIfTrue="1" operator="equal">
      <formula>$L$28</formula>
    </cfRule>
    <cfRule type="cellIs" dxfId="2614" priority="569" stopIfTrue="1" operator="lessThan">
      <formula>$L$28</formula>
    </cfRule>
  </conditionalFormatting>
  <conditionalFormatting sqref="M29">
    <cfRule type="cellIs" dxfId="2613" priority="571" stopIfTrue="1" operator="lessThan">
      <formula>$L$29</formula>
    </cfRule>
    <cfRule type="cellIs" dxfId="2612" priority="570" stopIfTrue="1" operator="equal">
      <formula>$L$29</formula>
    </cfRule>
  </conditionalFormatting>
  <conditionalFormatting sqref="N4">
    <cfRule type="cellIs" dxfId="2611" priority="572" stopIfTrue="1" operator="lessThan">
      <formula>$M$4</formula>
    </cfRule>
    <cfRule type="cellIs" dxfId="2610" priority="573" stopIfTrue="1" operator="equal">
      <formula>$M$4</formula>
    </cfRule>
  </conditionalFormatting>
  <conditionalFormatting sqref="N5">
    <cfRule type="cellIs" dxfId="2609" priority="574" stopIfTrue="1" operator="equal">
      <formula>$M$5</formula>
    </cfRule>
    <cfRule type="cellIs" dxfId="2608" priority="575" stopIfTrue="1" operator="lessThan">
      <formula>$M$5</formula>
    </cfRule>
  </conditionalFormatting>
  <conditionalFormatting sqref="N6">
    <cfRule type="cellIs" dxfId="2607" priority="576" stopIfTrue="1" operator="equal">
      <formula>$M$6</formula>
    </cfRule>
    <cfRule type="cellIs" dxfId="2606" priority="577" stopIfTrue="1" operator="lessThan">
      <formula>$M$6</formula>
    </cfRule>
  </conditionalFormatting>
  <conditionalFormatting sqref="N7">
    <cfRule type="cellIs" dxfId="2605" priority="578" stopIfTrue="1" operator="equal">
      <formula>$M$7</formula>
    </cfRule>
    <cfRule type="cellIs" dxfId="2604" priority="579" stopIfTrue="1" operator="lessThan">
      <formula>$M$7</formula>
    </cfRule>
  </conditionalFormatting>
  <conditionalFormatting sqref="N8">
    <cfRule type="cellIs" dxfId="2603" priority="581" stopIfTrue="1" operator="lessThan">
      <formula>$M$8</formula>
    </cfRule>
    <cfRule type="cellIs" dxfId="2602" priority="580" stopIfTrue="1" operator="equal">
      <formula>$M$8</formula>
    </cfRule>
  </conditionalFormatting>
  <conditionalFormatting sqref="N9">
    <cfRule type="cellIs" dxfId="2601" priority="583" stopIfTrue="1" operator="lessThan">
      <formula>$M$9</formula>
    </cfRule>
    <cfRule type="cellIs" dxfId="2600" priority="582" stopIfTrue="1" operator="equal">
      <formula>$M$9</formula>
    </cfRule>
  </conditionalFormatting>
  <conditionalFormatting sqref="N10">
    <cfRule type="cellIs" dxfId="2599" priority="585" stopIfTrue="1" operator="lessThan">
      <formula>$M$10</formula>
    </cfRule>
    <cfRule type="cellIs" dxfId="2598" priority="584" stopIfTrue="1" operator="equal">
      <formula>$M$10</formula>
    </cfRule>
  </conditionalFormatting>
  <conditionalFormatting sqref="N11">
    <cfRule type="cellIs" dxfId="2597" priority="586" stopIfTrue="1" operator="equal">
      <formula>$M$11</formula>
    </cfRule>
    <cfRule type="cellIs" dxfId="2596" priority="587" stopIfTrue="1" operator="lessThan">
      <formula>$M$11</formula>
    </cfRule>
  </conditionalFormatting>
  <conditionalFormatting sqref="N12">
    <cfRule type="cellIs" dxfId="2595" priority="588" stopIfTrue="1" operator="equal">
      <formula>$M$12</formula>
    </cfRule>
    <cfRule type="cellIs" dxfId="2594" priority="589" stopIfTrue="1" operator="lessThan">
      <formula>$M$12</formula>
    </cfRule>
  </conditionalFormatting>
  <conditionalFormatting sqref="N13">
    <cfRule type="cellIs" dxfId="2593" priority="590" stopIfTrue="1" operator="equal">
      <formula>$M$13</formula>
    </cfRule>
    <cfRule type="cellIs" dxfId="2592" priority="591" stopIfTrue="1" operator="lessThan">
      <formula>$M$13</formula>
    </cfRule>
  </conditionalFormatting>
  <conditionalFormatting sqref="N14">
    <cfRule type="cellIs" dxfId="2591" priority="592" stopIfTrue="1" operator="equal">
      <formula>$M$14</formula>
    </cfRule>
    <cfRule type="cellIs" dxfId="2590" priority="593" stopIfTrue="1" operator="lessThan">
      <formula>$M$14</formula>
    </cfRule>
  </conditionalFormatting>
  <conditionalFormatting sqref="N15">
    <cfRule type="cellIs" dxfId="2589" priority="594" stopIfTrue="1" operator="equal">
      <formula>$M$15</formula>
    </cfRule>
    <cfRule type="cellIs" dxfId="2588" priority="595" stopIfTrue="1" operator="lessThan">
      <formula>$M$15</formula>
    </cfRule>
  </conditionalFormatting>
  <conditionalFormatting sqref="N16">
    <cfRule type="cellIs" dxfId="2587" priority="596" stopIfTrue="1" operator="equal">
      <formula>$M$16</formula>
    </cfRule>
    <cfRule type="cellIs" dxfId="2586" priority="597" stopIfTrue="1" operator="lessThan">
      <formula>$M$16</formula>
    </cfRule>
  </conditionalFormatting>
  <conditionalFormatting sqref="N17">
    <cfRule type="cellIs" dxfId="2585" priority="598" stopIfTrue="1" operator="equal">
      <formula>$M$17</formula>
    </cfRule>
    <cfRule type="cellIs" dxfId="2584" priority="599" stopIfTrue="1" operator="lessThan">
      <formula>$M$17</formula>
    </cfRule>
  </conditionalFormatting>
  <conditionalFormatting sqref="N18">
    <cfRule type="cellIs" dxfId="2583" priority="601" stopIfTrue="1" operator="lessThan">
      <formula>$M$18</formula>
    </cfRule>
    <cfRule type="cellIs" dxfId="2582" priority="600" stopIfTrue="1" operator="equal">
      <formula>$M$18</formula>
    </cfRule>
  </conditionalFormatting>
  <conditionalFormatting sqref="N19">
    <cfRule type="cellIs" dxfId="2581" priority="603" stopIfTrue="1" operator="lessThan">
      <formula>$M$19</formula>
    </cfRule>
    <cfRule type="cellIs" dxfId="2580" priority="602" stopIfTrue="1" operator="equal">
      <formula>$M$19</formula>
    </cfRule>
  </conditionalFormatting>
  <conditionalFormatting sqref="N20">
    <cfRule type="cellIs" dxfId="2579" priority="604" stopIfTrue="1" operator="equal">
      <formula>$M$20</formula>
    </cfRule>
    <cfRule type="cellIs" dxfId="2578" priority="605" stopIfTrue="1" operator="lessThan">
      <formula>$M$20</formula>
    </cfRule>
  </conditionalFormatting>
  <conditionalFormatting sqref="N21">
    <cfRule type="cellIs" dxfId="2577" priority="606" stopIfTrue="1" operator="equal">
      <formula>$M$21</formula>
    </cfRule>
    <cfRule type="cellIs" dxfId="2576" priority="607" stopIfTrue="1" operator="lessThan">
      <formula>$M$21</formula>
    </cfRule>
  </conditionalFormatting>
  <conditionalFormatting sqref="N22">
    <cfRule type="cellIs" dxfId="2575" priority="608" stopIfTrue="1" operator="equal">
      <formula>$M$22</formula>
    </cfRule>
    <cfRule type="cellIs" dxfId="2574" priority="609" stopIfTrue="1" operator="lessThan">
      <formula>$M$22</formula>
    </cfRule>
  </conditionalFormatting>
  <conditionalFormatting sqref="N23">
    <cfRule type="cellIs" dxfId="2573" priority="611" stopIfTrue="1" operator="lessThan">
      <formula>$M$23</formula>
    </cfRule>
    <cfRule type="cellIs" dxfId="2572" priority="610" stopIfTrue="1" operator="equal">
      <formula>$M$23</formula>
    </cfRule>
  </conditionalFormatting>
  <conditionalFormatting sqref="N24">
    <cfRule type="cellIs" dxfId="2571" priority="612" stopIfTrue="1" operator="equal">
      <formula>$M$24</formula>
    </cfRule>
    <cfRule type="cellIs" dxfId="2570" priority="613" stopIfTrue="1" operator="lessThan">
      <formula>$M$24</formula>
    </cfRule>
  </conditionalFormatting>
  <conditionalFormatting sqref="N25">
    <cfRule type="cellIs" dxfId="2569" priority="614" stopIfTrue="1" operator="equal">
      <formula>$M$25</formula>
    </cfRule>
    <cfRule type="cellIs" dxfId="2568" priority="615" stopIfTrue="1" operator="lessThan">
      <formula>$M$25</formula>
    </cfRule>
  </conditionalFormatting>
  <conditionalFormatting sqref="N26">
    <cfRule type="cellIs" dxfId="2567" priority="616" stopIfTrue="1" operator="equal">
      <formula>$M$26</formula>
    </cfRule>
    <cfRule type="cellIs" dxfId="2566" priority="617" stopIfTrue="1" operator="lessThan">
      <formula>$M$26</formula>
    </cfRule>
  </conditionalFormatting>
  <conditionalFormatting sqref="N27">
    <cfRule type="cellIs" dxfId="2565" priority="618" stopIfTrue="1" operator="equal">
      <formula>$M$27</formula>
    </cfRule>
    <cfRule type="cellIs" dxfId="2564" priority="619" stopIfTrue="1" operator="lessThan">
      <formula>$M$27</formula>
    </cfRule>
  </conditionalFormatting>
  <conditionalFormatting sqref="N28">
    <cfRule type="cellIs" dxfId="2563" priority="620" stopIfTrue="1" operator="equal">
      <formula>$M$28</formula>
    </cfRule>
    <cfRule type="cellIs" dxfId="2562" priority="621" stopIfTrue="1" operator="lessThan">
      <formula>$M$28</formula>
    </cfRule>
  </conditionalFormatting>
  <conditionalFormatting sqref="N29">
    <cfRule type="cellIs" dxfId="2561" priority="622" stopIfTrue="1" operator="equal">
      <formula>$M$29</formula>
    </cfRule>
    <cfRule type="cellIs" dxfId="2560" priority="623" stopIfTrue="1" operator="lessThan">
      <formula>$M$29</formula>
    </cfRule>
  </conditionalFormatting>
  <conditionalFormatting sqref="O4">
    <cfRule type="cellIs" dxfId="2559" priority="624" stopIfTrue="1" operator="equal">
      <formula>$N$4</formula>
    </cfRule>
    <cfRule type="cellIs" dxfId="2558" priority="625" stopIfTrue="1" operator="lessThan">
      <formula>$N$4</formula>
    </cfRule>
  </conditionalFormatting>
  <conditionalFormatting sqref="O5">
    <cfRule type="cellIs" dxfId="2557" priority="626" stopIfTrue="1" operator="equal">
      <formula>$N$5</formula>
    </cfRule>
    <cfRule type="cellIs" dxfId="2556" priority="627" stopIfTrue="1" operator="lessThan">
      <formula>$N$5</formula>
    </cfRule>
  </conditionalFormatting>
  <conditionalFormatting sqref="O6">
    <cfRule type="cellIs" dxfId="2555" priority="628" stopIfTrue="1" operator="equal">
      <formula>$N$6</formula>
    </cfRule>
    <cfRule type="cellIs" dxfId="2554" priority="629" stopIfTrue="1" operator="lessThan">
      <formula>$N$6</formula>
    </cfRule>
  </conditionalFormatting>
  <conditionalFormatting sqref="O7">
    <cfRule type="cellIs" dxfId="2553" priority="630" stopIfTrue="1" operator="equal">
      <formula>$N$7</formula>
    </cfRule>
    <cfRule type="cellIs" dxfId="2552" priority="631" stopIfTrue="1" operator="lessThan">
      <formula>$N$7</formula>
    </cfRule>
  </conditionalFormatting>
  <conditionalFormatting sqref="O8">
    <cfRule type="cellIs" dxfId="2551" priority="632" stopIfTrue="1" operator="equal">
      <formula>$N$8</formula>
    </cfRule>
    <cfRule type="cellIs" dxfId="2550" priority="633" stopIfTrue="1" operator="lessThan">
      <formula>$N$8</formula>
    </cfRule>
  </conditionalFormatting>
  <conditionalFormatting sqref="O9">
    <cfRule type="cellIs" dxfId="2549" priority="634" stopIfTrue="1" operator="equal">
      <formula>$N$9</formula>
    </cfRule>
    <cfRule type="cellIs" dxfId="2548" priority="635" stopIfTrue="1" operator="lessThan">
      <formula>$N$9</formula>
    </cfRule>
  </conditionalFormatting>
  <conditionalFormatting sqref="O10">
    <cfRule type="cellIs" dxfId="2547" priority="636" stopIfTrue="1" operator="equal">
      <formula>$N$10</formula>
    </cfRule>
    <cfRule type="cellIs" dxfId="2546" priority="637" stopIfTrue="1" operator="lessThan">
      <formula>$N$10</formula>
    </cfRule>
  </conditionalFormatting>
  <conditionalFormatting sqref="O11">
    <cfRule type="cellIs" dxfId="2545" priority="638" stopIfTrue="1" operator="equal">
      <formula>$N$11</formula>
    </cfRule>
    <cfRule type="cellIs" dxfId="2544" priority="639" stopIfTrue="1" operator="lessThan">
      <formula>$N$11</formula>
    </cfRule>
  </conditionalFormatting>
  <conditionalFormatting sqref="O12">
    <cfRule type="cellIs" dxfId="2543" priority="641" stopIfTrue="1" operator="lessThan">
      <formula>$N$12</formula>
    </cfRule>
    <cfRule type="cellIs" dxfId="2542" priority="640" stopIfTrue="1" operator="equal">
      <formula>$N$12</formula>
    </cfRule>
  </conditionalFormatting>
  <conditionalFormatting sqref="O13">
    <cfRule type="cellIs" dxfId="2541" priority="642" stopIfTrue="1" operator="equal">
      <formula>$N$13</formula>
    </cfRule>
    <cfRule type="cellIs" dxfId="2540" priority="643" stopIfTrue="1" operator="lessThan">
      <formula>$N$13</formula>
    </cfRule>
  </conditionalFormatting>
  <conditionalFormatting sqref="O14">
    <cfRule type="cellIs" dxfId="2539" priority="645" stopIfTrue="1" operator="lessThan">
      <formula>$N$14</formula>
    </cfRule>
    <cfRule type="cellIs" dxfId="2538" priority="644" stopIfTrue="1" operator="equal">
      <formula>$N$14</formula>
    </cfRule>
  </conditionalFormatting>
  <conditionalFormatting sqref="O15">
    <cfRule type="cellIs" dxfId="2537" priority="646" stopIfTrue="1" operator="equal">
      <formula>$N$15</formula>
    </cfRule>
    <cfRule type="cellIs" dxfId="2536" priority="647" stopIfTrue="1" operator="lessThan">
      <formula>$N$15</formula>
    </cfRule>
  </conditionalFormatting>
  <conditionalFormatting sqref="O16">
    <cfRule type="cellIs" dxfId="2535" priority="648" stopIfTrue="1" operator="equal">
      <formula>$N$16</formula>
    </cfRule>
    <cfRule type="cellIs" dxfId="2534" priority="649" stopIfTrue="1" operator="lessThan">
      <formula>$N$16</formula>
    </cfRule>
  </conditionalFormatting>
  <conditionalFormatting sqref="O17">
    <cfRule type="cellIs" dxfId="2533" priority="650" stopIfTrue="1" operator="equal">
      <formula>$N$17</formula>
    </cfRule>
    <cfRule type="cellIs" dxfId="2532" priority="651" stopIfTrue="1" operator="lessThan">
      <formula>$N$17</formula>
    </cfRule>
  </conditionalFormatting>
  <conditionalFormatting sqref="O18">
    <cfRule type="cellIs" dxfId="2531" priority="653" stopIfTrue="1" operator="lessThan">
      <formula>$N$18</formula>
    </cfRule>
    <cfRule type="cellIs" dxfId="2530" priority="652" stopIfTrue="1" operator="equal">
      <formula>$N$18</formula>
    </cfRule>
  </conditionalFormatting>
  <conditionalFormatting sqref="O19">
    <cfRule type="cellIs" dxfId="2529" priority="654" stopIfTrue="1" operator="equal">
      <formula>$N$19</formula>
    </cfRule>
    <cfRule type="cellIs" dxfId="2528" priority="655" stopIfTrue="1" operator="lessThan">
      <formula>$N$19</formula>
    </cfRule>
  </conditionalFormatting>
  <conditionalFormatting sqref="O20">
    <cfRule type="cellIs" dxfId="2527" priority="656" stopIfTrue="1" operator="equal">
      <formula>$N$20</formula>
    </cfRule>
    <cfRule type="cellIs" dxfId="2526" priority="657" stopIfTrue="1" operator="lessThan">
      <formula>$N$20</formula>
    </cfRule>
  </conditionalFormatting>
  <conditionalFormatting sqref="O21">
    <cfRule type="cellIs" dxfId="2525" priority="659" stopIfTrue="1" operator="lessThan">
      <formula>$N$21</formula>
    </cfRule>
    <cfRule type="cellIs" dxfId="2524" priority="658" stopIfTrue="1" operator="equal">
      <formula>$N$21</formula>
    </cfRule>
  </conditionalFormatting>
  <conditionalFormatting sqref="O22">
    <cfRule type="cellIs" dxfId="2523" priority="660" stopIfTrue="1" operator="equal">
      <formula>$N$22</formula>
    </cfRule>
    <cfRule type="cellIs" dxfId="2522" priority="661" stopIfTrue="1" operator="lessThan">
      <formula>$N$22</formula>
    </cfRule>
  </conditionalFormatting>
  <conditionalFormatting sqref="O23">
    <cfRule type="cellIs" dxfId="2521" priority="663" stopIfTrue="1" operator="lessThan">
      <formula>$N$23</formula>
    </cfRule>
    <cfRule type="cellIs" dxfId="2520" priority="662" stopIfTrue="1" operator="equal">
      <formula>$N$23</formula>
    </cfRule>
  </conditionalFormatting>
  <conditionalFormatting sqref="O24">
    <cfRule type="cellIs" dxfId="2519" priority="664" stopIfTrue="1" operator="equal">
      <formula>$N$24</formula>
    </cfRule>
    <cfRule type="cellIs" dxfId="2518" priority="665" stopIfTrue="1" operator="lessThan">
      <formula>$N$24</formula>
    </cfRule>
  </conditionalFormatting>
  <conditionalFormatting sqref="O25">
    <cfRule type="cellIs" dxfId="2517" priority="666" stopIfTrue="1" operator="equal">
      <formula>$N$25</formula>
    </cfRule>
    <cfRule type="cellIs" dxfId="2516" priority="667" stopIfTrue="1" operator="lessThan">
      <formula>$N$25</formula>
    </cfRule>
  </conditionalFormatting>
  <conditionalFormatting sqref="O26">
    <cfRule type="cellIs" dxfId="2515" priority="668" stopIfTrue="1" operator="equal">
      <formula>$N$26</formula>
    </cfRule>
    <cfRule type="cellIs" dxfId="2514" priority="669" stopIfTrue="1" operator="lessThan">
      <formula>$N$26</formula>
    </cfRule>
  </conditionalFormatting>
  <conditionalFormatting sqref="O27">
    <cfRule type="cellIs" dxfId="2513" priority="670" stopIfTrue="1" operator="equal">
      <formula>$N$27</formula>
    </cfRule>
    <cfRule type="cellIs" dxfId="2512" priority="671" stopIfTrue="1" operator="lessThan">
      <formula>$N$27</formula>
    </cfRule>
  </conditionalFormatting>
  <conditionalFormatting sqref="O28">
    <cfRule type="cellIs" dxfId="2511" priority="672" stopIfTrue="1" operator="equal">
      <formula>$N$28</formula>
    </cfRule>
    <cfRule type="cellIs" dxfId="2510" priority="673" stopIfTrue="1" operator="lessThan">
      <formula>$N$28</formula>
    </cfRule>
  </conditionalFormatting>
  <conditionalFormatting sqref="O29">
    <cfRule type="cellIs" dxfId="2509" priority="674" stopIfTrue="1" operator="equal">
      <formula>$N$29</formula>
    </cfRule>
    <cfRule type="cellIs" dxfId="2508" priority="675" stopIfTrue="1" operator="lessThan">
      <formula>$N$29</formula>
    </cfRule>
  </conditionalFormatting>
  <conditionalFormatting sqref="P4">
    <cfRule type="cellIs" dxfId="2507" priority="677" stopIfTrue="1" operator="lessThan">
      <formula>$O$4</formula>
    </cfRule>
  </conditionalFormatting>
  <conditionalFormatting sqref="P5">
    <cfRule type="cellIs" dxfId="2506" priority="678" stopIfTrue="1" operator="equal">
      <formula>$O$5</formula>
    </cfRule>
    <cfRule type="cellIs" dxfId="2505" priority="679" stopIfTrue="1" operator="lessThan">
      <formula>$O$5</formula>
    </cfRule>
  </conditionalFormatting>
  <conditionalFormatting sqref="P6">
    <cfRule type="cellIs" dxfId="2504" priority="680" stopIfTrue="1" operator="equal">
      <formula>$O$6</formula>
    </cfRule>
    <cfRule type="cellIs" dxfId="2503" priority="681" stopIfTrue="1" operator="lessThan">
      <formula>$O$6</formula>
    </cfRule>
  </conditionalFormatting>
  <conditionalFormatting sqref="P7">
    <cfRule type="cellIs" dxfId="2502" priority="683" stopIfTrue="1" operator="lessThan">
      <formula>$O$7</formula>
    </cfRule>
    <cfRule type="cellIs" dxfId="2501" priority="682" stopIfTrue="1" operator="equal">
      <formula>$O$7</formula>
    </cfRule>
  </conditionalFormatting>
  <conditionalFormatting sqref="P8">
    <cfRule type="cellIs" dxfId="2500" priority="684" stopIfTrue="1" operator="equal">
      <formula>$O$8</formula>
    </cfRule>
    <cfRule type="cellIs" dxfId="2499" priority="685" stopIfTrue="1" operator="lessThan">
      <formula>$O$8</formula>
    </cfRule>
  </conditionalFormatting>
  <conditionalFormatting sqref="P9">
    <cfRule type="cellIs" dxfId="2498" priority="687" stopIfTrue="1" operator="lessThan">
      <formula>$O$9</formula>
    </cfRule>
    <cfRule type="cellIs" dxfId="2497" priority="686" stopIfTrue="1" operator="equal">
      <formula>$O$9</formula>
    </cfRule>
  </conditionalFormatting>
  <conditionalFormatting sqref="P10">
    <cfRule type="cellIs" dxfId="2496" priority="688" stopIfTrue="1" operator="equal">
      <formula>$O$10</formula>
    </cfRule>
    <cfRule type="cellIs" dxfId="2495" priority="689" stopIfTrue="1" operator="lessThan">
      <formula>$O$10</formula>
    </cfRule>
  </conditionalFormatting>
  <conditionalFormatting sqref="P11">
    <cfRule type="cellIs" dxfId="2494" priority="690" stopIfTrue="1" operator="equal">
      <formula>$O$11</formula>
    </cfRule>
    <cfRule type="cellIs" dxfId="2493" priority="691" stopIfTrue="1" operator="lessThan">
      <formula>$O$11</formula>
    </cfRule>
  </conditionalFormatting>
  <conditionalFormatting sqref="P12">
    <cfRule type="cellIs" dxfId="2492" priority="692" stopIfTrue="1" operator="equal">
      <formula>$O$12</formula>
    </cfRule>
    <cfRule type="cellIs" dxfId="2491" priority="693" stopIfTrue="1" operator="lessThan">
      <formula>$O$12</formula>
    </cfRule>
  </conditionalFormatting>
  <conditionalFormatting sqref="P13">
    <cfRule type="cellIs" dxfId="2490" priority="695" stopIfTrue="1" operator="lessThan">
      <formula>$O$13</formula>
    </cfRule>
    <cfRule type="cellIs" dxfId="2489" priority="694" stopIfTrue="1" operator="equal">
      <formula>$O$13</formula>
    </cfRule>
  </conditionalFormatting>
  <conditionalFormatting sqref="P14">
    <cfRule type="cellIs" dxfId="2488" priority="696" stopIfTrue="1" operator="equal">
      <formula>$O$14</formula>
    </cfRule>
    <cfRule type="cellIs" dxfId="2487" priority="697" stopIfTrue="1" operator="lessThan">
      <formula>$O$14</formula>
    </cfRule>
  </conditionalFormatting>
  <conditionalFormatting sqref="P15">
    <cfRule type="cellIs" dxfId="2486" priority="698" stopIfTrue="1" operator="equal">
      <formula>$O$15</formula>
    </cfRule>
    <cfRule type="cellIs" dxfId="2485" priority="699" stopIfTrue="1" operator="lessThan">
      <formula>$O$15</formula>
    </cfRule>
  </conditionalFormatting>
  <conditionalFormatting sqref="P16">
    <cfRule type="cellIs" dxfId="2484" priority="700" stopIfTrue="1" operator="equal">
      <formula>$O$16</formula>
    </cfRule>
    <cfRule type="cellIs" dxfId="2483" priority="701" stopIfTrue="1" operator="lessThan">
      <formula>$O$16</formula>
    </cfRule>
  </conditionalFormatting>
  <conditionalFormatting sqref="P17">
    <cfRule type="cellIs" dxfId="2482" priority="703" stopIfTrue="1" operator="lessThan">
      <formula>$O$17</formula>
    </cfRule>
    <cfRule type="cellIs" dxfId="2481" priority="702" stopIfTrue="1" operator="equal">
      <formula>$O$17</formula>
    </cfRule>
  </conditionalFormatting>
  <conditionalFormatting sqref="P18">
    <cfRule type="cellIs" dxfId="2480" priority="704" stopIfTrue="1" operator="equal">
      <formula>$O$18</formula>
    </cfRule>
    <cfRule type="cellIs" dxfId="2479" priority="705" stopIfTrue="1" operator="lessThan">
      <formula>$O$18</formula>
    </cfRule>
  </conditionalFormatting>
  <conditionalFormatting sqref="P19">
    <cfRule type="cellIs" dxfId="2478" priority="707" stopIfTrue="1" operator="lessThan">
      <formula>$O$19</formula>
    </cfRule>
    <cfRule type="cellIs" dxfId="2477" priority="706" stopIfTrue="1" operator="equal">
      <formula>$O$19</formula>
    </cfRule>
  </conditionalFormatting>
  <conditionalFormatting sqref="P20">
    <cfRule type="cellIs" dxfId="2476" priority="708" stopIfTrue="1" operator="equal">
      <formula>$O$20</formula>
    </cfRule>
    <cfRule type="cellIs" dxfId="2475" priority="709" stopIfTrue="1" operator="lessThan">
      <formula>$O$20</formula>
    </cfRule>
  </conditionalFormatting>
  <conditionalFormatting sqref="P21">
    <cfRule type="cellIs" dxfId="2474" priority="710" stopIfTrue="1" operator="equal">
      <formula>$O$21</formula>
    </cfRule>
    <cfRule type="cellIs" dxfId="2473" priority="711" stopIfTrue="1" operator="lessThan">
      <formula>$O$21</formula>
    </cfRule>
  </conditionalFormatting>
  <conditionalFormatting sqref="P22">
    <cfRule type="cellIs" dxfId="2472" priority="712" stopIfTrue="1" operator="equal">
      <formula>$O$22</formula>
    </cfRule>
    <cfRule type="cellIs" dxfId="2471" priority="713" stopIfTrue="1" operator="lessThan">
      <formula>$O$22</formula>
    </cfRule>
  </conditionalFormatting>
  <conditionalFormatting sqref="P23">
    <cfRule type="cellIs" dxfId="2470" priority="714" stopIfTrue="1" operator="equal">
      <formula>$O$23</formula>
    </cfRule>
    <cfRule type="cellIs" dxfId="2469" priority="715" stopIfTrue="1" operator="lessThan">
      <formula>$O$23</formula>
    </cfRule>
  </conditionalFormatting>
  <conditionalFormatting sqref="P24">
    <cfRule type="cellIs" dxfId="2468" priority="716" stopIfTrue="1" operator="equal">
      <formula>$O$24</formula>
    </cfRule>
    <cfRule type="cellIs" dxfId="2467" priority="717" stopIfTrue="1" operator="lessThan">
      <formula>$O$24</formula>
    </cfRule>
  </conditionalFormatting>
  <conditionalFormatting sqref="P25">
    <cfRule type="cellIs" dxfId="2466" priority="718" stopIfTrue="1" operator="equal">
      <formula>$O$25</formula>
    </cfRule>
    <cfRule type="cellIs" dxfId="2465" priority="719" stopIfTrue="1" operator="lessThan">
      <formula>$O$25</formula>
    </cfRule>
  </conditionalFormatting>
  <conditionalFormatting sqref="P26">
    <cfRule type="cellIs" dxfId="2464" priority="720" stopIfTrue="1" operator="equal">
      <formula>$O$26</formula>
    </cfRule>
    <cfRule type="cellIs" dxfId="2463" priority="721" stopIfTrue="1" operator="lessThan">
      <formula>$O$26</formula>
    </cfRule>
  </conditionalFormatting>
  <conditionalFormatting sqref="P27">
    <cfRule type="cellIs" dxfId="2462" priority="722" stopIfTrue="1" operator="equal">
      <formula>$O$27</formula>
    </cfRule>
    <cfRule type="cellIs" dxfId="2461" priority="723" stopIfTrue="1" operator="lessThan">
      <formula>$O$27</formula>
    </cfRule>
  </conditionalFormatting>
  <conditionalFormatting sqref="P28">
    <cfRule type="cellIs" dxfId="2460" priority="724" stopIfTrue="1" operator="equal">
      <formula>$O$28</formula>
    </cfRule>
    <cfRule type="cellIs" dxfId="2459" priority="725" stopIfTrue="1" operator="lessThan">
      <formula>$O$28</formula>
    </cfRule>
  </conditionalFormatting>
  <conditionalFormatting sqref="P29">
    <cfRule type="cellIs" dxfId="2458" priority="726" stopIfTrue="1" operator="equal">
      <formula>$O$29</formula>
    </cfRule>
    <cfRule type="cellIs" dxfId="2457" priority="727" stopIfTrue="1" operator="lessThan">
      <formula>$O$29</formula>
    </cfRule>
  </conditionalFormatting>
  <conditionalFormatting sqref="V4:AG33">
    <cfRule type="cellIs" dxfId="2456" priority="3" operator="lessThan">
      <formula>0</formula>
    </cfRule>
  </conditionalFormatting>
  <conditionalFormatting sqref="AI4:AK23">
    <cfRule type="cellIs" dxfId="2455" priority="2" operator="lessThan">
      <formula>0</formula>
    </cfRule>
  </conditionalFormatting>
  <conditionalFormatting sqref="AI27:AK28">
    <cfRule type="cellIs" dxfId="2454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scale="97" firstPageNumber="0" orientation="landscape" r:id="rId1"/>
  <headerFooter alignWithMargins="0"/>
  <colBreaks count="1" manualBreakCount="1">
    <brk id="1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44"/>
  <sheetViews>
    <sheetView zoomScaleNormal="100" zoomScaleSheetLayoutView="100" workbookViewId="0">
      <selection activeCell="F2" sqref="F2"/>
    </sheetView>
  </sheetViews>
  <sheetFormatPr defaultRowHeight="14.5" x14ac:dyDescent="0.35"/>
  <cols>
    <col min="1" max="1" width="8.54296875" customWidth="1"/>
    <col min="2" max="2" width="14.90625" customWidth="1"/>
    <col min="3" max="3" width="12.453125" customWidth="1"/>
    <col min="4" max="15" width="10.1796875" customWidth="1"/>
    <col min="16" max="16" width="9.90625" customWidth="1"/>
    <col min="17" max="17" width="9.81640625" bestFit="1" customWidth="1"/>
    <col min="18" max="18" width="9.26953125" bestFit="1" customWidth="1"/>
    <col min="19" max="19" width="6.453125" customWidth="1"/>
  </cols>
  <sheetData>
    <row r="1" spans="1:33" ht="15" thickBot="1" x14ac:dyDescent="0.4"/>
    <row r="2" spans="1:33" s="1" customFormat="1" ht="21" customHeight="1" thickBot="1" x14ac:dyDescent="0.55000000000000004">
      <c r="A2" s="112">
        <v>1854</v>
      </c>
      <c r="B2" s="2"/>
      <c r="C2" s="2"/>
      <c r="D2" s="3">
        <f>'1850'!D2</f>
        <v>46022</v>
      </c>
      <c r="E2" s="3">
        <f>'1850'!E2</f>
        <v>46055</v>
      </c>
      <c r="F2" s="3">
        <f>'1850'!F2</f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0</v>
      </c>
      <c r="R2" s="1" t="s">
        <v>1</v>
      </c>
      <c r="S2" s="1" t="s">
        <v>27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</row>
    <row r="3" spans="1:33" s="1" customFormat="1" ht="15" thickBot="1" x14ac:dyDescent="0.4">
      <c r="A3" s="4" t="s">
        <v>2</v>
      </c>
      <c r="B3" s="5"/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</row>
    <row r="4" spans="1:33" ht="15" thickBot="1" x14ac:dyDescent="0.4">
      <c r="A4" s="371">
        <v>1</v>
      </c>
      <c r="B4" s="6" t="s">
        <v>244</v>
      </c>
      <c r="C4" s="312">
        <v>241010657</v>
      </c>
      <c r="D4" s="7">
        <v>36.432000000000002</v>
      </c>
      <c r="E4" s="7">
        <v>39.872</v>
      </c>
      <c r="F4" s="7">
        <v>42.698</v>
      </c>
      <c r="G4" s="7"/>
      <c r="H4" s="7"/>
      <c r="I4" s="7"/>
      <c r="J4" s="7"/>
      <c r="K4" s="7"/>
      <c r="L4" s="7"/>
      <c r="M4" s="8"/>
      <c r="N4" s="7"/>
      <c r="O4" s="7"/>
      <c r="P4" s="7"/>
      <c r="Q4" s="9">
        <f>P4-D4</f>
        <v>-36.432000000000002</v>
      </c>
      <c r="U4" s="1">
        <v>1</v>
      </c>
      <c r="V4" s="144">
        <f t="shared" ref="V4:AG4" si="0">E4-D4</f>
        <v>3.4399999999999977</v>
      </c>
      <c r="W4" s="144">
        <f t="shared" si="0"/>
        <v>2.8260000000000005</v>
      </c>
      <c r="X4" s="144">
        <f t="shared" si="0"/>
        <v>-42.698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</row>
    <row r="5" spans="1:33" x14ac:dyDescent="0.35">
      <c r="A5" s="371"/>
      <c r="B5" s="10" t="s">
        <v>245</v>
      </c>
      <c r="C5" s="313">
        <v>71182259</v>
      </c>
      <c r="D5" s="11">
        <v>87.096000000000004</v>
      </c>
      <c r="E5" s="11">
        <v>92.253</v>
      </c>
      <c r="F5" s="11">
        <v>95.406999999999996</v>
      </c>
      <c r="G5" s="11"/>
      <c r="H5" s="11"/>
      <c r="I5" s="11"/>
      <c r="J5" s="11"/>
      <c r="K5" s="11"/>
      <c r="L5" s="11"/>
      <c r="M5" s="12"/>
      <c r="N5" s="11"/>
      <c r="O5" s="11"/>
      <c r="P5" s="11"/>
      <c r="Q5" s="9"/>
      <c r="R5" s="9">
        <f>P5-D5</f>
        <v>-87.096000000000004</v>
      </c>
      <c r="U5" s="1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</row>
    <row r="6" spans="1:33" x14ac:dyDescent="0.35">
      <c r="A6" s="372">
        <v>2</v>
      </c>
      <c r="B6" s="10" t="s">
        <v>244</v>
      </c>
      <c r="C6" s="313">
        <v>241010655</v>
      </c>
      <c r="D6" s="11">
        <v>74.11</v>
      </c>
      <c r="E6" s="11">
        <v>78.894000000000005</v>
      </c>
      <c r="F6" s="11">
        <v>84.682000000000002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9">
        <f>P6-D6</f>
        <v>-74.11</v>
      </c>
      <c r="U6" s="1">
        <v>2</v>
      </c>
      <c r="V6" s="146">
        <f t="shared" ref="V6:AG6" si="1">E6-D6</f>
        <v>4.784000000000006</v>
      </c>
      <c r="W6" s="146">
        <f t="shared" si="1"/>
        <v>5.7879999999999967</v>
      </c>
      <c r="X6" s="146">
        <f t="shared" si="1"/>
        <v>-84.682000000000002</v>
      </c>
      <c r="Y6" s="146">
        <f t="shared" si="1"/>
        <v>0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</row>
    <row r="7" spans="1:33" x14ac:dyDescent="0.35">
      <c r="A7" s="372"/>
      <c r="B7" s="10" t="s">
        <v>245</v>
      </c>
      <c r="C7" s="313">
        <v>71182248</v>
      </c>
      <c r="D7" s="11">
        <v>141.33600000000001</v>
      </c>
      <c r="E7" s="11">
        <v>147.31200000000001</v>
      </c>
      <c r="F7" s="11">
        <v>151.59899999999999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9"/>
      <c r="R7" s="9">
        <f>P7-D7</f>
        <v>-141.33600000000001</v>
      </c>
      <c r="U7" s="1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</row>
    <row r="8" spans="1:33" x14ac:dyDescent="0.35">
      <c r="A8" s="372">
        <v>3</v>
      </c>
      <c r="B8" s="10" t="s">
        <v>244</v>
      </c>
      <c r="C8" s="313">
        <v>241345683</v>
      </c>
      <c r="D8" s="11">
        <v>71.284999999999997</v>
      </c>
      <c r="E8" s="11">
        <v>72.623999999999995</v>
      </c>
      <c r="F8" s="11">
        <v>79.92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9">
        <f>P8-D8</f>
        <v>-71.284999999999997</v>
      </c>
      <c r="U8" s="1">
        <v>3</v>
      </c>
      <c r="V8" s="146">
        <f t="shared" ref="V8:AG8" si="2">E8-D8</f>
        <v>1.3389999999999986</v>
      </c>
      <c r="W8" s="146">
        <f t="shared" si="2"/>
        <v>7.2960000000000065</v>
      </c>
      <c r="X8" s="146">
        <f t="shared" si="2"/>
        <v>-79.92</v>
      </c>
      <c r="Y8" s="146">
        <f t="shared" si="2"/>
        <v>0</v>
      </c>
      <c r="Z8" s="146">
        <f t="shared" si="2"/>
        <v>0</v>
      </c>
      <c r="AA8" s="146">
        <f t="shared" si="2"/>
        <v>0</v>
      </c>
      <c r="AB8" s="146">
        <f t="shared" si="2"/>
        <v>0</v>
      </c>
      <c r="AC8" s="146">
        <f t="shared" si="2"/>
        <v>0</v>
      </c>
      <c r="AD8" s="146">
        <f t="shared" si="2"/>
        <v>0</v>
      </c>
      <c r="AE8" s="146">
        <f t="shared" si="2"/>
        <v>0</v>
      </c>
      <c r="AF8" s="146">
        <f t="shared" si="2"/>
        <v>0</v>
      </c>
      <c r="AG8" s="146">
        <f t="shared" si="2"/>
        <v>0</v>
      </c>
    </row>
    <row r="9" spans="1:33" x14ac:dyDescent="0.35">
      <c r="A9" s="372"/>
      <c r="B9" s="10" t="s">
        <v>245</v>
      </c>
      <c r="C9" s="313">
        <v>71182258</v>
      </c>
      <c r="D9" s="11">
        <v>158.203</v>
      </c>
      <c r="E9" s="11">
        <v>166.334</v>
      </c>
      <c r="F9" s="11">
        <v>171.959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>
        <f>P9-D9</f>
        <v>-158.203</v>
      </c>
      <c r="U9" s="1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</row>
    <row r="10" spans="1:33" x14ac:dyDescent="0.35">
      <c r="A10" s="372">
        <v>4</v>
      </c>
      <c r="B10" s="10" t="s">
        <v>265</v>
      </c>
      <c r="C10" s="313">
        <v>241010651</v>
      </c>
      <c r="D10" s="11">
        <v>88.760999999999996</v>
      </c>
      <c r="E10" s="11">
        <v>96.527000000000001</v>
      </c>
      <c r="F10" s="11">
        <v>103.23099999999999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9">
        <f>P10-D10</f>
        <v>-88.760999999999996</v>
      </c>
      <c r="U10" s="1">
        <v>4</v>
      </c>
      <c r="V10" s="146">
        <f t="shared" ref="V10:AG10" si="3">E10-D10</f>
        <v>7.7660000000000053</v>
      </c>
      <c r="W10" s="146">
        <f t="shared" si="3"/>
        <v>6.7039999999999935</v>
      </c>
      <c r="X10" s="146">
        <f t="shared" si="3"/>
        <v>-103.23099999999999</v>
      </c>
      <c r="Y10" s="146">
        <f t="shared" si="3"/>
        <v>0</v>
      </c>
      <c r="Z10" s="146">
        <f t="shared" si="3"/>
        <v>0</v>
      </c>
      <c r="AA10" s="146">
        <f t="shared" si="3"/>
        <v>0</v>
      </c>
      <c r="AB10" s="146">
        <f t="shared" si="3"/>
        <v>0</v>
      </c>
      <c r="AC10" s="146">
        <f t="shared" si="3"/>
        <v>0</v>
      </c>
      <c r="AD10" s="146">
        <f t="shared" si="3"/>
        <v>0</v>
      </c>
      <c r="AE10" s="146">
        <f t="shared" si="3"/>
        <v>0</v>
      </c>
      <c r="AF10" s="146">
        <f t="shared" si="3"/>
        <v>0</v>
      </c>
      <c r="AG10" s="146">
        <f t="shared" si="3"/>
        <v>0</v>
      </c>
    </row>
    <row r="11" spans="1:33" x14ac:dyDescent="0.35">
      <c r="A11" s="372"/>
      <c r="B11" s="10" t="s">
        <v>245</v>
      </c>
      <c r="C11" s="313">
        <v>71182242</v>
      </c>
      <c r="D11" s="11">
        <v>38.633000000000003</v>
      </c>
      <c r="E11" s="11">
        <v>39.954999999999998</v>
      </c>
      <c r="F11" s="11">
        <v>40.590000000000003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>
        <f>P11-D11</f>
        <v>-38.633000000000003</v>
      </c>
      <c r="U11" s="1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</row>
    <row r="12" spans="1:33" x14ac:dyDescent="0.35">
      <c r="A12" s="372">
        <v>5</v>
      </c>
      <c r="B12" s="10" t="s">
        <v>244</v>
      </c>
      <c r="C12" s="313">
        <v>241345677</v>
      </c>
      <c r="D12" s="11">
        <v>18.231000000000002</v>
      </c>
      <c r="E12" s="11">
        <v>22.036000000000001</v>
      </c>
      <c r="F12" s="11">
        <v>26.087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>
        <f>P12-D12</f>
        <v>-18.231000000000002</v>
      </c>
      <c r="U12" s="1">
        <v>5</v>
      </c>
      <c r="V12" s="146">
        <f t="shared" ref="V12:AE12" si="4">E12-D12</f>
        <v>3.8049999999999997</v>
      </c>
      <c r="W12" s="146">
        <f t="shared" si="4"/>
        <v>4.0509999999999984</v>
      </c>
      <c r="X12" s="146">
        <f t="shared" si="4"/>
        <v>-26.087</v>
      </c>
      <c r="Y12" s="146">
        <f t="shared" si="4"/>
        <v>0</v>
      </c>
      <c r="Z12" s="146">
        <f t="shared" si="4"/>
        <v>0</v>
      </c>
      <c r="AA12" s="146">
        <f t="shared" si="4"/>
        <v>0</v>
      </c>
      <c r="AB12" s="146">
        <f t="shared" si="4"/>
        <v>0</v>
      </c>
      <c r="AC12" s="146">
        <f t="shared" si="4"/>
        <v>0</v>
      </c>
      <c r="AD12" s="146">
        <f t="shared" si="4"/>
        <v>0</v>
      </c>
      <c r="AE12" s="146">
        <f t="shared" si="4"/>
        <v>0</v>
      </c>
      <c r="AF12" s="146">
        <f>O12-N12</f>
        <v>0</v>
      </c>
      <c r="AG12" s="146">
        <f>P12-O12</f>
        <v>0</v>
      </c>
    </row>
    <row r="13" spans="1:33" x14ac:dyDescent="0.35">
      <c r="A13" s="372"/>
      <c r="B13" s="10" t="s">
        <v>245</v>
      </c>
      <c r="C13" s="313">
        <v>71182255</v>
      </c>
      <c r="D13" s="11">
        <v>20.765999999999998</v>
      </c>
      <c r="E13" s="11">
        <v>27.041</v>
      </c>
      <c r="F13" s="11">
        <v>31.276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>
        <f>P13-D13</f>
        <v>-20.765999999999998</v>
      </c>
      <c r="U13" s="1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</row>
    <row r="14" spans="1:33" x14ac:dyDescent="0.35">
      <c r="A14" s="372">
        <v>6</v>
      </c>
      <c r="B14" s="10" t="s">
        <v>244</v>
      </c>
      <c r="C14" s="313">
        <v>241010629</v>
      </c>
      <c r="D14" s="11">
        <v>150.001</v>
      </c>
      <c r="E14" s="11">
        <v>162.91300000000001</v>
      </c>
      <c r="F14" s="11">
        <v>173.339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>
        <f>P14-D14</f>
        <v>-150.001</v>
      </c>
      <c r="U14" s="1">
        <v>6</v>
      </c>
      <c r="V14" s="146">
        <f t="shared" ref="V14:AG14" si="5">E14-D14</f>
        <v>12.912000000000006</v>
      </c>
      <c r="W14" s="146">
        <f t="shared" si="5"/>
        <v>10.425999999999988</v>
      </c>
      <c r="X14" s="146">
        <f t="shared" si="5"/>
        <v>-173.339</v>
      </c>
      <c r="Y14" s="146">
        <f t="shared" si="5"/>
        <v>0</v>
      </c>
      <c r="Z14" s="146">
        <f t="shared" si="5"/>
        <v>0</v>
      </c>
      <c r="AA14" s="146">
        <f t="shared" si="5"/>
        <v>0</v>
      </c>
      <c r="AB14" s="146">
        <f t="shared" si="5"/>
        <v>0</v>
      </c>
      <c r="AC14" s="146">
        <f t="shared" si="5"/>
        <v>0</v>
      </c>
      <c r="AD14" s="146">
        <f t="shared" si="5"/>
        <v>0</v>
      </c>
      <c r="AE14" s="146">
        <f t="shared" si="5"/>
        <v>0</v>
      </c>
      <c r="AF14" s="146">
        <f t="shared" si="5"/>
        <v>0</v>
      </c>
      <c r="AG14" s="146">
        <f t="shared" si="5"/>
        <v>0</v>
      </c>
    </row>
    <row r="15" spans="1:33" x14ac:dyDescent="0.35">
      <c r="A15" s="372"/>
      <c r="B15" s="10" t="s">
        <v>245</v>
      </c>
      <c r="C15" s="313">
        <v>71182230</v>
      </c>
      <c r="D15" s="11">
        <v>48.317</v>
      </c>
      <c r="E15" s="11">
        <v>51.444000000000003</v>
      </c>
      <c r="F15" s="11">
        <v>52.996000000000002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9"/>
      <c r="R15" s="9">
        <f>P15-D15</f>
        <v>-48.317</v>
      </c>
      <c r="U15" s="1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</row>
    <row r="16" spans="1:33" x14ac:dyDescent="0.35">
      <c r="A16" s="372">
        <v>7</v>
      </c>
      <c r="B16" s="10" t="s">
        <v>244</v>
      </c>
      <c r="C16" s="313">
        <v>241010659</v>
      </c>
      <c r="D16" s="11">
        <v>52.296999999999997</v>
      </c>
      <c r="E16" s="11">
        <v>55.701000000000001</v>
      </c>
      <c r="F16" s="11">
        <v>58.975999999999999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>
        <f>P16-D16</f>
        <v>-52.296999999999997</v>
      </c>
      <c r="U16" s="1">
        <v>7</v>
      </c>
      <c r="V16" s="146">
        <f t="shared" ref="V16:AG16" si="6">E16-D16</f>
        <v>3.4040000000000035</v>
      </c>
      <c r="W16" s="146">
        <f t="shared" si="6"/>
        <v>3.2749999999999986</v>
      </c>
      <c r="X16" s="146">
        <f t="shared" si="6"/>
        <v>-58.975999999999999</v>
      </c>
      <c r="Y16" s="146">
        <f t="shared" si="6"/>
        <v>0</v>
      </c>
      <c r="Z16" s="146">
        <f t="shared" si="6"/>
        <v>0</v>
      </c>
      <c r="AA16" s="146">
        <f t="shared" si="6"/>
        <v>0</v>
      </c>
      <c r="AB16" s="146">
        <f t="shared" si="6"/>
        <v>0</v>
      </c>
      <c r="AC16" s="146">
        <f t="shared" si="6"/>
        <v>0</v>
      </c>
      <c r="AD16" s="146">
        <f t="shared" si="6"/>
        <v>0</v>
      </c>
      <c r="AE16" s="146">
        <f t="shared" si="6"/>
        <v>0</v>
      </c>
      <c r="AF16" s="146">
        <f t="shared" si="6"/>
        <v>0</v>
      </c>
      <c r="AG16" s="146">
        <f t="shared" si="6"/>
        <v>0</v>
      </c>
    </row>
    <row r="17" spans="1:33" x14ac:dyDescent="0.35">
      <c r="A17" s="372"/>
      <c r="B17" s="10" t="s">
        <v>245</v>
      </c>
      <c r="C17" s="313">
        <v>71182247</v>
      </c>
      <c r="D17" s="11">
        <v>37.54</v>
      </c>
      <c r="E17" s="11">
        <v>39.755000000000003</v>
      </c>
      <c r="F17" s="11">
        <v>41.103000000000002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9"/>
      <c r="R17" s="9">
        <f>P17-D17</f>
        <v>-37.54</v>
      </c>
      <c r="U17" s="1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</row>
    <row r="18" spans="1:33" x14ac:dyDescent="0.35">
      <c r="A18" s="372">
        <v>8</v>
      </c>
      <c r="B18" s="10" t="s">
        <v>244</v>
      </c>
      <c r="C18" s="313">
        <v>241010622</v>
      </c>
      <c r="D18" s="11">
        <v>75.760000000000005</v>
      </c>
      <c r="E18" s="11">
        <v>81.828000000000003</v>
      </c>
      <c r="F18" s="11">
        <v>86.602999999999994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9">
        <f>P18-D18</f>
        <v>-75.760000000000005</v>
      </c>
      <c r="U18" s="1">
        <v>8</v>
      </c>
      <c r="V18" s="146">
        <f t="shared" ref="V18:AG18" si="7">E18-D18</f>
        <v>6.0679999999999978</v>
      </c>
      <c r="W18" s="146">
        <f t="shared" si="7"/>
        <v>4.7749999999999915</v>
      </c>
      <c r="X18" s="146">
        <f t="shared" si="7"/>
        <v>-86.602999999999994</v>
      </c>
      <c r="Y18" s="146">
        <f t="shared" si="7"/>
        <v>0</v>
      </c>
      <c r="Z18" s="146">
        <f t="shared" si="7"/>
        <v>0</v>
      </c>
      <c r="AA18" s="146">
        <f t="shared" si="7"/>
        <v>0</v>
      </c>
      <c r="AB18" s="146">
        <f t="shared" si="7"/>
        <v>0</v>
      </c>
      <c r="AC18" s="146">
        <f t="shared" si="7"/>
        <v>0</v>
      </c>
      <c r="AD18" s="146">
        <f t="shared" si="7"/>
        <v>0</v>
      </c>
      <c r="AE18" s="146">
        <f t="shared" si="7"/>
        <v>0</v>
      </c>
      <c r="AF18" s="146">
        <f t="shared" si="7"/>
        <v>0</v>
      </c>
      <c r="AG18" s="146">
        <f t="shared" si="7"/>
        <v>0</v>
      </c>
    </row>
    <row r="19" spans="1:33" x14ac:dyDescent="0.35">
      <c r="A19" s="372"/>
      <c r="B19" s="10" t="s">
        <v>245</v>
      </c>
      <c r="C19" s="313">
        <v>71182232</v>
      </c>
      <c r="D19" s="11">
        <v>105.69499999999999</v>
      </c>
      <c r="E19" s="11">
        <v>111.471</v>
      </c>
      <c r="F19" s="11">
        <v>115.032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9"/>
      <c r="R19" s="9">
        <f>P19-D19</f>
        <v>-105.69499999999999</v>
      </c>
      <c r="U19" s="1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</row>
    <row r="20" spans="1:33" x14ac:dyDescent="0.35">
      <c r="A20" s="372">
        <v>9</v>
      </c>
      <c r="B20" s="10" t="s">
        <v>244</v>
      </c>
      <c r="C20" s="313">
        <v>241010625</v>
      </c>
      <c r="D20" s="11">
        <v>153.01</v>
      </c>
      <c r="E20" s="11">
        <v>165.52799999999999</v>
      </c>
      <c r="F20" s="11">
        <v>176.37899999999999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>
        <f>P20-D20</f>
        <v>-153.01</v>
      </c>
      <c r="U20" s="1">
        <v>9</v>
      </c>
      <c r="V20" s="146">
        <f t="shared" ref="V20:AG20" si="8">E20-D20</f>
        <v>12.518000000000001</v>
      </c>
      <c r="W20" s="146">
        <f t="shared" si="8"/>
        <v>10.850999999999999</v>
      </c>
      <c r="X20" s="146">
        <f t="shared" si="8"/>
        <v>-176.37899999999999</v>
      </c>
      <c r="Y20" s="146">
        <f t="shared" si="8"/>
        <v>0</v>
      </c>
      <c r="Z20" s="146">
        <f t="shared" si="8"/>
        <v>0</v>
      </c>
      <c r="AA20" s="146">
        <f t="shared" si="8"/>
        <v>0</v>
      </c>
      <c r="AB20" s="146">
        <f t="shared" si="8"/>
        <v>0</v>
      </c>
      <c r="AC20" s="146">
        <f t="shared" si="8"/>
        <v>0</v>
      </c>
      <c r="AD20" s="146">
        <f t="shared" si="8"/>
        <v>0</v>
      </c>
      <c r="AE20" s="146">
        <f t="shared" si="8"/>
        <v>0</v>
      </c>
      <c r="AF20" s="146">
        <f t="shared" si="8"/>
        <v>0</v>
      </c>
      <c r="AG20" s="146">
        <f t="shared" si="8"/>
        <v>0</v>
      </c>
    </row>
    <row r="21" spans="1:33" x14ac:dyDescent="0.35">
      <c r="A21" s="372"/>
      <c r="B21" s="10" t="s">
        <v>245</v>
      </c>
      <c r="C21" s="313">
        <v>71182228</v>
      </c>
      <c r="D21" s="11">
        <v>127.65</v>
      </c>
      <c r="E21" s="11">
        <v>135.023</v>
      </c>
      <c r="F21" s="11">
        <v>139.75299999999999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>
        <f>P21-D21</f>
        <v>-127.65</v>
      </c>
      <c r="U21" s="1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</row>
    <row r="22" spans="1:33" x14ac:dyDescent="0.35">
      <c r="A22" s="372">
        <v>10</v>
      </c>
      <c r="B22" s="10" t="s">
        <v>244</v>
      </c>
      <c r="C22" s="313">
        <v>241010621</v>
      </c>
      <c r="D22" s="11">
        <v>0.371</v>
      </c>
      <c r="E22" s="11">
        <v>0.38500000000000001</v>
      </c>
      <c r="F22" s="11">
        <v>0.42699999999999999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9">
        <f>P22-D22</f>
        <v>-0.371</v>
      </c>
      <c r="U22" s="1">
        <v>10</v>
      </c>
      <c r="V22" s="146">
        <f t="shared" ref="V22:AG22" si="9">E22-D22</f>
        <v>1.4000000000000012E-2</v>
      </c>
      <c r="W22" s="146">
        <f t="shared" si="9"/>
        <v>4.1999999999999982E-2</v>
      </c>
      <c r="X22" s="146">
        <f t="shared" si="9"/>
        <v>-0.42699999999999999</v>
      </c>
      <c r="Y22" s="146">
        <f t="shared" si="9"/>
        <v>0</v>
      </c>
      <c r="Z22" s="146">
        <f t="shared" si="9"/>
        <v>0</v>
      </c>
      <c r="AA22" s="146">
        <f t="shared" si="9"/>
        <v>0</v>
      </c>
      <c r="AB22" s="146">
        <f t="shared" si="9"/>
        <v>0</v>
      </c>
      <c r="AC22" s="146">
        <f t="shared" si="9"/>
        <v>0</v>
      </c>
      <c r="AD22" s="146">
        <f t="shared" si="9"/>
        <v>0</v>
      </c>
      <c r="AE22" s="146">
        <f t="shared" si="9"/>
        <v>0</v>
      </c>
      <c r="AF22" s="146">
        <f t="shared" si="9"/>
        <v>0</v>
      </c>
      <c r="AG22" s="146">
        <f t="shared" si="9"/>
        <v>0</v>
      </c>
    </row>
    <row r="23" spans="1:33" x14ac:dyDescent="0.35">
      <c r="A23" s="372"/>
      <c r="B23" s="10" t="s">
        <v>245</v>
      </c>
      <c r="C23" s="313">
        <v>71182263</v>
      </c>
      <c r="D23" s="11">
        <v>0.161</v>
      </c>
      <c r="E23" s="11">
        <v>0.16200000000000001</v>
      </c>
      <c r="F23" s="11">
        <v>0.16200000000000001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97">
        <f>P23-D23</f>
        <v>-0.161</v>
      </c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</row>
    <row r="24" spans="1:33" x14ac:dyDescent="0.35">
      <c r="A24" s="113"/>
      <c r="B24" s="10"/>
      <c r="C24" s="313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-720.25799999999992</v>
      </c>
      <c r="R24" s="9">
        <f>SUM(R4:R23)</f>
        <v>-765.39699999999993</v>
      </c>
    </row>
    <row r="25" spans="1:33" x14ac:dyDescent="0.35">
      <c r="A25" s="113" t="s">
        <v>15</v>
      </c>
      <c r="B25" s="10" t="s">
        <v>254</v>
      </c>
      <c r="C25" s="313">
        <v>2480481736</v>
      </c>
      <c r="D25" s="15">
        <v>3977</v>
      </c>
      <c r="E25" s="15">
        <v>4737</v>
      </c>
      <c r="F25" s="15">
        <v>5050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>
        <f>P25-D25</f>
        <v>-3977</v>
      </c>
    </row>
    <row r="26" spans="1:33" ht="15" thickBot="1" x14ac:dyDescent="0.4">
      <c r="A26" s="113"/>
      <c r="B26" s="282" t="s">
        <v>247</v>
      </c>
      <c r="C26" s="317">
        <v>240826414</v>
      </c>
      <c r="D26" s="18">
        <v>783.7</v>
      </c>
      <c r="E26" s="18">
        <v>847.9</v>
      </c>
      <c r="F26" s="18">
        <v>906.1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9">
        <f>P26-D26</f>
        <v>-783.7</v>
      </c>
    </row>
    <row r="27" spans="1:33" x14ac:dyDescent="0.35">
      <c r="A27" s="119"/>
      <c r="B27" s="205" t="s">
        <v>215</v>
      </c>
      <c r="C27" s="313">
        <v>70465263</v>
      </c>
      <c r="D27" s="19">
        <v>1074.78</v>
      </c>
      <c r="E27" s="19">
        <v>1123.81</v>
      </c>
      <c r="F27" s="19">
        <v>1155.51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/>
      <c r="R27" s="9">
        <f>P27-D27</f>
        <v>-1074.78</v>
      </c>
      <c r="S27" t="s">
        <v>78</v>
      </c>
    </row>
    <row r="28" spans="1:33" ht="15" thickBot="1" x14ac:dyDescent="0.4">
      <c r="A28" s="4"/>
      <c r="B28" s="26" t="s">
        <v>29</v>
      </c>
      <c r="C28" s="318"/>
      <c r="D28" s="21">
        <v>8456</v>
      </c>
      <c r="E28" s="21">
        <v>8758</v>
      </c>
      <c r="F28" s="21">
        <v>8948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9"/>
      <c r="R28" s="16">
        <f>P28-D28</f>
        <v>-8456</v>
      </c>
      <c r="S28" t="s">
        <v>79</v>
      </c>
    </row>
    <row r="29" spans="1:33" ht="15" thickBot="1" x14ac:dyDescent="0.4">
      <c r="A29" s="121" t="s">
        <v>266</v>
      </c>
      <c r="B29" s="22"/>
      <c r="C29" s="310">
        <v>42012114941</v>
      </c>
      <c r="D29" s="23">
        <v>211</v>
      </c>
      <c r="E29" s="23">
        <v>537.6</v>
      </c>
      <c r="F29" s="23">
        <v>814.4</v>
      </c>
      <c r="G29" s="23"/>
      <c r="H29" s="23"/>
      <c r="I29" s="23"/>
      <c r="J29" s="23"/>
      <c r="K29" s="23"/>
      <c r="L29" s="23"/>
      <c r="M29" s="23"/>
      <c r="N29" s="23"/>
      <c r="O29" s="263"/>
      <c r="P29" s="23"/>
      <c r="Q29" s="9">
        <f>P29-D29</f>
        <v>-211</v>
      </c>
    </row>
    <row r="30" spans="1:33" x14ac:dyDescent="0.35">
      <c r="G30" s="250"/>
    </row>
    <row r="32" spans="1:33" x14ac:dyDescent="0.35">
      <c r="E32" t="s">
        <v>126</v>
      </c>
      <c r="H32" s="172" t="s">
        <v>127</v>
      </c>
      <c r="I32" s="1" t="s">
        <v>79</v>
      </c>
      <c r="K32" t="s">
        <v>135</v>
      </c>
      <c r="N32" s="1" t="s">
        <v>79</v>
      </c>
    </row>
    <row r="33" spans="3:18" x14ac:dyDescent="0.35">
      <c r="D33" t="s">
        <v>129</v>
      </c>
      <c r="E33" s="160">
        <v>43984</v>
      </c>
      <c r="F33" s="84" t="s">
        <v>115</v>
      </c>
      <c r="G33" s="84"/>
      <c r="H33" s="167"/>
      <c r="I33" s="108"/>
      <c r="K33" s="177">
        <v>46003</v>
      </c>
      <c r="L33" s="84" t="s">
        <v>115</v>
      </c>
      <c r="M33" s="297">
        <v>42012114941</v>
      </c>
      <c r="N33" s="84">
        <v>17286</v>
      </c>
      <c r="P33" s="298">
        <f>N33-D29+200</f>
        <v>17275</v>
      </c>
      <c r="Q33" s="298" t="s">
        <v>234</v>
      </c>
      <c r="R33" s="298"/>
    </row>
    <row r="34" spans="3:18" x14ac:dyDescent="0.35">
      <c r="E34" s="168"/>
      <c r="F34" s="169"/>
      <c r="G34" s="169" t="s">
        <v>128</v>
      </c>
      <c r="H34" s="171" t="s">
        <v>78</v>
      </c>
      <c r="I34" s="170" t="s">
        <v>79</v>
      </c>
      <c r="L34" s="1"/>
      <c r="M34" s="169" t="s">
        <v>128</v>
      </c>
      <c r="N34" s="170" t="s">
        <v>79</v>
      </c>
      <c r="P34" s="298">
        <f>P29</f>
        <v>0</v>
      </c>
      <c r="Q34" s="298" t="s">
        <v>235</v>
      </c>
      <c r="R34" s="298"/>
    </row>
    <row r="35" spans="3:18" x14ac:dyDescent="0.35">
      <c r="D35" t="s">
        <v>130</v>
      </c>
      <c r="E35" s="160">
        <v>43986</v>
      </c>
      <c r="F35" s="84" t="s">
        <v>116</v>
      </c>
      <c r="G35" s="84"/>
      <c r="H35" s="167"/>
      <c r="I35" s="108"/>
      <c r="K35" s="177">
        <v>46003</v>
      </c>
      <c r="L35" s="84" t="s">
        <v>116</v>
      </c>
      <c r="M35" s="297">
        <v>42012252632</v>
      </c>
      <c r="N35" s="84">
        <v>0</v>
      </c>
      <c r="P35" s="298">
        <f>P33+P34</f>
        <v>17275</v>
      </c>
      <c r="Q35" s="298" t="s">
        <v>236</v>
      </c>
      <c r="R35" s="298"/>
    </row>
    <row r="38" spans="3:18" x14ac:dyDescent="0.35">
      <c r="C38" s="231" t="s">
        <v>104</v>
      </c>
      <c r="D38" s="25" t="s">
        <v>117</v>
      </c>
      <c r="F38" s="231" t="s">
        <v>169</v>
      </c>
      <c r="G38" s="231" t="s">
        <v>170</v>
      </c>
      <c r="N38" s="280" t="s">
        <v>227</v>
      </c>
      <c r="O38">
        <f>D29</f>
        <v>211</v>
      </c>
    </row>
    <row r="39" spans="3:18" x14ac:dyDescent="0.35">
      <c r="C39" s="379">
        <v>5</v>
      </c>
      <c r="D39" s="380">
        <v>43950</v>
      </c>
      <c r="E39" s="84" t="s">
        <v>115</v>
      </c>
      <c r="F39" s="106">
        <v>190907002</v>
      </c>
      <c r="G39" s="109">
        <v>0.60199999999999998</v>
      </c>
      <c r="N39" s="299" t="s">
        <v>237</v>
      </c>
      <c r="O39" s="74">
        <f>N33+200</f>
        <v>17486</v>
      </c>
      <c r="P39" t="s">
        <v>238</v>
      </c>
    </row>
    <row r="40" spans="3:18" x14ac:dyDescent="0.35">
      <c r="C40" s="379"/>
      <c r="D40" s="380"/>
      <c r="E40" s="84" t="s">
        <v>116</v>
      </c>
      <c r="F40" s="106">
        <v>221525395</v>
      </c>
      <c r="G40" s="109">
        <v>0.02</v>
      </c>
      <c r="N40" s="299" t="s">
        <v>228</v>
      </c>
      <c r="O40">
        <f>P29</f>
        <v>0</v>
      </c>
    </row>
    <row r="41" spans="3:18" x14ac:dyDescent="0.35">
      <c r="N41" s="206"/>
    </row>
    <row r="42" spans="3:18" x14ac:dyDescent="0.35">
      <c r="C42" t="s">
        <v>125</v>
      </c>
      <c r="N42" s="234" t="s">
        <v>171</v>
      </c>
      <c r="O42">
        <f>P29+O39-O38</f>
        <v>17275</v>
      </c>
    </row>
    <row r="43" spans="3:18" x14ac:dyDescent="0.35">
      <c r="C43" s="380">
        <v>45415</v>
      </c>
      <c r="D43" s="84" t="s">
        <v>115</v>
      </c>
      <c r="E43" s="384">
        <v>72370871</v>
      </c>
      <c r="F43" s="384"/>
      <c r="G43" s="106"/>
    </row>
    <row r="44" spans="3:18" x14ac:dyDescent="0.35">
      <c r="C44" s="380"/>
      <c r="D44" s="84" t="s">
        <v>116</v>
      </c>
      <c r="E44" s="384">
        <v>2480481736</v>
      </c>
      <c r="F44" s="384"/>
      <c r="G44" s="106"/>
    </row>
  </sheetData>
  <sheetProtection selectLockedCells="1" selectUnlockedCells="1"/>
  <mergeCells count="15">
    <mergeCell ref="C43:C44"/>
    <mergeCell ref="E43:F43"/>
    <mergeCell ref="E44:F44"/>
    <mergeCell ref="C39:C40"/>
    <mergeCell ref="D39:D40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phoneticPr fontId="50" type="noConversion"/>
  <conditionalFormatting sqref="E4">
    <cfRule type="cellIs" dxfId="2453" priority="66" stopIfTrue="1" operator="lessThan">
      <formula>$D$4</formula>
    </cfRule>
    <cfRule type="cellIs" dxfId="2452" priority="67" stopIfTrue="1" operator="equal">
      <formula>$D$4</formula>
    </cfRule>
  </conditionalFormatting>
  <conditionalFormatting sqref="E5">
    <cfRule type="cellIs" dxfId="2451" priority="70" stopIfTrue="1" operator="equal">
      <formula>$D$5</formula>
    </cfRule>
    <cfRule type="cellIs" dxfId="2450" priority="71" stopIfTrue="1" operator="lessThan">
      <formula>$D$5</formula>
    </cfRule>
  </conditionalFormatting>
  <conditionalFormatting sqref="E6">
    <cfRule type="cellIs" dxfId="2449" priority="78" stopIfTrue="1" operator="lessThan">
      <formula>$D$6</formula>
    </cfRule>
    <cfRule type="cellIs" dxfId="2448" priority="77" stopIfTrue="1" operator="equal">
      <formula>$D$6</formula>
    </cfRule>
  </conditionalFormatting>
  <conditionalFormatting sqref="E7">
    <cfRule type="cellIs" dxfId="2447" priority="92" stopIfTrue="1" operator="lessThan">
      <formula>$D$7</formula>
    </cfRule>
    <cfRule type="cellIs" dxfId="2446" priority="91" stopIfTrue="1" operator="equal">
      <formula>$D$7</formula>
    </cfRule>
  </conditionalFormatting>
  <conditionalFormatting sqref="E8">
    <cfRule type="cellIs" dxfId="2445" priority="104" stopIfTrue="1" operator="lessThan">
      <formula>$D$8</formula>
    </cfRule>
    <cfRule type="cellIs" dxfId="2444" priority="103" stopIfTrue="1" operator="equal">
      <formula>$D$8</formula>
    </cfRule>
  </conditionalFormatting>
  <conditionalFormatting sqref="E9">
    <cfRule type="cellIs" dxfId="2443" priority="117" stopIfTrue="1" operator="equal">
      <formula>$D$9</formula>
    </cfRule>
    <cfRule type="cellIs" dxfId="2442" priority="118" stopIfTrue="1" operator="lessThan">
      <formula>$D$9</formula>
    </cfRule>
  </conditionalFormatting>
  <conditionalFormatting sqref="E10">
    <cfRule type="cellIs" dxfId="2441" priority="132" stopIfTrue="1" operator="lessThan">
      <formula>$D$10</formula>
    </cfRule>
    <cfRule type="cellIs" dxfId="2440" priority="131" stopIfTrue="1" operator="equal">
      <formula>$D$10</formula>
    </cfRule>
  </conditionalFormatting>
  <conditionalFormatting sqref="E11">
    <cfRule type="cellIs" dxfId="2439" priority="145" stopIfTrue="1" operator="equal">
      <formula>$D$11</formula>
    </cfRule>
    <cfRule type="cellIs" dxfId="2438" priority="146" stopIfTrue="1" operator="lessThan">
      <formula>$D$11</formula>
    </cfRule>
  </conditionalFormatting>
  <conditionalFormatting sqref="E12">
    <cfRule type="cellIs" dxfId="2437" priority="159" stopIfTrue="1" operator="equal">
      <formula>$D$12</formula>
    </cfRule>
    <cfRule type="cellIs" dxfId="2436" priority="160" stopIfTrue="1" operator="lessThan">
      <formula>$D$12</formula>
    </cfRule>
  </conditionalFormatting>
  <conditionalFormatting sqref="E13">
    <cfRule type="cellIs" dxfId="2435" priority="291" stopIfTrue="1" operator="equal">
      <formula>$D$13</formula>
    </cfRule>
    <cfRule type="cellIs" dxfId="2434" priority="292" stopIfTrue="1" operator="lessThan">
      <formula>$D$13</formula>
    </cfRule>
  </conditionalFormatting>
  <conditionalFormatting sqref="E14">
    <cfRule type="cellIs" dxfId="2433" priority="174" stopIfTrue="1" operator="lessThan">
      <formula>$D$14</formula>
    </cfRule>
    <cfRule type="cellIs" dxfId="2432" priority="173" stopIfTrue="1" operator="equal">
      <formula>$D$14</formula>
    </cfRule>
  </conditionalFormatting>
  <conditionalFormatting sqref="E15">
    <cfRule type="cellIs" dxfId="2431" priority="176" stopIfTrue="1" operator="lessThan">
      <formula>$D$15</formula>
    </cfRule>
    <cfRule type="cellIs" dxfId="2430" priority="175" stopIfTrue="1" operator="equal">
      <formula>$D$15</formula>
    </cfRule>
  </conditionalFormatting>
  <conditionalFormatting sqref="E16">
    <cfRule type="cellIs" dxfId="2429" priority="178" stopIfTrue="1" operator="lessThan">
      <formula>$D$16</formula>
    </cfRule>
    <cfRule type="cellIs" dxfId="2428" priority="177" stopIfTrue="1" operator="equal">
      <formula>$D$16</formula>
    </cfRule>
  </conditionalFormatting>
  <conditionalFormatting sqref="E17">
    <cfRule type="cellIs" dxfId="2427" priority="179" stopIfTrue="1" operator="equal">
      <formula>$D$17</formula>
    </cfRule>
    <cfRule type="cellIs" dxfId="2426" priority="180" stopIfTrue="1" operator="lessThan">
      <formula>$D$17</formula>
    </cfRule>
  </conditionalFormatting>
  <conditionalFormatting sqref="E18">
    <cfRule type="cellIs" dxfId="2425" priority="181" stopIfTrue="1" operator="equal">
      <formula>$D$18</formula>
    </cfRule>
    <cfRule type="cellIs" dxfId="2424" priority="182" stopIfTrue="1" operator="lessThan">
      <formula>$D$18</formula>
    </cfRule>
  </conditionalFormatting>
  <conditionalFormatting sqref="E19">
    <cfRule type="cellIs" dxfId="2423" priority="184" stopIfTrue="1" operator="lessThan">
      <formula>$D$19</formula>
    </cfRule>
    <cfRule type="cellIs" dxfId="2422" priority="183" stopIfTrue="1" operator="equal">
      <formula>$D$19</formula>
    </cfRule>
  </conditionalFormatting>
  <conditionalFormatting sqref="E20">
    <cfRule type="cellIs" dxfId="2421" priority="185" stopIfTrue="1" operator="equal">
      <formula>$D$20</formula>
    </cfRule>
    <cfRule type="cellIs" dxfId="2420" priority="186" stopIfTrue="1" operator="lessThan">
      <formula>$D$20</formula>
    </cfRule>
  </conditionalFormatting>
  <conditionalFormatting sqref="E21">
    <cfRule type="cellIs" dxfId="2419" priority="188" stopIfTrue="1" operator="lessThan">
      <formula>$D$21</formula>
    </cfRule>
    <cfRule type="cellIs" dxfId="2418" priority="187" stopIfTrue="1" operator="equal">
      <formula>$D$21</formula>
    </cfRule>
  </conditionalFormatting>
  <conditionalFormatting sqref="E22">
    <cfRule type="cellIs" dxfId="2417" priority="189" stopIfTrue="1" operator="equal">
      <formula>$D$22</formula>
    </cfRule>
    <cfRule type="cellIs" dxfId="2416" priority="190" stopIfTrue="1" operator="lessThan">
      <formula>$D$22</formula>
    </cfRule>
  </conditionalFormatting>
  <conditionalFormatting sqref="E23">
    <cfRule type="cellIs" dxfId="2415" priority="191" stopIfTrue="1" operator="equal">
      <formula>$D$23</formula>
    </cfRule>
    <cfRule type="cellIs" dxfId="2414" priority="192" stopIfTrue="1" operator="lessThan">
      <formula>$D$23</formula>
    </cfRule>
  </conditionalFormatting>
  <conditionalFormatting sqref="E24">
    <cfRule type="cellIs" dxfId="2413" priority="324" stopIfTrue="1" operator="lessThan">
      <formula>$D$24</formula>
    </cfRule>
    <cfRule type="cellIs" dxfId="2412" priority="323" stopIfTrue="1" operator="equal">
      <formula>$D$24</formula>
    </cfRule>
  </conditionalFormatting>
  <conditionalFormatting sqref="E25">
    <cfRule type="cellIs" dxfId="2411" priority="194" stopIfTrue="1" operator="lessThan">
      <formula>$D$25</formula>
    </cfRule>
    <cfRule type="cellIs" dxfId="2410" priority="193" stopIfTrue="1" operator="equal">
      <formula>$D$25</formula>
    </cfRule>
  </conditionalFormatting>
  <conditionalFormatting sqref="E26">
    <cfRule type="cellIs" dxfId="2409" priority="196" stopIfTrue="1" operator="lessThan">
      <formula>$D$26</formula>
    </cfRule>
    <cfRule type="cellIs" dxfId="2408" priority="195" stopIfTrue="1" operator="equal">
      <formula>$D$26</formula>
    </cfRule>
  </conditionalFormatting>
  <conditionalFormatting sqref="E27">
    <cfRule type="cellIs" dxfId="2407" priority="198" stopIfTrue="1" operator="lessThan">
      <formula>$D$27</formula>
    </cfRule>
    <cfRule type="cellIs" dxfId="2406" priority="197" stopIfTrue="1" operator="equal">
      <formula>$D$27</formula>
    </cfRule>
  </conditionalFormatting>
  <conditionalFormatting sqref="E28">
    <cfRule type="cellIs" dxfId="2405" priority="199" stopIfTrue="1" operator="equal">
      <formula>$D$28</formula>
    </cfRule>
    <cfRule type="cellIs" dxfId="2404" priority="200" stopIfTrue="1" operator="lessThan">
      <formula>$D$28</formula>
    </cfRule>
  </conditionalFormatting>
  <conditionalFormatting sqref="E29:I29 K29">
    <cfRule type="cellIs" dxfId="2403" priority="338" stopIfTrue="1" operator="equal">
      <formula>0</formula>
    </cfRule>
  </conditionalFormatting>
  <conditionalFormatting sqref="F4">
    <cfRule type="cellIs" dxfId="2402" priority="69" stopIfTrue="1" operator="lessThan">
      <formula>$E$4</formula>
    </cfRule>
    <cfRule type="cellIs" dxfId="2401" priority="68" stopIfTrue="1" operator="equal">
      <formula>$E$4</formula>
    </cfRule>
  </conditionalFormatting>
  <conditionalFormatting sqref="F5">
    <cfRule type="cellIs" dxfId="2400" priority="333" stopIfTrue="1" operator="equal">
      <formula>$E$5</formula>
    </cfRule>
    <cfRule type="cellIs" dxfId="2399" priority="334" stopIfTrue="1" operator="lessThan">
      <formula>$E$5</formula>
    </cfRule>
  </conditionalFormatting>
  <conditionalFormatting sqref="F6">
    <cfRule type="cellIs" dxfId="2398" priority="80" stopIfTrue="1" operator="lessThan">
      <formula>$E$6</formula>
    </cfRule>
    <cfRule type="cellIs" dxfId="2397" priority="79" stopIfTrue="1" operator="equal">
      <formula>$E$6</formula>
    </cfRule>
  </conditionalFormatting>
  <conditionalFormatting sqref="F7">
    <cfRule type="cellIs" dxfId="2396" priority="93" stopIfTrue="1" operator="equal">
      <formula>$E$7</formula>
    </cfRule>
    <cfRule type="cellIs" dxfId="2395" priority="94" stopIfTrue="1" operator="lessThan">
      <formula>$E$7</formula>
    </cfRule>
  </conditionalFormatting>
  <conditionalFormatting sqref="F8">
    <cfRule type="cellIs" dxfId="2394" priority="106" stopIfTrue="1" operator="lessThan">
      <formula>$E$8</formula>
    </cfRule>
    <cfRule type="cellIs" dxfId="2393" priority="105" stopIfTrue="1" operator="equal">
      <formula>$E$8</formula>
    </cfRule>
  </conditionalFormatting>
  <conditionalFormatting sqref="F9">
    <cfRule type="cellIs" dxfId="2392" priority="120" stopIfTrue="1" operator="lessThan">
      <formula>$E$9</formula>
    </cfRule>
    <cfRule type="cellIs" dxfId="2391" priority="119" stopIfTrue="1" operator="equal">
      <formula>$E$9</formula>
    </cfRule>
  </conditionalFormatting>
  <conditionalFormatting sqref="F10">
    <cfRule type="cellIs" dxfId="2390" priority="133" stopIfTrue="1" operator="equal">
      <formula>$E$10</formula>
    </cfRule>
    <cfRule type="cellIs" dxfId="2389" priority="134" stopIfTrue="1" operator="lessThan">
      <formula>$E$10</formula>
    </cfRule>
  </conditionalFormatting>
  <conditionalFormatting sqref="F11">
    <cfRule type="cellIs" dxfId="2388" priority="147" stopIfTrue="1" operator="equal">
      <formula>$E$11</formula>
    </cfRule>
    <cfRule type="cellIs" dxfId="2387" priority="148" stopIfTrue="1" operator="lessThan">
      <formula>$E$11</formula>
    </cfRule>
  </conditionalFormatting>
  <conditionalFormatting sqref="F12">
    <cfRule type="cellIs" dxfId="2386" priority="162" stopIfTrue="1" operator="lessThan">
      <formula>$E$12</formula>
    </cfRule>
    <cfRule type="cellIs" dxfId="2385" priority="161" stopIfTrue="1" operator="equal">
      <formula>$E$12</formula>
    </cfRule>
  </conditionalFormatting>
  <conditionalFormatting sqref="F13">
    <cfRule type="cellIs" dxfId="2384" priority="202" stopIfTrue="1" operator="lessThan">
      <formula>$E$13</formula>
    </cfRule>
    <cfRule type="cellIs" dxfId="2383" priority="201" stopIfTrue="1" operator="equal">
      <formula>$E$13</formula>
    </cfRule>
  </conditionalFormatting>
  <conditionalFormatting sqref="F14">
    <cfRule type="cellIs" dxfId="2382" priority="203" stopIfTrue="1" operator="equal">
      <formula>$E$14</formula>
    </cfRule>
    <cfRule type="cellIs" dxfId="2381" priority="204" stopIfTrue="1" operator="lessThan">
      <formula>$E$14</formula>
    </cfRule>
  </conditionalFormatting>
  <conditionalFormatting sqref="F15">
    <cfRule type="cellIs" dxfId="2380" priority="205" stopIfTrue="1" operator="equal">
      <formula>$E$15</formula>
    </cfRule>
    <cfRule type="cellIs" dxfId="2379" priority="206" stopIfTrue="1" operator="lessThan">
      <formula>$E$15</formula>
    </cfRule>
  </conditionalFormatting>
  <conditionalFormatting sqref="F16">
    <cfRule type="cellIs" dxfId="2378" priority="207" stopIfTrue="1" operator="equal">
      <formula>$E$16</formula>
    </cfRule>
    <cfRule type="cellIs" dxfId="2377" priority="208" stopIfTrue="1" operator="lessThan">
      <formula>$E$16</formula>
    </cfRule>
  </conditionalFormatting>
  <conditionalFormatting sqref="F17">
    <cfRule type="cellIs" dxfId="2376" priority="209" stopIfTrue="1" operator="equal">
      <formula>$E$17</formula>
    </cfRule>
    <cfRule type="cellIs" dxfId="2375" priority="210" stopIfTrue="1" operator="lessThan">
      <formula>$E$17</formula>
    </cfRule>
  </conditionalFormatting>
  <conditionalFormatting sqref="F18">
    <cfRule type="cellIs" dxfId="2374" priority="211" stopIfTrue="1" operator="equal">
      <formula>$E$18</formula>
    </cfRule>
    <cfRule type="cellIs" dxfId="2373" priority="212" stopIfTrue="1" operator="lessThan">
      <formula>$E$18</formula>
    </cfRule>
  </conditionalFormatting>
  <conditionalFormatting sqref="F19">
    <cfRule type="cellIs" dxfId="2372" priority="214" stopIfTrue="1" operator="lessThan">
      <formula>$E$19</formula>
    </cfRule>
    <cfRule type="cellIs" dxfId="2371" priority="213" stopIfTrue="1" operator="equal">
      <formula>$E$19</formula>
    </cfRule>
  </conditionalFormatting>
  <conditionalFormatting sqref="F20">
    <cfRule type="cellIs" dxfId="2370" priority="216" stopIfTrue="1" operator="lessThan">
      <formula>$E$20</formula>
    </cfRule>
    <cfRule type="cellIs" dxfId="2369" priority="215" stopIfTrue="1" operator="equal">
      <formula>$E$20</formula>
    </cfRule>
  </conditionalFormatting>
  <conditionalFormatting sqref="F21">
    <cfRule type="cellIs" dxfId="2368" priority="218" stopIfTrue="1" operator="lessThan">
      <formula>$E$21</formula>
    </cfRule>
    <cfRule type="cellIs" dxfId="2367" priority="217" stopIfTrue="1" operator="equal">
      <formula>$E$21</formula>
    </cfRule>
  </conditionalFormatting>
  <conditionalFormatting sqref="F22">
    <cfRule type="cellIs" dxfId="2366" priority="220" stopIfTrue="1" operator="lessThan">
      <formula>$E$22</formula>
    </cfRule>
    <cfRule type="cellIs" dxfId="2365" priority="219" stopIfTrue="1" operator="equal">
      <formula>$E$22</formula>
    </cfRule>
  </conditionalFormatting>
  <conditionalFormatting sqref="F23">
    <cfRule type="cellIs" dxfId="2364" priority="221" stopIfTrue="1" operator="equal">
      <formula>$E$23</formula>
    </cfRule>
    <cfRule type="cellIs" dxfId="2363" priority="222" stopIfTrue="1" operator="lessThan">
      <formula>$E$23</formula>
    </cfRule>
  </conditionalFormatting>
  <conditionalFormatting sqref="F24">
    <cfRule type="cellIs" dxfId="2362" priority="325" stopIfTrue="1" operator="equal">
      <formula>$E$24</formula>
    </cfRule>
    <cfRule type="cellIs" dxfId="2361" priority="326" stopIfTrue="1" operator="lessThan">
      <formula>$E$24</formula>
    </cfRule>
  </conditionalFormatting>
  <conditionalFormatting sqref="F25">
    <cfRule type="cellIs" dxfId="2360" priority="223" stopIfTrue="1" operator="equal">
      <formula>$E$25</formula>
    </cfRule>
    <cfRule type="cellIs" dxfId="2359" priority="224" stopIfTrue="1" operator="lessThan">
      <formula>$E$25</formula>
    </cfRule>
  </conditionalFormatting>
  <conditionalFormatting sqref="F26">
    <cfRule type="cellIs" dxfId="2358" priority="225" stopIfTrue="1" operator="equal">
      <formula>$E$26</formula>
    </cfRule>
    <cfRule type="cellIs" dxfId="2357" priority="226" stopIfTrue="1" operator="lessThan">
      <formula>$E$26</formula>
    </cfRule>
  </conditionalFormatting>
  <conditionalFormatting sqref="F27">
    <cfRule type="cellIs" dxfId="2356" priority="227" stopIfTrue="1" operator="equal">
      <formula>$E$27</formula>
    </cfRule>
    <cfRule type="cellIs" dxfId="2355" priority="228" stopIfTrue="1" operator="lessThan">
      <formula>$E$27</formula>
    </cfRule>
  </conditionalFormatting>
  <conditionalFormatting sqref="F28">
    <cfRule type="cellIs" dxfId="2354" priority="230" stopIfTrue="1" operator="lessThan">
      <formula>$E$28</formula>
    </cfRule>
    <cfRule type="cellIs" dxfId="2353" priority="229" stopIfTrue="1" operator="equal">
      <formula>$E$28</formula>
    </cfRule>
  </conditionalFormatting>
  <conditionalFormatting sqref="G4">
    <cfRule type="cellIs" dxfId="2352" priority="65" stopIfTrue="1" operator="lessThan">
      <formula>$F$4</formula>
    </cfRule>
    <cfRule type="cellIs" dxfId="2351" priority="64" stopIfTrue="1" operator="equal">
      <formula>$F$4</formula>
    </cfRule>
  </conditionalFormatting>
  <conditionalFormatting sqref="G5">
    <cfRule type="cellIs" dxfId="2350" priority="73" stopIfTrue="1" operator="lessThan">
      <formula>$F$5</formula>
    </cfRule>
    <cfRule type="cellIs" dxfId="2349" priority="72" stopIfTrue="1" operator="equal">
      <formula>$F$5</formula>
    </cfRule>
  </conditionalFormatting>
  <conditionalFormatting sqref="G6">
    <cfRule type="cellIs" dxfId="2348" priority="81" stopIfTrue="1" operator="equal">
      <formula>$F$6</formula>
    </cfRule>
    <cfRule type="cellIs" dxfId="2347" priority="82" stopIfTrue="1" operator="lessThan">
      <formula>$F$6</formula>
    </cfRule>
  </conditionalFormatting>
  <conditionalFormatting sqref="G7">
    <cfRule type="cellIs" dxfId="2346" priority="95" stopIfTrue="1" operator="equal">
      <formula>$F$7</formula>
    </cfRule>
    <cfRule type="cellIs" dxfId="2345" priority="96" stopIfTrue="1" operator="lessThan">
      <formula>$F$7</formula>
    </cfRule>
  </conditionalFormatting>
  <conditionalFormatting sqref="G8">
    <cfRule type="cellIs" dxfId="2344" priority="107" stopIfTrue="1" operator="equal">
      <formula>$F$8</formula>
    </cfRule>
    <cfRule type="cellIs" dxfId="2343" priority="108" stopIfTrue="1" operator="lessThan">
      <formula>$F$8</formula>
    </cfRule>
  </conditionalFormatting>
  <conditionalFormatting sqref="G9">
    <cfRule type="cellIs" dxfId="2342" priority="121" stopIfTrue="1" operator="equal">
      <formula>$F$9</formula>
    </cfRule>
    <cfRule type="cellIs" dxfId="2341" priority="122" stopIfTrue="1" operator="lessThan">
      <formula>$F$9</formula>
    </cfRule>
  </conditionalFormatting>
  <conditionalFormatting sqref="G10">
    <cfRule type="cellIs" dxfId="2340" priority="136" stopIfTrue="1" operator="lessThan">
      <formula>$F$10</formula>
    </cfRule>
    <cfRule type="cellIs" dxfId="2339" priority="135" stopIfTrue="1" operator="equal">
      <formula>$F$10</formula>
    </cfRule>
  </conditionalFormatting>
  <conditionalFormatting sqref="G11">
    <cfRule type="cellIs" dxfId="2338" priority="149" stopIfTrue="1" operator="equal">
      <formula>$F$11</formula>
    </cfRule>
    <cfRule type="cellIs" dxfId="2337" priority="150" stopIfTrue="1" operator="lessThan">
      <formula>$F$11</formula>
    </cfRule>
  </conditionalFormatting>
  <conditionalFormatting sqref="G12">
    <cfRule type="cellIs" dxfId="2336" priority="164" stopIfTrue="1" operator="lessThan">
      <formula>$F$12</formula>
    </cfRule>
    <cfRule type="cellIs" dxfId="2335" priority="163" stopIfTrue="1" operator="equal">
      <formula>$F$12</formula>
    </cfRule>
  </conditionalFormatting>
  <conditionalFormatting sqref="G13">
    <cfRule type="cellIs" dxfId="2334" priority="231" stopIfTrue="1" operator="equal">
      <formula>$F$13</formula>
    </cfRule>
    <cfRule type="cellIs" dxfId="2333" priority="232" stopIfTrue="1" operator="lessThan">
      <formula>$F$13</formula>
    </cfRule>
  </conditionalFormatting>
  <conditionalFormatting sqref="G14">
    <cfRule type="cellIs" dxfId="2332" priority="233" stopIfTrue="1" operator="equal">
      <formula>$F$14</formula>
    </cfRule>
    <cfRule type="cellIs" dxfId="2331" priority="234" stopIfTrue="1" operator="lessThan">
      <formula>$F$14</formula>
    </cfRule>
  </conditionalFormatting>
  <conditionalFormatting sqref="G15">
    <cfRule type="cellIs" dxfId="2330" priority="236" stopIfTrue="1" operator="lessThan">
      <formula>$F$15</formula>
    </cfRule>
    <cfRule type="cellIs" dxfId="2329" priority="235" stopIfTrue="1" operator="equal">
      <formula>$F$15</formula>
    </cfRule>
  </conditionalFormatting>
  <conditionalFormatting sqref="G16">
    <cfRule type="cellIs" dxfId="2328" priority="237" stopIfTrue="1" operator="equal">
      <formula>$F$16</formula>
    </cfRule>
    <cfRule type="cellIs" dxfId="2327" priority="238" stopIfTrue="1" operator="lessThan">
      <formula>$F$16</formula>
    </cfRule>
  </conditionalFormatting>
  <conditionalFormatting sqref="G17">
    <cfRule type="cellIs" dxfId="2326" priority="239" stopIfTrue="1" operator="equal">
      <formula>$F$17</formula>
    </cfRule>
    <cfRule type="cellIs" dxfId="2325" priority="240" stopIfTrue="1" operator="lessThan">
      <formula>$F$17</formula>
    </cfRule>
  </conditionalFormatting>
  <conditionalFormatting sqref="G18">
    <cfRule type="cellIs" dxfId="2324" priority="242" stopIfTrue="1" operator="lessThan">
      <formula>$F$18</formula>
    </cfRule>
    <cfRule type="cellIs" dxfId="2323" priority="241" stopIfTrue="1" operator="equal">
      <formula>$F$18</formula>
    </cfRule>
  </conditionalFormatting>
  <conditionalFormatting sqref="G19">
    <cfRule type="cellIs" dxfId="2322" priority="244" stopIfTrue="1" operator="lessThan">
      <formula>$F$19</formula>
    </cfRule>
    <cfRule type="cellIs" dxfId="2321" priority="243" stopIfTrue="1" operator="equal">
      <formula>$F$19</formula>
    </cfRule>
  </conditionalFormatting>
  <conditionalFormatting sqref="G20">
    <cfRule type="cellIs" dxfId="2320" priority="246" stopIfTrue="1" operator="lessThan">
      <formula>$F$20</formula>
    </cfRule>
    <cfRule type="cellIs" dxfId="2319" priority="245" stopIfTrue="1" operator="equal">
      <formula>$F$20</formula>
    </cfRule>
  </conditionalFormatting>
  <conditionalFormatting sqref="G21">
    <cfRule type="cellIs" dxfId="2318" priority="247" stopIfTrue="1" operator="equal">
      <formula>$F$21</formula>
    </cfRule>
    <cfRule type="cellIs" dxfId="2317" priority="248" stopIfTrue="1" operator="lessThan">
      <formula>$F$21</formula>
    </cfRule>
  </conditionalFormatting>
  <conditionalFormatting sqref="G22">
    <cfRule type="cellIs" dxfId="2316" priority="249" stopIfTrue="1" operator="equal">
      <formula>$F$22</formula>
    </cfRule>
    <cfRule type="cellIs" dxfId="2315" priority="250" stopIfTrue="1" operator="lessThan">
      <formula>$F$22</formula>
    </cfRule>
  </conditionalFormatting>
  <conditionalFormatting sqref="G23">
    <cfRule type="cellIs" dxfId="2314" priority="251" stopIfTrue="1" operator="equal">
      <formula>$F$23</formula>
    </cfRule>
    <cfRule type="cellIs" dxfId="2313" priority="252" stopIfTrue="1" operator="lessThan">
      <formula>$F$23</formula>
    </cfRule>
  </conditionalFormatting>
  <conditionalFormatting sqref="G24">
    <cfRule type="cellIs" dxfId="2312" priority="328" stopIfTrue="1" operator="lessThan">
      <formula>$F$24</formula>
    </cfRule>
    <cfRule type="cellIs" dxfId="2311" priority="327" stopIfTrue="1" operator="equal">
      <formula>$F$24</formula>
    </cfRule>
  </conditionalFormatting>
  <conditionalFormatting sqref="G25">
    <cfRule type="cellIs" dxfId="2310" priority="253" stopIfTrue="1" operator="equal">
      <formula>$F$25</formula>
    </cfRule>
    <cfRule type="cellIs" dxfId="2309" priority="254" stopIfTrue="1" operator="lessThan">
      <formula>$F$25</formula>
    </cfRule>
  </conditionalFormatting>
  <conditionalFormatting sqref="G26">
    <cfRule type="cellIs" dxfId="2308" priority="256" stopIfTrue="1" operator="lessThan">
      <formula>$F$26</formula>
    </cfRule>
    <cfRule type="cellIs" dxfId="2307" priority="255" stopIfTrue="1" operator="equal">
      <formula>$F$26</formula>
    </cfRule>
  </conditionalFormatting>
  <conditionalFormatting sqref="G27">
    <cfRule type="cellIs" dxfId="2306" priority="258" stopIfTrue="1" operator="lessThan">
      <formula>$F$27</formula>
    </cfRule>
    <cfRule type="cellIs" dxfId="2305" priority="257" stopIfTrue="1" operator="equal">
      <formula>$F$27</formula>
    </cfRule>
  </conditionalFormatting>
  <conditionalFormatting sqref="G28">
    <cfRule type="cellIs" dxfId="2304" priority="260" stopIfTrue="1" operator="lessThan">
      <formula>$F$28</formula>
    </cfRule>
    <cfRule type="cellIs" dxfId="2303" priority="259" stopIfTrue="1" operator="equal">
      <formula>$F$28</formula>
    </cfRule>
  </conditionalFormatting>
  <conditionalFormatting sqref="H4">
    <cfRule type="cellIs" dxfId="2302" priority="337" stopIfTrue="1" operator="equal">
      <formula>$G$4</formula>
    </cfRule>
  </conditionalFormatting>
  <conditionalFormatting sqref="H5">
    <cfRule type="cellIs" dxfId="2301" priority="335" stopIfTrue="1" operator="equal">
      <formula>$G$5</formula>
    </cfRule>
    <cfRule type="cellIs" dxfId="2300" priority="336" stopIfTrue="1" operator="lessThan">
      <formula>$G$5</formula>
    </cfRule>
  </conditionalFormatting>
  <conditionalFormatting sqref="H6">
    <cfRule type="cellIs" dxfId="2299" priority="84" stopIfTrue="1" operator="lessThan">
      <formula>$G$6</formula>
    </cfRule>
    <cfRule type="cellIs" dxfId="2298" priority="83" stopIfTrue="1" operator="equal">
      <formula>$G$6</formula>
    </cfRule>
  </conditionalFormatting>
  <conditionalFormatting sqref="H7">
    <cfRule type="cellIs" dxfId="2297" priority="57" stopIfTrue="1" operator="lessThan">
      <formula>$G$7</formula>
    </cfRule>
    <cfRule type="cellIs" dxfId="2296" priority="56" stopIfTrue="1" operator="equal">
      <formula>$G$7</formula>
    </cfRule>
  </conditionalFormatting>
  <conditionalFormatting sqref="H8">
    <cfRule type="cellIs" dxfId="2295" priority="110" stopIfTrue="1" operator="lessThan">
      <formula>$G$8</formula>
    </cfRule>
    <cfRule type="cellIs" dxfId="2294" priority="109" stopIfTrue="1" operator="equal">
      <formula>$G$8</formula>
    </cfRule>
  </conditionalFormatting>
  <conditionalFormatting sqref="H9">
    <cfRule type="cellIs" dxfId="2293" priority="124" stopIfTrue="1" operator="lessThan">
      <formula>$G$9</formula>
    </cfRule>
    <cfRule type="cellIs" dxfId="2292" priority="123" stopIfTrue="1" operator="equal">
      <formula>$G$9</formula>
    </cfRule>
  </conditionalFormatting>
  <conditionalFormatting sqref="H10">
    <cfRule type="cellIs" dxfId="2291" priority="138" stopIfTrue="1" operator="lessThan">
      <formula>$G$10</formula>
    </cfRule>
    <cfRule type="cellIs" dxfId="2290" priority="137" stopIfTrue="1" operator="equal">
      <formula>$G$10</formula>
    </cfRule>
  </conditionalFormatting>
  <conditionalFormatting sqref="H11">
    <cfRule type="cellIs" dxfId="2289" priority="151" stopIfTrue="1" operator="equal">
      <formula>$G$11</formula>
    </cfRule>
    <cfRule type="cellIs" dxfId="2288" priority="152" stopIfTrue="1" operator="lessThan">
      <formula>$G$11</formula>
    </cfRule>
  </conditionalFormatting>
  <conditionalFormatting sqref="H12">
    <cfRule type="cellIs" dxfId="2287" priority="165" stopIfTrue="1" operator="equal">
      <formula>$G$12</formula>
    </cfRule>
    <cfRule type="cellIs" dxfId="2286" priority="166" stopIfTrue="1" operator="lessThan">
      <formula>$G$12</formula>
    </cfRule>
  </conditionalFormatting>
  <conditionalFormatting sqref="H13">
    <cfRule type="cellIs" dxfId="2285" priority="261" stopIfTrue="1" operator="equal">
      <formula>$G$13</formula>
    </cfRule>
    <cfRule type="cellIs" dxfId="2284" priority="262" stopIfTrue="1" operator="lessThan">
      <formula>$G$13</formula>
    </cfRule>
  </conditionalFormatting>
  <conditionalFormatting sqref="H14">
    <cfRule type="cellIs" dxfId="2283" priority="263" stopIfTrue="1" operator="equal">
      <formula>$G$14</formula>
    </cfRule>
    <cfRule type="cellIs" dxfId="2282" priority="264" stopIfTrue="1" operator="lessThan">
      <formula>$G$14</formula>
    </cfRule>
  </conditionalFormatting>
  <conditionalFormatting sqref="H15">
    <cfRule type="cellIs" dxfId="2281" priority="265" stopIfTrue="1" operator="equal">
      <formula>$G$15</formula>
    </cfRule>
    <cfRule type="cellIs" dxfId="2280" priority="266" stopIfTrue="1" operator="lessThan">
      <formula>$G$15</formula>
    </cfRule>
  </conditionalFormatting>
  <conditionalFormatting sqref="H16">
    <cfRule type="cellIs" dxfId="2279" priority="267" stopIfTrue="1" operator="equal">
      <formula>$G$16</formula>
    </cfRule>
    <cfRule type="cellIs" dxfId="2278" priority="268" stopIfTrue="1" operator="lessThan">
      <formula>$G$16</formula>
    </cfRule>
  </conditionalFormatting>
  <conditionalFormatting sqref="H17">
    <cfRule type="cellIs" dxfId="2277" priority="269" stopIfTrue="1" operator="equal">
      <formula>$G$17</formula>
    </cfRule>
    <cfRule type="cellIs" dxfId="2276" priority="270" stopIfTrue="1" operator="lessThan">
      <formula>$G$17</formula>
    </cfRule>
  </conditionalFormatting>
  <conditionalFormatting sqref="H18">
    <cfRule type="cellIs" dxfId="2275" priority="271" stopIfTrue="1" operator="equal">
      <formula>$G$18</formula>
    </cfRule>
    <cfRule type="cellIs" dxfId="2274" priority="272" stopIfTrue="1" operator="lessThan">
      <formula>$G$18</formula>
    </cfRule>
  </conditionalFormatting>
  <conditionalFormatting sqref="H19">
    <cfRule type="cellIs" dxfId="2273" priority="274" stopIfTrue="1" operator="lessThan">
      <formula>$G$19</formula>
    </cfRule>
    <cfRule type="cellIs" dxfId="2272" priority="273" stopIfTrue="1" operator="equal">
      <formula>$G$19</formula>
    </cfRule>
  </conditionalFormatting>
  <conditionalFormatting sqref="H20">
    <cfRule type="cellIs" dxfId="2271" priority="275" stopIfTrue="1" operator="equal">
      <formula>$G$20</formula>
    </cfRule>
    <cfRule type="cellIs" dxfId="2270" priority="276" stopIfTrue="1" operator="lessThan">
      <formula>$G$20</formula>
    </cfRule>
  </conditionalFormatting>
  <conditionalFormatting sqref="H21">
    <cfRule type="cellIs" dxfId="2269" priority="277" stopIfTrue="1" operator="equal">
      <formula>$G$21</formula>
    </cfRule>
    <cfRule type="cellIs" dxfId="2268" priority="278" stopIfTrue="1" operator="lessThan">
      <formula>$G$21</formula>
    </cfRule>
  </conditionalFormatting>
  <conditionalFormatting sqref="H22">
    <cfRule type="cellIs" dxfId="2267" priority="280" stopIfTrue="1" operator="lessThan">
      <formula>$G$22</formula>
    </cfRule>
    <cfRule type="cellIs" dxfId="2266" priority="279" stopIfTrue="1" operator="equal">
      <formula>$G$22</formula>
    </cfRule>
  </conditionalFormatting>
  <conditionalFormatting sqref="H23">
    <cfRule type="cellIs" dxfId="2265" priority="282" stopIfTrue="1" operator="lessThan">
      <formula>$G$23</formula>
    </cfRule>
    <cfRule type="cellIs" dxfId="2264" priority="281" stopIfTrue="1" operator="equal">
      <formula>$G$23</formula>
    </cfRule>
  </conditionalFormatting>
  <conditionalFormatting sqref="H24">
    <cfRule type="cellIs" dxfId="2263" priority="330" stopIfTrue="1" operator="lessThan">
      <formula>$G$24</formula>
    </cfRule>
    <cfRule type="cellIs" dxfId="2262" priority="329" stopIfTrue="1" operator="equal">
      <formula>$G$24</formula>
    </cfRule>
  </conditionalFormatting>
  <conditionalFormatting sqref="H25">
    <cfRule type="cellIs" dxfId="2261" priority="283" stopIfTrue="1" operator="equal">
      <formula>$G$25</formula>
    </cfRule>
    <cfRule type="cellIs" dxfId="2260" priority="284" stopIfTrue="1" operator="lessThan">
      <formula>$G$25</formula>
    </cfRule>
  </conditionalFormatting>
  <conditionalFormatting sqref="H26">
    <cfRule type="cellIs" dxfId="2259" priority="285" stopIfTrue="1" operator="equal">
      <formula>$G$26</formula>
    </cfRule>
    <cfRule type="cellIs" dxfId="2258" priority="286" stopIfTrue="1" operator="lessThan">
      <formula>$G$26</formula>
    </cfRule>
  </conditionalFormatting>
  <conditionalFormatting sqref="H27">
    <cfRule type="cellIs" dxfId="2257" priority="287" stopIfTrue="1" operator="equal">
      <formula>$G$27</formula>
    </cfRule>
    <cfRule type="cellIs" dxfId="2256" priority="288" stopIfTrue="1" operator="lessThan">
      <formula>$G$27</formula>
    </cfRule>
  </conditionalFormatting>
  <conditionalFormatting sqref="H28">
    <cfRule type="cellIs" dxfId="2255" priority="290" stopIfTrue="1" operator="lessThan">
      <formula>$G$28</formula>
    </cfRule>
    <cfRule type="cellIs" dxfId="2254" priority="289" stopIfTrue="1" operator="equal">
      <formula>$G$28</formula>
    </cfRule>
  </conditionalFormatting>
  <conditionalFormatting sqref="I4">
    <cfRule type="cellIs" dxfId="2253" priority="54" stopIfTrue="1" operator="lessThan">
      <formula>$H$4</formula>
    </cfRule>
    <cfRule type="cellIs" dxfId="2252" priority="55" stopIfTrue="1" operator="equal">
      <formula>$H$4</formula>
    </cfRule>
  </conditionalFormatting>
  <conditionalFormatting sqref="I5">
    <cfRule type="cellIs" dxfId="2251" priority="59" stopIfTrue="1" operator="lessThan">
      <formula>$H$5</formula>
    </cfRule>
    <cfRule type="cellIs" dxfId="2250" priority="58" stopIfTrue="1" operator="equal">
      <formula>$H$5</formula>
    </cfRule>
  </conditionalFormatting>
  <conditionalFormatting sqref="I6">
    <cfRule type="cellIs" dxfId="2249" priority="86" stopIfTrue="1" operator="lessThan">
      <formula>$H$6</formula>
    </cfRule>
    <cfRule type="cellIs" dxfId="2248" priority="85" stopIfTrue="1" operator="equal">
      <formula>$H$6</formula>
    </cfRule>
  </conditionalFormatting>
  <conditionalFormatting sqref="I7">
    <cfRule type="cellIs" dxfId="2247" priority="98" stopIfTrue="1" operator="lessThan">
      <formula>$H$7</formula>
    </cfRule>
    <cfRule type="cellIs" dxfId="2246" priority="97" stopIfTrue="1" operator="equal">
      <formula>$H$7</formula>
    </cfRule>
  </conditionalFormatting>
  <conditionalFormatting sqref="I8">
    <cfRule type="cellIs" dxfId="2245" priority="111" stopIfTrue="1" operator="equal">
      <formula>$H$8</formula>
    </cfRule>
    <cfRule type="cellIs" dxfId="2244" priority="112" stopIfTrue="1" operator="lessThan">
      <formula>$H$8</formula>
    </cfRule>
  </conditionalFormatting>
  <conditionalFormatting sqref="I9">
    <cfRule type="cellIs" dxfId="2243" priority="125" stopIfTrue="1" operator="equal">
      <formula>$H$9</formula>
    </cfRule>
    <cfRule type="cellIs" dxfId="2242" priority="126" stopIfTrue="1" operator="lessThan">
      <formula>$H$9</formula>
    </cfRule>
  </conditionalFormatting>
  <conditionalFormatting sqref="I10">
    <cfRule type="cellIs" dxfId="2241" priority="139" stopIfTrue="1" operator="equal">
      <formula>$H$10</formula>
    </cfRule>
    <cfRule type="cellIs" dxfId="2240" priority="140" stopIfTrue="1" operator="lessThan">
      <formula>$H$10</formula>
    </cfRule>
  </conditionalFormatting>
  <conditionalFormatting sqref="I11">
    <cfRule type="cellIs" dxfId="2239" priority="153" stopIfTrue="1" operator="equal">
      <formula>$H$11</formula>
    </cfRule>
    <cfRule type="cellIs" dxfId="2238" priority="154" stopIfTrue="1" operator="lessThan">
      <formula>$H$11</formula>
    </cfRule>
  </conditionalFormatting>
  <conditionalFormatting sqref="I12">
    <cfRule type="cellIs" dxfId="2237" priority="168" stopIfTrue="1" operator="lessThan">
      <formula>$H$12</formula>
    </cfRule>
    <cfRule type="cellIs" dxfId="2236" priority="167" stopIfTrue="1" operator="equal">
      <formula>$H$12</formula>
    </cfRule>
  </conditionalFormatting>
  <conditionalFormatting sqref="I13">
    <cfRule type="cellIs" dxfId="2235" priority="294" stopIfTrue="1" operator="lessThan">
      <formula>$H$13</formula>
    </cfRule>
    <cfRule type="cellIs" dxfId="2234" priority="293" stopIfTrue="1" operator="equal">
      <formula>$H$13</formula>
    </cfRule>
  </conditionalFormatting>
  <conditionalFormatting sqref="I14">
    <cfRule type="cellIs" dxfId="2233" priority="295" stopIfTrue="1" operator="equal">
      <formula>$H$14</formula>
    </cfRule>
    <cfRule type="cellIs" dxfId="2232" priority="296" stopIfTrue="1" operator="lessThan">
      <formula>$H$14</formula>
    </cfRule>
  </conditionalFormatting>
  <conditionalFormatting sqref="I15">
    <cfRule type="cellIs" dxfId="2231" priority="297" stopIfTrue="1" operator="equal">
      <formula>$H$15</formula>
    </cfRule>
    <cfRule type="cellIs" dxfId="2230" priority="298" stopIfTrue="1" operator="lessThan">
      <formula>$H$15</formula>
    </cfRule>
  </conditionalFormatting>
  <conditionalFormatting sqref="I16">
    <cfRule type="cellIs" dxfId="2229" priority="299" stopIfTrue="1" operator="equal">
      <formula>$H$16</formula>
    </cfRule>
    <cfRule type="cellIs" dxfId="2228" priority="300" stopIfTrue="1" operator="lessThan">
      <formula>$H$16</formula>
    </cfRule>
  </conditionalFormatting>
  <conditionalFormatting sqref="I17">
    <cfRule type="cellIs" dxfId="2227" priority="302" stopIfTrue="1" operator="lessThan">
      <formula>$H$17</formula>
    </cfRule>
    <cfRule type="cellIs" dxfId="2226" priority="301" stopIfTrue="1" operator="equal">
      <formula>$H$17</formula>
    </cfRule>
  </conditionalFormatting>
  <conditionalFormatting sqref="I18">
    <cfRule type="cellIs" dxfId="2225" priority="304" stopIfTrue="1" operator="lessThan">
      <formula>$H$18</formula>
    </cfRule>
    <cfRule type="cellIs" dxfId="2224" priority="303" stopIfTrue="1" operator="equal">
      <formula>$H$18</formula>
    </cfRule>
  </conditionalFormatting>
  <conditionalFormatting sqref="I19">
    <cfRule type="cellIs" dxfId="2223" priority="306" stopIfTrue="1" operator="lessThan">
      <formula>$H$19</formula>
    </cfRule>
    <cfRule type="cellIs" dxfId="2222" priority="305" stopIfTrue="1" operator="equal">
      <formula>$H$19</formula>
    </cfRule>
  </conditionalFormatting>
  <conditionalFormatting sqref="I20">
    <cfRule type="cellIs" dxfId="2221" priority="308" stopIfTrue="1" operator="lessThan">
      <formula>$H$20</formula>
    </cfRule>
    <cfRule type="cellIs" dxfId="2220" priority="307" stopIfTrue="1" operator="equal">
      <formula>$H$20</formula>
    </cfRule>
  </conditionalFormatting>
  <conditionalFormatting sqref="I21">
    <cfRule type="cellIs" dxfId="2219" priority="310" stopIfTrue="1" operator="lessThan">
      <formula>$H$21</formula>
    </cfRule>
    <cfRule type="cellIs" dxfId="2218" priority="309" stopIfTrue="1" operator="equal">
      <formula>$H$21</formula>
    </cfRule>
  </conditionalFormatting>
  <conditionalFormatting sqref="I22">
    <cfRule type="cellIs" dxfId="2217" priority="312" stopIfTrue="1" operator="lessThan">
      <formula>$H$22</formula>
    </cfRule>
    <cfRule type="cellIs" dxfId="2216" priority="311" stopIfTrue="1" operator="equal">
      <formula>$H$22</formula>
    </cfRule>
  </conditionalFormatting>
  <conditionalFormatting sqref="I23">
    <cfRule type="cellIs" dxfId="2215" priority="314" stopIfTrue="1" operator="lessThan">
      <formula>$H$23</formula>
    </cfRule>
    <cfRule type="cellIs" dxfId="2214" priority="313" stopIfTrue="1" operator="equal">
      <formula>$H$23</formula>
    </cfRule>
  </conditionalFormatting>
  <conditionalFormatting sqref="I24">
    <cfRule type="cellIs" dxfId="2213" priority="331" stopIfTrue="1" operator="equal">
      <formula>$H$24</formula>
    </cfRule>
    <cfRule type="cellIs" dxfId="2212" priority="332" stopIfTrue="1" operator="lessThan">
      <formula>$H$24</formula>
    </cfRule>
  </conditionalFormatting>
  <conditionalFormatting sqref="I25">
    <cfRule type="cellIs" dxfId="2211" priority="316" stopIfTrue="1" operator="lessThan">
      <formula>$H$25</formula>
    </cfRule>
    <cfRule type="cellIs" dxfId="2210" priority="315" stopIfTrue="1" operator="equal">
      <formula>$H$25</formula>
    </cfRule>
  </conditionalFormatting>
  <conditionalFormatting sqref="I26">
    <cfRule type="cellIs" dxfId="2209" priority="318" stopIfTrue="1" operator="lessThan">
      <formula>$H$26</formula>
    </cfRule>
    <cfRule type="cellIs" dxfId="2208" priority="317" stopIfTrue="1" operator="equal">
      <formula>$H$26</formula>
    </cfRule>
  </conditionalFormatting>
  <conditionalFormatting sqref="I27">
    <cfRule type="cellIs" dxfId="2207" priority="320" stopIfTrue="1" operator="lessThan">
      <formula>$H$27</formula>
    </cfRule>
    <cfRule type="cellIs" dxfId="2206" priority="319" stopIfTrue="1" operator="equal">
      <formula>$H$27</formula>
    </cfRule>
  </conditionalFormatting>
  <conditionalFormatting sqref="I28">
    <cfRule type="cellIs" dxfId="2205" priority="322" stopIfTrue="1" operator="lessThan">
      <formula>$H$28</formula>
    </cfRule>
    <cfRule type="cellIs" dxfId="2204" priority="321" stopIfTrue="1" operator="equal">
      <formula>$H$28</formula>
    </cfRule>
  </conditionalFormatting>
  <conditionalFormatting sqref="J4">
    <cfRule type="cellIs" dxfId="2203" priority="74" stopIfTrue="1" operator="equal">
      <formula>$I$4</formula>
    </cfRule>
  </conditionalFormatting>
  <conditionalFormatting sqref="J5">
    <cfRule type="cellIs" dxfId="2202" priority="61" stopIfTrue="1" operator="lessThan">
      <formula>$I$5</formula>
    </cfRule>
    <cfRule type="cellIs" dxfId="2201" priority="60" stopIfTrue="1" operator="equal">
      <formula>$I$5</formula>
    </cfRule>
  </conditionalFormatting>
  <conditionalFormatting sqref="J6">
    <cfRule type="cellIs" dxfId="2200" priority="88" stopIfTrue="1" operator="lessThan">
      <formula>$I$6</formula>
    </cfRule>
    <cfRule type="cellIs" dxfId="2199" priority="87" stopIfTrue="1" operator="equal">
      <formula>$I$6</formula>
    </cfRule>
  </conditionalFormatting>
  <conditionalFormatting sqref="J7">
    <cfRule type="cellIs" dxfId="2198" priority="99" stopIfTrue="1" operator="equal">
      <formula>$I$7</formula>
    </cfRule>
    <cfRule type="cellIs" dxfId="2197" priority="100" stopIfTrue="1" operator="lessThan">
      <formula>$I$7</formula>
    </cfRule>
  </conditionalFormatting>
  <conditionalFormatting sqref="J8">
    <cfRule type="cellIs" dxfId="2196" priority="113" stopIfTrue="1" operator="equal">
      <formula>$I$8</formula>
    </cfRule>
    <cfRule type="cellIs" dxfId="2195" priority="114" stopIfTrue="1" operator="lessThan">
      <formula>$I$8</formula>
    </cfRule>
  </conditionalFormatting>
  <conditionalFormatting sqref="J9">
    <cfRule type="cellIs" dxfId="2194" priority="128" stopIfTrue="1" operator="lessThan">
      <formula>$I$9</formula>
    </cfRule>
    <cfRule type="cellIs" dxfId="2193" priority="127" stopIfTrue="1" operator="equal">
      <formula>$I$9</formula>
    </cfRule>
  </conditionalFormatting>
  <conditionalFormatting sqref="J10">
    <cfRule type="cellIs" dxfId="2192" priority="141" stopIfTrue="1" operator="equal">
      <formula>$I$10</formula>
    </cfRule>
    <cfRule type="cellIs" dxfId="2191" priority="142" stopIfTrue="1" operator="lessThan">
      <formula>$I$10</formula>
    </cfRule>
  </conditionalFormatting>
  <conditionalFormatting sqref="J11">
    <cfRule type="cellIs" dxfId="2190" priority="155" stopIfTrue="1" operator="equal">
      <formula>$I$11</formula>
    </cfRule>
    <cfRule type="cellIs" dxfId="2189" priority="156" stopIfTrue="1" operator="lessThan">
      <formula>$I$11</formula>
    </cfRule>
  </conditionalFormatting>
  <conditionalFormatting sqref="J12">
    <cfRule type="cellIs" dxfId="2188" priority="169" stopIfTrue="1" operator="equal">
      <formula>$I$12</formula>
    </cfRule>
    <cfRule type="cellIs" dxfId="2187" priority="170" stopIfTrue="1" operator="lessThan">
      <formula>$I$12</formula>
    </cfRule>
  </conditionalFormatting>
  <conditionalFormatting sqref="J13">
    <cfRule type="cellIs" dxfId="2186" priority="339" stopIfTrue="1" operator="equal">
      <formula>$I$13</formula>
    </cfRule>
    <cfRule type="cellIs" dxfId="2185" priority="340" stopIfTrue="1" operator="lessThan">
      <formula>$I$13</formula>
    </cfRule>
  </conditionalFormatting>
  <conditionalFormatting sqref="J14">
    <cfRule type="cellIs" dxfId="2184" priority="341" stopIfTrue="1" operator="equal">
      <formula>$I$14</formula>
    </cfRule>
    <cfRule type="cellIs" dxfId="2183" priority="342" stopIfTrue="1" operator="lessThan">
      <formula>$I$14</formula>
    </cfRule>
  </conditionalFormatting>
  <conditionalFormatting sqref="J15">
    <cfRule type="cellIs" dxfId="2182" priority="344" stopIfTrue="1" operator="lessThan">
      <formula>$I$15</formula>
    </cfRule>
    <cfRule type="cellIs" dxfId="2181" priority="343" stopIfTrue="1" operator="equal">
      <formula>$I$15</formula>
    </cfRule>
  </conditionalFormatting>
  <conditionalFormatting sqref="J16">
    <cfRule type="cellIs" dxfId="2180" priority="345" stopIfTrue="1" operator="equal">
      <formula>$I$16</formula>
    </cfRule>
    <cfRule type="cellIs" dxfId="2179" priority="346" stopIfTrue="1" operator="lessThan">
      <formula>$I$16</formula>
    </cfRule>
  </conditionalFormatting>
  <conditionalFormatting sqref="J17">
    <cfRule type="cellIs" dxfId="2178" priority="348" stopIfTrue="1" operator="lessThan">
      <formula>$I$17</formula>
    </cfRule>
    <cfRule type="cellIs" dxfId="2177" priority="347" stopIfTrue="1" operator="equal">
      <formula>$I$17</formula>
    </cfRule>
  </conditionalFormatting>
  <conditionalFormatting sqref="J18">
    <cfRule type="cellIs" dxfId="2176" priority="350" stopIfTrue="1" operator="lessThan">
      <formula>$I$18</formula>
    </cfRule>
    <cfRule type="cellIs" dxfId="2175" priority="349" stopIfTrue="1" operator="equal">
      <formula>$I$18</formula>
    </cfRule>
  </conditionalFormatting>
  <conditionalFormatting sqref="J19">
    <cfRule type="cellIs" dxfId="2174" priority="351" stopIfTrue="1" operator="equal">
      <formula>$I$19</formula>
    </cfRule>
    <cfRule type="cellIs" dxfId="2173" priority="352" stopIfTrue="1" operator="lessThan">
      <formula>$I$19</formula>
    </cfRule>
  </conditionalFormatting>
  <conditionalFormatting sqref="J20">
    <cfRule type="cellIs" dxfId="2172" priority="353" stopIfTrue="1" operator="equal">
      <formula>$I$20</formula>
    </cfRule>
    <cfRule type="cellIs" dxfId="2171" priority="354" stopIfTrue="1" operator="lessThan">
      <formula>$I$20</formula>
    </cfRule>
  </conditionalFormatting>
  <conditionalFormatting sqref="J21">
    <cfRule type="cellIs" dxfId="2170" priority="356" stopIfTrue="1" operator="lessThan">
      <formula>$I$21</formula>
    </cfRule>
    <cfRule type="cellIs" dxfId="2169" priority="355" stopIfTrue="1" operator="equal">
      <formula>$I$21</formula>
    </cfRule>
  </conditionalFormatting>
  <conditionalFormatting sqref="J22">
    <cfRule type="cellIs" dxfId="2168" priority="357" stopIfTrue="1" operator="equal">
      <formula>$I$22</formula>
    </cfRule>
    <cfRule type="cellIs" dxfId="2167" priority="358" stopIfTrue="1" operator="lessThan">
      <formula>$I$22</formula>
    </cfRule>
  </conditionalFormatting>
  <conditionalFormatting sqref="J23">
    <cfRule type="cellIs" dxfId="2166" priority="360" stopIfTrue="1" operator="lessThan">
      <formula>$I$23</formula>
    </cfRule>
    <cfRule type="cellIs" dxfId="2165" priority="359" stopIfTrue="1" operator="equal">
      <formula>$I$23</formula>
    </cfRule>
  </conditionalFormatting>
  <conditionalFormatting sqref="J24">
    <cfRule type="cellIs" dxfId="2164" priority="362" stopIfTrue="1" operator="lessThan">
      <formula>$I$24</formula>
    </cfRule>
    <cfRule type="cellIs" dxfId="2163" priority="361" stopIfTrue="1" operator="equal">
      <formula>$I$24</formula>
    </cfRule>
  </conditionalFormatting>
  <conditionalFormatting sqref="J25">
    <cfRule type="cellIs" dxfId="2162" priority="364" stopIfTrue="1" operator="lessThan">
      <formula>$I$25</formula>
    </cfRule>
    <cfRule type="cellIs" dxfId="2161" priority="363" stopIfTrue="1" operator="equal">
      <formula>$I$25</formula>
    </cfRule>
  </conditionalFormatting>
  <conditionalFormatting sqref="J26">
    <cfRule type="cellIs" dxfId="2160" priority="366" stopIfTrue="1" operator="lessThan">
      <formula>$I$26</formula>
    </cfRule>
    <cfRule type="cellIs" dxfId="2159" priority="365" stopIfTrue="1" operator="equal">
      <formula>$I$26</formula>
    </cfRule>
  </conditionalFormatting>
  <conditionalFormatting sqref="J27">
    <cfRule type="cellIs" dxfId="2158" priority="367" stopIfTrue="1" operator="equal">
      <formula>$I$27</formula>
    </cfRule>
    <cfRule type="cellIs" dxfId="2157" priority="368" stopIfTrue="1" operator="lessThan">
      <formula>$I$27</formula>
    </cfRule>
  </conditionalFormatting>
  <conditionalFormatting sqref="J28">
    <cfRule type="cellIs" dxfId="2156" priority="370" stopIfTrue="1" operator="equal">
      <formula>$I$28</formula>
    </cfRule>
    <cfRule type="cellIs" dxfId="2155" priority="371" stopIfTrue="1" operator="lessThan">
      <formula>$I$28</formula>
    </cfRule>
  </conditionalFormatting>
  <conditionalFormatting sqref="J29">
    <cfRule type="cellIs" dxfId="2154" priority="372" stopIfTrue="1" operator="equal">
      <formula>$I$29</formula>
    </cfRule>
    <cfRule type="cellIs" dxfId="2153" priority="373" stopIfTrue="1" operator="lessThan">
      <formula>$I$29</formula>
    </cfRule>
  </conditionalFormatting>
  <conditionalFormatting sqref="K4">
    <cfRule type="cellIs" dxfId="2152" priority="75" stopIfTrue="1" operator="lessThan">
      <formula>$J$4</formula>
    </cfRule>
    <cfRule type="cellIs" dxfId="2151" priority="76" stopIfTrue="1" operator="equal">
      <formula>$J$4</formula>
    </cfRule>
  </conditionalFormatting>
  <conditionalFormatting sqref="K5">
    <cfRule type="cellIs" dxfId="2150" priority="62" stopIfTrue="1" operator="equal">
      <formula>$J$5</formula>
    </cfRule>
    <cfRule type="cellIs" dxfId="2149" priority="63" stopIfTrue="1" operator="lessThan">
      <formula>$J$5</formula>
    </cfRule>
  </conditionalFormatting>
  <conditionalFormatting sqref="K6">
    <cfRule type="cellIs" dxfId="2148" priority="89" stopIfTrue="1" operator="equal">
      <formula>$J$6</formula>
    </cfRule>
    <cfRule type="cellIs" dxfId="2147" priority="90" stopIfTrue="1" operator="lessThan">
      <formula>$J$6</formula>
    </cfRule>
  </conditionalFormatting>
  <conditionalFormatting sqref="K7">
    <cfRule type="cellIs" dxfId="2146" priority="101" stopIfTrue="1" operator="equal">
      <formula>$J$7</formula>
    </cfRule>
    <cfRule type="cellIs" dxfId="2145" priority="102" stopIfTrue="1" operator="lessThan">
      <formula>$J$7</formula>
    </cfRule>
  </conditionalFormatting>
  <conditionalFormatting sqref="K8">
    <cfRule type="cellIs" dxfId="2144" priority="115" stopIfTrue="1" operator="equal">
      <formula>$J$8</formula>
    </cfRule>
    <cfRule type="cellIs" dxfId="2143" priority="116" stopIfTrue="1" operator="lessThan">
      <formula>$J$8</formula>
    </cfRule>
  </conditionalFormatting>
  <conditionalFormatting sqref="K9">
    <cfRule type="cellIs" dxfId="2142" priority="130" stopIfTrue="1" operator="lessThan">
      <formula>$J$9</formula>
    </cfRule>
    <cfRule type="cellIs" dxfId="2141" priority="129" stopIfTrue="1" operator="equal">
      <formula>$J$9</formula>
    </cfRule>
  </conditionalFormatting>
  <conditionalFormatting sqref="K10">
    <cfRule type="cellIs" dxfId="2140" priority="144" stopIfTrue="1" operator="lessThan">
      <formula>$J$10</formula>
    </cfRule>
    <cfRule type="cellIs" dxfId="2139" priority="143" stopIfTrue="1" operator="equal">
      <formula>$J$10</formula>
    </cfRule>
  </conditionalFormatting>
  <conditionalFormatting sqref="K11">
    <cfRule type="cellIs" dxfId="2138" priority="158" stopIfTrue="1" operator="lessThan">
      <formula>$J$11</formula>
    </cfRule>
    <cfRule type="cellIs" dxfId="2137" priority="157" stopIfTrue="1" operator="equal">
      <formula>$J$11</formula>
    </cfRule>
  </conditionalFormatting>
  <conditionalFormatting sqref="K12">
    <cfRule type="cellIs" dxfId="2136" priority="172" stopIfTrue="1" operator="lessThan">
      <formula>$J$12</formula>
    </cfRule>
    <cfRule type="cellIs" dxfId="2135" priority="171" stopIfTrue="1" operator="equal">
      <formula>$J$12</formula>
    </cfRule>
  </conditionalFormatting>
  <conditionalFormatting sqref="K13">
    <cfRule type="cellIs" dxfId="2134" priority="374" stopIfTrue="1" operator="equal">
      <formula>$J$13</formula>
    </cfRule>
    <cfRule type="cellIs" dxfId="2133" priority="375" stopIfTrue="1" operator="lessThan">
      <formula>$J$13</formula>
    </cfRule>
  </conditionalFormatting>
  <conditionalFormatting sqref="K14">
    <cfRule type="cellIs" dxfId="2132" priority="376" stopIfTrue="1" operator="equal">
      <formula>$J$14</formula>
    </cfRule>
    <cfRule type="cellIs" dxfId="2131" priority="377" stopIfTrue="1" operator="lessThan">
      <formula>$J$14</formula>
    </cfRule>
  </conditionalFormatting>
  <conditionalFormatting sqref="K15">
    <cfRule type="cellIs" dxfId="2130" priority="378" stopIfTrue="1" operator="equal">
      <formula>$J$15</formula>
    </cfRule>
    <cfRule type="cellIs" dxfId="2129" priority="379" stopIfTrue="1" operator="lessThan">
      <formula>$J$15</formula>
    </cfRule>
  </conditionalFormatting>
  <conditionalFormatting sqref="K16">
    <cfRule type="cellIs" dxfId="2128" priority="380" stopIfTrue="1" operator="equal">
      <formula>$J$16</formula>
    </cfRule>
    <cfRule type="cellIs" dxfId="2127" priority="381" stopIfTrue="1" operator="lessThan">
      <formula>$J$16</formula>
    </cfRule>
  </conditionalFormatting>
  <conditionalFormatting sqref="K17">
    <cfRule type="cellIs" dxfId="2126" priority="383" stopIfTrue="1" operator="lessThan">
      <formula>$J$17</formula>
    </cfRule>
    <cfRule type="cellIs" dxfId="2125" priority="382" stopIfTrue="1" operator="equal">
      <formula>$J$17</formula>
    </cfRule>
  </conditionalFormatting>
  <conditionalFormatting sqref="K18">
    <cfRule type="cellIs" dxfId="2124" priority="384" stopIfTrue="1" operator="equal">
      <formula>$J$18</formula>
    </cfRule>
    <cfRule type="cellIs" dxfId="2123" priority="385" stopIfTrue="1" operator="lessThan">
      <formula>$J$18</formula>
    </cfRule>
  </conditionalFormatting>
  <conditionalFormatting sqref="K19">
    <cfRule type="cellIs" dxfId="2122" priority="386" stopIfTrue="1" operator="equal">
      <formula>$J$19</formula>
    </cfRule>
    <cfRule type="cellIs" dxfId="2121" priority="387" stopIfTrue="1" operator="lessThan">
      <formula>$J$19</formula>
    </cfRule>
  </conditionalFormatting>
  <conditionalFormatting sqref="K20">
    <cfRule type="cellIs" dxfId="2120" priority="388" stopIfTrue="1" operator="equal">
      <formula>$J$20</formula>
    </cfRule>
    <cfRule type="cellIs" dxfId="2119" priority="389" stopIfTrue="1" operator="lessThan">
      <formula>$J$20</formula>
    </cfRule>
  </conditionalFormatting>
  <conditionalFormatting sqref="K21">
    <cfRule type="cellIs" dxfId="2118" priority="390" stopIfTrue="1" operator="equal">
      <formula>$J$21</formula>
    </cfRule>
    <cfRule type="cellIs" dxfId="2117" priority="391" stopIfTrue="1" operator="lessThan">
      <formula>$J$21</formula>
    </cfRule>
  </conditionalFormatting>
  <conditionalFormatting sqref="K22">
    <cfRule type="cellIs" dxfId="2116" priority="392" stopIfTrue="1" operator="equal">
      <formula>$J$22</formula>
    </cfRule>
    <cfRule type="cellIs" dxfId="2115" priority="393" stopIfTrue="1" operator="lessThan">
      <formula>$J$22</formula>
    </cfRule>
  </conditionalFormatting>
  <conditionalFormatting sqref="K23">
    <cfRule type="cellIs" dxfId="2114" priority="394" stopIfTrue="1" operator="equal">
      <formula>$J$23</formula>
    </cfRule>
    <cfRule type="cellIs" dxfId="2113" priority="395" stopIfTrue="1" operator="lessThan">
      <formula>$J$23</formula>
    </cfRule>
  </conditionalFormatting>
  <conditionalFormatting sqref="K24">
    <cfRule type="cellIs" dxfId="2112" priority="396" stopIfTrue="1" operator="equal">
      <formula>$J$24</formula>
    </cfRule>
    <cfRule type="cellIs" dxfId="2111" priority="397" stopIfTrue="1" operator="lessThan">
      <formula>$J$24</formula>
    </cfRule>
  </conditionalFormatting>
  <conditionalFormatting sqref="K25">
    <cfRule type="cellIs" dxfId="2110" priority="398" stopIfTrue="1" operator="equal">
      <formula>$J$25</formula>
    </cfRule>
    <cfRule type="cellIs" dxfId="2109" priority="399" stopIfTrue="1" operator="lessThan">
      <formula>$J$25</formula>
    </cfRule>
  </conditionalFormatting>
  <conditionalFormatting sqref="K26">
    <cfRule type="cellIs" dxfId="2108" priority="400" stopIfTrue="1" operator="equal">
      <formula>$J$26</formula>
    </cfRule>
    <cfRule type="cellIs" dxfId="2107" priority="401" stopIfTrue="1" operator="lessThan">
      <formula>$J$26</formula>
    </cfRule>
  </conditionalFormatting>
  <conditionalFormatting sqref="K27">
    <cfRule type="cellIs" dxfId="2106" priority="402" stopIfTrue="1" operator="equal">
      <formula>$J$27</formula>
    </cfRule>
    <cfRule type="cellIs" dxfId="2105" priority="403" stopIfTrue="1" operator="lessThan">
      <formula>$J$27</formula>
    </cfRule>
  </conditionalFormatting>
  <conditionalFormatting sqref="K28">
    <cfRule type="cellIs" dxfId="2104" priority="404" stopIfTrue="1" operator="equal">
      <formula>$J$28</formula>
    </cfRule>
    <cfRule type="cellIs" dxfId="2103" priority="405" stopIfTrue="1" operator="lessThan">
      <formula>$J$28</formula>
    </cfRule>
  </conditionalFormatting>
  <conditionalFormatting sqref="L4">
    <cfRule type="cellIs" dxfId="2102" priority="406" stopIfTrue="1" operator="equal">
      <formula>$K$4</formula>
    </cfRule>
    <cfRule type="cellIs" dxfId="2101" priority="407" stopIfTrue="1" operator="lessThan">
      <formula>$K$4</formula>
    </cfRule>
  </conditionalFormatting>
  <conditionalFormatting sqref="L5">
    <cfRule type="cellIs" dxfId="2100" priority="408" stopIfTrue="1" operator="equal">
      <formula>$K$5</formula>
    </cfRule>
    <cfRule type="cellIs" dxfId="2099" priority="409" stopIfTrue="1" operator="lessThan">
      <formula>$K$5</formula>
    </cfRule>
  </conditionalFormatting>
  <conditionalFormatting sqref="L6">
    <cfRule type="cellIs" dxfId="2098" priority="410" stopIfTrue="1" operator="equal">
      <formula>$K$6</formula>
    </cfRule>
    <cfRule type="cellIs" dxfId="2097" priority="411" stopIfTrue="1" operator="lessThan">
      <formula>$K$6</formula>
    </cfRule>
  </conditionalFormatting>
  <conditionalFormatting sqref="L7">
    <cfRule type="cellIs" dxfId="2096" priority="413" stopIfTrue="1" operator="lessThan">
      <formula>$K$7</formula>
    </cfRule>
    <cfRule type="cellIs" dxfId="2095" priority="412" stopIfTrue="1" operator="equal">
      <formula>$K$7</formula>
    </cfRule>
  </conditionalFormatting>
  <conditionalFormatting sqref="L8">
    <cfRule type="cellIs" dxfId="2094" priority="414" stopIfTrue="1" operator="equal">
      <formula>$K$8</formula>
    </cfRule>
    <cfRule type="cellIs" dxfId="2093" priority="415" stopIfTrue="1" operator="lessThan">
      <formula>$K$8</formula>
    </cfRule>
  </conditionalFormatting>
  <conditionalFormatting sqref="L9">
    <cfRule type="cellIs" dxfId="2092" priority="416" stopIfTrue="1" operator="equal">
      <formula>$K$9</formula>
    </cfRule>
    <cfRule type="cellIs" dxfId="2091" priority="417" stopIfTrue="1" operator="lessThan">
      <formula>$K$9</formula>
    </cfRule>
  </conditionalFormatting>
  <conditionalFormatting sqref="L10">
    <cfRule type="cellIs" dxfId="2090" priority="418" stopIfTrue="1" operator="equal">
      <formula>$K$10</formula>
    </cfRule>
    <cfRule type="cellIs" dxfId="2089" priority="419" stopIfTrue="1" operator="lessThan">
      <formula>$K$10</formula>
    </cfRule>
  </conditionalFormatting>
  <conditionalFormatting sqref="L11">
    <cfRule type="cellIs" dxfId="2088" priority="420" stopIfTrue="1" operator="equal">
      <formula>$K$11</formula>
    </cfRule>
    <cfRule type="cellIs" dxfId="2087" priority="421" stopIfTrue="1" operator="lessThan">
      <formula>$K$11</formula>
    </cfRule>
  </conditionalFormatting>
  <conditionalFormatting sqref="L12">
    <cfRule type="cellIs" dxfId="2086" priority="422" stopIfTrue="1" operator="equal">
      <formula>$K$12</formula>
    </cfRule>
    <cfRule type="cellIs" dxfId="2085" priority="423" stopIfTrue="1" operator="lessThan">
      <formula>$K$12</formula>
    </cfRule>
  </conditionalFormatting>
  <conditionalFormatting sqref="L13">
    <cfRule type="cellIs" dxfId="2084" priority="424" stopIfTrue="1" operator="equal">
      <formula>$K$13</formula>
    </cfRule>
    <cfRule type="cellIs" dxfId="2083" priority="425" stopIfTrue="1" operator="lessThan">
      <formula>$K$13</formula>
    </cfRule>
  </conditionalFormatting>
  <conditionalFormatting sqref="L14">
    <cfRule type="cellIs" dxfId="2082" priority="426" stopIfTrue="1" operator="equal">
      <formula>$K$14</formula>
    </cfRule>
    <cfRule type="cellIs" dxfId="2081" priority="427" stopIfTrue="1" operator="lessThan">
      <formula>$K$14</formula>
    </cfRule>
  </conditionalFormatting>
  <conditionalFormatting sqref="L15">
    <cfRule type="cellIs" dxfId="2080" priority="428" stopIfTrue="1" operator="equal">
      <formula>$K$15</formula>
    </cfRule>
    <cfRule type="cellIs" dxfId="2079" priority="429" stopIfTrue="1" operator="lessThan">
      <formula>$K$15</formula>
    </cfRule>
  </conditionalFormatting>
  <conditionalFormatting sqref="L16">
    <cfRule type="cellIs" dxfId="2078" priority="430" stopIfTrue="1" operator="equal">
      <formula>$K$16</formula>
    </cfRule>
    <cfRule type="cellIs" dxfId="2077" priority="431" stopIfTrue="1" operator="lessThan">
      <formula>$K$16</formula>
    </cfRule>
  </conditionalFormatting>
  <conditionalFormatting sqref="L17">
    <cfRule type="cellIs" dxfId="2076" priority="432" stopIfTrue="1" operator="equal">
      <formula>$K$17</formula>
    </cfRule>
    <cfRule type="cellIs" dxfId="2075" priority="433" stopIfTrue="1" operator="lessThan">
      <formula>$K$17</formula>
    </cfRule>
  </conditionalFormatting>
  <conditionalFormatting sqref="L18">
    <cfRule type="cellIs" dxfId="2074" priority="434" stopIfTrue="1" operator="equal">
      <formula>$K$18</formula>
    </cfRule>
    <cfRule type="cellIs" dxfId="2073" priority="435" stopIfTrue="1" operator="lessThan">
      <formula>$K$18</formula>
    </cfRule>
  </conditionalFormatting>
  <conditionalFormatting sqref="L19">
    <cfRule type="cellIs" dxfId="2072" priority="436" stopIfTrue="1" operator="equal">
      <formula>$K$19</formula>
    </cfRule>
    <cfRule type="cellIs" dxfId="2071" priority="437" stopIfTrue="1" operator="lessThan">
      <formula>$K$19</formula>
    </cfRule>
  </conditionalFormatting>
  <conditionalFormatting sqref="L20">
    <cfRule type="cellIs" dxfId="2070" priority="438" stopIfTrue="1" operator="equal">
      <formula>$K$20</formula>
    </cfRule>
    <cfRule type="cellIs" dxfId="2069" priority="439" stopIfTrue="1" operator="lessThan">
      <formula>$K$20</formula>
    </cfRule>
  </conditionalFormatting>
  <conditionalFormatting sqref="L21">
    <cfRule type="cellIs" dxfId="2068" priority="440" stopIfTrue="1" operator="equal">
      <formula>$K$21</formula>
    </cfRule>
    <cfRule type="cellIs" dxfId="2067" priority="441" stopIfTrue="1" operator="lessThan">
      <formula>$K$21</formula>
    </cfRule>
  </conditionalFormatting>
  <conditionalFormatting sqref="L22">
    <cfRule type="cellIs" dxfId="2066" priority="442" stopIfTrue="1" operator="equal">
      <formula>$K$22</formula>
    </cfRule>
    <cfRule type="cellIs" dxfId="2065" priority="443" stopIfTrue="1" operator="lessThan">
      <formula>$K$22</formula>
    </cfRule>
  </conditionalFormatting>
  <conditionalFormatting sqref="L23">
    <cfRule type="cellIs" dxfId="2064" priority="444" stopIfTrue="1" operator="equal">
      <formula>$K$23</formula>
    </cfRule>
    <cfRule type="cellIs" dxfId="2063" priority="445" stopIfTrue="1" operator="lessThan">
      <formula>$K$23</formula>
    </cfRule>
  </conditionalFormatting>
  <conditionalFormatting sqref="L24">
    <cfRule type="cellIs" dxfId="2062" priority="446" stopIfTrue="1" operator="equal">
      <formula>$K$24</formula>
    </cfRule>
    <cfRule type="cellIs" dxfId="2061" priority="447" stopIfTrue="1" operator="lessThan">
      <formula>$K$24</formula>
    </cfRule>
  </conditionalFormatting>
  <conditionalFormatting sqref="L25">
    <cfRule type="cellIs" dxfId="2060" priority="448" stopIfTrue="1" operator="equal">
      <formula>$K$25</formula>
    </cfRule>
    <cfRule type="cellIs" dxfId="2059" priority="449" stopIfTrue="1" operator="lessThan">
      <formula>$K$25</formula>
    </cfRule>
  </conditionalFormatting>
  <conditionalFormatting sqref="L26">
    <cfRule type="cellIs" dxfId="2058" priority="450" stopIfTrue="1" operator="equal">
      <formula>$K$26</formula>
    </cfRule>
    <cfRule type="cellIs" dxfId="2057" priority="451" stopIfTrue="1" operator="lessThan">
      <formula>$K$26</formula>
    </cfRule>
  </conditionalFormatting>
  <conditionalFormatting sqref="L27">
    <cfRule type="cellIs" dxfId="2056" priority="452" stopIfTrue="1" operator="equal">
      <formula>$K$27</formula>
    </cfRule>
    <cfRule type="cellIs" dxfId="2055" priority="453" stopIfTrue="1" operator="lessThan">
      <formula>$K$27</formula>
    </cfRule>
  </conditionalFormatting>
  <conditionalFormatting sqref="L28">
    <cfRule type="cellIs" dxfId="2054" priority="454" stopIfTrue="1" operator="lessThan">
      <formula>$K$28</formula>
    </cfRule>
    <cfRule type="cellIs" dxfId="2053" priority="455" stopIfTrue="1" operator="equal">
      <formula>$K$28</formula>
    </cfRule>
  </conditionalFormatting>
  <conditionalFormatting sqref="L29">
    <cfRule type="cellIs" dxfId="2052" priority="456" stopIfTrue="1" operator="equal">
      <formula>$K$29</formula>
    </cfRule>
    <cfRule type="cellIs" dxfId="2051" priority="457" stopIfTrue="1" operator="lessThan">
      <formula>$K$29</formula>
    </cfRule>
  </conditionalFormatting>
  <conditionalFormatting sqref="M4">
    <cfRule type="cellIs" dxfId="2050" priority="458" stopIfTrue="1" operator="equal">
      <formula>$L$4</formula>
    </cfRule>
    <cfRule type="cellIs" dxfId="2049" priority="459" stopIfTrue="1" operator="lessThan">
      <formula>$L$4</formula>
    </cfRule>
  </conditionalFormatting>
  <conditionalFormatting sqref="M5">
    <cfRule type="cellIs" dxfId="2048" priority="460" stopIfTrue="1" operator="equal">
      <formula>$L$5</formula>
    </cfRule>
    <cfRule type="cellIs" dxfId="2047" priority="461" stopIfTrue="1" operator="lessThan">
      <formula>$L$5</formula>
    </cfRule>
  </conditionalFormatting>
  <conditionalFormatting sqref="M6">
    <cfRule type="cellIs" dxfId="2046" priority="462" stopIfTrue="1" operator="equal">
      <formula>$L$6</formula>
    </cfRule>
    <cfRule type="cellIs" dxfId="2045" priority="463" stopIfTrue="1" operator="lessThan">
      <formula>$L$6</formula>
    </cfRule>
  </conditionalFormatting>
  <conditionalFormatting sqref="M7">
    <cfRule type="cellIs" dxfId="2044" priority="464" stopIfTrue="1" operator="equal">
      <formula>$L$7</formula>
    </cfRule>
    <cfRule type="cellIs" dxfId="2043" priority="465" stopIfTrue="1" operator="lessThan">
      <formula>$L$7</formula>
    </cfRule>
  </conditionalFormatting>
  <conditionalFormatting sqref="M8">
    <cfRule type="cellIs" dxfId="2042" priority="466" stopIfTrue="1" operator="equal">
      <formula>$L$8</formula>
    </cfRule>
    <cfRule type="cellIs" dxfId="2041" priority="467" stopIfTrue="1" operator="lessThan">
      <formula>$L$8</formula>
    </cfRule>
  </conditionalFormatting>
  <conditionalFormatting sqref="M9">
    <cfRule type="cellIs" dxfId="2040" priority="468" stopIfTrue="1" operator="equal">
      <formula>$L$9</formula>
    </cfRule>
    <cfRule type="cellIs" dxfId="2039" priority="469" stopIfTrue="1" operator="lessThan">
      <formula>$L$9</formula>
    </cfRule>
  </conditionalFormatting>
  <conditionalFormatting sqref="M10">
    <cfRule type="cellIs" dxfId="2038" priority="470" stopIfTrue="1" operator="equal">
      <formula>$L$10</formula>
    </cfRule>
    <cfRule type="cellIs" dxfId="2037" priority="471" stopIfTrue="1" operator="lessThan">
      <formula>$L$10</formula>
    </cfRule>
  </conditionalFormatting>
  <conditionalFormatting sqref="M11">
    <cfRule type="cellIs" dxfId="2036" priority="493" stopIfTrue="1" operator="lessThan">
      <formula>$L$11</formula>
    </cfRule>
    <cfRule type="cellIs" dxfId="2035" priority="492" stopIfTrue="1" operator="equal">
      <formula>$L$11</formula>
    </cfRule>
  </conditionalFormatting>
  <conditionalFormatting sqref="M12">
    <cfRule type="cellIs" dxfId="2034" priority="472" stopIfTrue="1" operator="equal">
      <formula>$L$12</formula>
    </cfRule>
    <cfRule type="cellIs" dxfId="2033" priority="473" stopIfTrue="1" operator="lessThan">
      <formula>$L$12</formula>
    </cfRule>
  </conditionalFormatting>
  <conditionalFormatting sqref="M13">
    <cfRule type="cellIs" dxfId="2032" priority="475" stopIfTrue="1" operator="lessThan">
      <formula>$L$13</formula>
    </cfRule>
    <cfRule type="cellIs" dxfId="2031" priority="474" stopIfTrue="1" operator="equal">
      <formula>$L$13</formula>
    </cfRule>
  </conditionalFormatting>
  <conditionalFormatting sqref="M14">
    <cfRule type="cellIs" dxfId="2030" priority="476" stopIfTrue="1" operator="equal">
      <formula>$L$14</formula>
    </cfRule>
    <cfRule type="cellIs" dxfId="2029" priority="477" stopIfTrue="1" operator="lessThan">
      <formula>$L$14</formula>
    </cfRule>
  </conditionalFormatting>
  <conditionalFormatting sqref="M15">
    <cfRule type="cellIs" dxfId="2028" priority="478" stopIfTrue="1" operator="equal">
      <formula>$L$15</formula>
    </cfRule>
    <cfRule type="cellIs" dxfId="2027" priority="479" stopIfTrue="1" operator="lessThan">
      <formula>$L$15</formula>
    </cfRule>
  </conditionalFormatting>
  <conditionalFormatting sqref="M16">
    <cfRule type="cellIs" dxfId="2026" priority="480" stopIfTrue="1" operator="equal">
      <formula>$L$16</formula>
    </cfRule>
    <cfRule type="cellIs" dxfId="2025" priority="481" stopIfTrue="1" operator="lessThan">
      <formula>$L$16</formula>
    </cfRule>
  </conditionalFormatting>
  <conditionalFormatting sqref="M17">
    <cfRule type="cellIs" dxfId="2024" priority="483" stopIfTrue="1" operator="lessThan">
      <formula>$L$17</formula>
    </cfRule>
    <cfRule type="cellIs" dxfId="2023" priority="482" stopIfTrue="1" operator="equal">
      <formula>$L$17</formula>
    </cfRule>
  </conditionalFormatting>
  <conditionalFormatting sqref="M18">
    <cfRule type="cellIs" dxfId="2022" priority="484" stopIfTrue="1" operator="equal">
      <formula>$L$18</formula>
    </cfRule>
    <cfRule type="cellIs" dxfId="2021" priority="485" stopIfTrue="1" operator="lessThan">
      <formula>$L$18</formula>
    </cfRule>
  </conditionalFormatting>
  <conditionalFormatting sqref="M19">
    <cfRule type="cellIs" dxfId="2020" priority="486" stopIfTrue="1" operator="equal">
      <formula>$L$19</formula>
    </cfRule>
    <cfRule type="cellIs" dxfId="2019" priority="487" stopIfTrue="1" operator="lessThan">
      <formula>$L$19</formula>
    </cfRule>
  </conditionalFormatting>
  <conditionalFormatting sqref="M20">
    <cfRule type="cellIs" dxfId="2018" priority="488" stopIfTrue="1" operator="equal">
      <formula>$L$20</formula>
    </cfRule>
    <cfRule type="cellIs" dxfId="2017" priority="489" stopIfTrue="1" operator="lessThan">
      <formula>$L$20</formula>
    </cfRule>
  </conditionalFormatting>
  <conditionalFormatting sqref="M21">
    <cfRule type="cellIs" dxfId="2016" priority="490" stopIfTrue="1" operator="equal">
      <formula>$L$21</formula>
    </cfRule>
    <cfRule type="cellIs" dxfId="2015" priority="491" stopIfTrue="1" operator="lessThan">
      <formula>$L$21</formula>
    </cfRule>
  </conditionalFormatting>
  <conditionalFormatting sqref="M22">
    <cfRule type="cellIs" dxfId="2014" priority="494" stopIfTrue="1" operator="equal">
      <formula>$L$22</formula>
    </cfRule>
    <cfRule type="cellIs" dxfId="2013" priority="495" stopIfTrue="1" operator="lessThan">
      <formula>$L$22</formula>
    </cfRule>
  </conditionalFormatting>
  <conditionalFormatting sqref="M23">
    <cfRule type="cellIs" dxfId="2012" priority="496" stopIfTrue="1" operator="equal">
      <formula>$L$23</formula>
    </cfRule>
    <cfRule type="cellIs" dxfId="2011" priority="497" stopIfTrue="1" operator="lessThan">
      <formula>$L$23</formula>
    </cfRule>
  </conditionalFormatting>
  <conditionalFormatting sqref="M24">
    <cfRule type="cellIs" dxfId="2010" priority="498" stopIfTrue="1" operator="equal">
      <formula>$L$24</formula>
    </cfRule>
    <cfRule type="cellIs" dxfId="2009" priority="499" stopIfTrue="1" operator="lessThan">
      <formula>$L$24</formula>
    </cfRule>
  </conditionalFormatting>
  <conditionalFormatting sqref="M25">
    <cfRule type="cellIs" dxfId="2008" priority="500" stopIfTrue="1" operator="equal">
      <formula>$L$25</formula>
    </cfRule>
    <cfRule type="cellIs" dxfId="2007" priority="501" stopIfTrue="1" operator="lessThan">
      <formula>$L$25</formula>
    </cfRule>
  </conditionalFormatting>
  <conditionalFormatting sqref="M26">
    <cfRule type="cellIs" dxfId="2006" priority="502" stopIfTrue="1" operator="equal">
      <formula>$L$26</formula>
    </cfRule>
    <cfRule type="cellIs" dxfId="2005" priority="503" stopIfTrue="1" operator="lessThan">
      <formula>$L$26</formula>
    </cfRule>
  </conditionalFormatting>
  <conditionalFormatting sqref="M27">
    <cfRule type="cellIs" dxfId="2004" priority="505" stopIfTrue="1" operator="lessThan">
      <formula>$L$27</formula>
    </cfRule>
    <cfRule type="cellIs" dxfId="2003" priority="504" stopIfTrue="1" operator="equal">
      <formula>$L$27</formula>
    </cfRule>
  </conditionalFormatting>
  <conditionalFormatting sqref="M28">
    <cfRule type="cellIs" dxfId="2002" priority="506" stopIfTrue="1" operator="equal">
      <formula>$L$28</formula>
    </cfRule>
    <cfRule type="cellIs" dxfId="2001" priority="507" stopIfTrue="1" operator="lessThan">
      <formula>$L$28</formula>
    </cfRule>
  </conditionalFormatting>
  <conditionalFormatting sqref="M29:P29">
    <cfRule type="cellIs" dxfId="2000" priority="1" stopIfTrue="1" operator="equal">
      <formula>0</formula>
    </cfRule>
  </conditionalFormatting>
  <conditionalFormatting sqref="N4">
    <cfRule type="cellIs" dxfId="1999" priority="508" stopIfTrue="1" operator="lessThan">
      <formula>$M$4</formula>
    </cfRule>
    <cfRule type="cellIs" dxfId="1998" priority="509" stopIfTrue="1" operator="equal">
      <formula>$M$4</formula>
    </cfRule>
  </conditionalFormatting>
  <conditionalFormatting sqref="N5">
    <cfRule type="cellIs" dxfId="1997" priority="510" stopIfTrue="1" operator="equal">
      <formula>$M$5</formula>
    </cfRule>
    <cfRule type="cellIs" dxfId="1996" priority="511" stopIfTrue="1" operator="lessThan">
      <formula>$M$5</formula>
    </cfRule>
  </conditionalFormatting>
  <conditionalFormatting sqref="N6">
    <cfRule type="cellIs" dxfId="1995" priority="513" stopIfTrue="1" operator="lessThan">
      <formula>$M$6</formula>
    </cfRule>
    <cfRule type="cellIs" dxfId="1994" priority="512" stopIfTrue="1" operator="equal">
      <formula>$M$6</formula>
    </cfRule>
  </conditionalFormatting>
  <conditionalFormatting sqref="N7">
    <cfRule type="cellIs" dxfId="1993" priority="515" stopIfTrue="1" operator="lessThan">
      <formula>$M$7</formula>
    </cfRule>
    <cfRule type="cellIs" dxfId="1992" priority="514" stopIfTrue="1" operator="equal">
      <formula>$M$7</formula>
    </cfRule>
  </conditionalFormatting>
  <conditionalFormatting sqref="N8">
    <cfRule type="cellIs" dxfId="1991" priority="516" stopIfTrue="1" operator="equal">
      <formula>$M$8</formula>
    </cfRule>
    <cfRule type="cellIs" dxfId="1990" priority="517" stopIfTrue="1" operator="lessThan">
      <formula>$M$8</formula>
    </cfRule>
  </conditionalFormatting>
  <conditionalFormatting sqref="N9">
    <cfRule type="cellIs" dxfId="1989" priority="518" stopIfTrue="1" operator="equal">
      <formula>$M$9</formula>
    </cfRule>
    <cfRule type="cellIs" dxfId="1988" priority="519" stopIfTrue="1" operator="lessThan">
      <formula>$M$9</formula>
    </cfRule>
  </conditionalFormatting>
  <conditionalFormatting sqref="N10">
    <cfRule type="cellIs" dxfId="1987" priority="520" stopIfTrue="1" operator="equal">
      <formula>$M$10</formula>
    </cfRule>
    <cfRule type="cellIs" dxfId="1986" priority="521" stopIfTrue="1" operator="lessThan">
      <formula>$M$10</formula>
    </cfRule>
  </conditionalFormatting>
  <conditionalFormatting sqref="N11">
    <cfRule type="cellIs" dxfId="1985" priority="522" stopIfTrue="1" operator="equal">
      <formula>$M$11</formula>
    </cfRule>
    <cfRule type="cellIs" dxfId="1984" priority="523" stopIfTrue="1" operator="lessThan">
      <formula>$M$11</formula>
    </cfRule>
  </conditionalFormatting>
  <conditionalFormatting sqref="N12">
    <cfRule type="cellIs" dxfId="1983" priority="524" stopIfTrue="1" operator="equal">
      <formula>$M$12</formula>
    </cfRule>
    <cfRule type="cellIs" dxfId="1982" priority="525" stopIfTrue="1" operator="lessThan">
      <formula>$M$12</formula>
    </cfRule>
  </conditionalFormatting>
  <conditionalFormatting sqref="N13">
    <cfRule type="cellIs" dxfId="1981" priority="526" stopIfTrue="1" operator="equal">
      <formula>$M$13</formula>
    </cfRule>
    <cfRule type="cellIs" dxfId="1980" priority="527" stopIfTrue="1" operator="lessThan">
      <formula>$M$13</formula>
    </cfRule>
  </conditionalFormatting>
  <conditionalFormatting sqref="N14">
    <cfRule type="cellIs" dxfId="1979" priority="528" stopIfTrue="1" operator="equal">
      <formula>$M$14</formula>
    </cfRule>
    <cfRule type="cellIs" dxfId="1978" priority="529" stopIfTrue="1" operator="lessThan">
      <formula>$M$14</formula>
    </cfRule>
  </conditionalFormatting>
  <conditionalFormatting sqref="N15">
    <cfRule type="cellIs" dxfId="1977" priority="530" stopIfTrue="1" operator="equal">
      <formula>$M$15</formula>
    </cfRule>
    <cfRule type="cellIs" dxfId="1976" priority="531" stopIfTrue="1" operator="lessThan">
      <formula>$M$15</formula>
    </cfRule>
  </conditionalFormatting>
  <conditionalFormatting sqref="N16">
    <cfRule type="cellIs" dxfId="1975" priority="533" stopIfTrue="1" operator="lessThan">
      <formula>$M$16</formula>
    </cfRule>
    <cfRule type="cellIs" dxfId="1974" priority="532" stopIfTrue="1" operator="equal">
      <formula>$M$16</formula>
    </cfRule>
  </conditionalFormatting>
  <conditionalFormatting sqref="N17">
    <cfRule type="cellIs" dxfId="1973" priority="535" stopIfTrue="1" operator="lessThan">
      <formula>$M$17</formula>
    </cfRule>
    <cfRule type="cellIs" dxfId="1972" priority="534" stopIfTrue="1" operator="equal">
      <formula>$M$17</formula>
    </cfRule>
  </conditionalFormatting>
  <conditionalFormatting sqref="N18">
    <cfRule type="cellIs" dxfId="1971" priority="536" stopIfTrue="1" operator="equal">
      <formula>$M$18</formula>
    </cfRule>
    <cfRule type="cellIs" dxfId="1970" priority="537" stopIfTrue="1" operator="lessThan">
      <formula>$M$18</formula>
    </cfRule>
  </conditionalFormatting>
  <conditionalFormatting sqref="N19">
    <cfRule type="cellIs" dxfId="1969" priority="538" stopIfTrue="1" operator="equal">
      <formula>$M$19</formula>
    </cfRule>
    <cfRule type="cellIs" dxfId="1968" priority="539" stopIfTrue="1" operator="lessThan">
      <formula>$M$19</formula>
    </cfRule>
  </conditionalFormatting>
  <conditionalFormatting sqref="N20">
    <cfRule type="cellIs" dxfId="1967" priority="540" stopIfTrue="1" operator="equal">
      <formula>$M$20</formula>
    </cfRule>
    <cfRule type="cellIs" dxfId="1966" priority="541" stopIfTrue="1" operator="lessThan">
      <formula>$M$20</formula>
    </cfRule>
  </conditionalFormatting>
  <conditionalFormatting sqref="N21">
    <cfRule type="cellIs" dxfId="1965" priority="542" stopIfTrue="1" operator="equal">
      <formula>$M$21</formula>
    </cfRule>
    <cfRule type="cellIs" dxfId="1964" priority="543" stopIfTrue="1" operator="lessThan">
      <formula>$M$21</formula>
    </cfRule>
  </conditionalFormatting>
  <conditionalFormatting sqref="N22">
    <cfRule type="cellIs" dxfId="1963" priority="544" stopIfTrue="1" operator="equal">
      <formula>$M$22</formula>
    </cfRule>
    <cfRule type="cellIs" dxfId="1962" priority="545" stopIfTrue="1" operator="lessThan">
      <formula>$M$22</formula>
    </cfRule>
  </conditionalFormatting>
  <conditionalFormatting sqref="N23">
    <cfRule type="cellIs" dxfId="1961" priority="546" stopIfTrue="1" operator="equal">
      <formula>$M$23</formula>
    </cfRule>
    <cfRule type="cellIs" dxfId="1960" priority="547" stopIfTrue="1" operator="lessThan">
      <formula>$M$23</formula>
    </cfRule>
  </conditionalFormatting>
  <conditionalFormatting sqref="N24">
    <cfRule type="cellIs" dxfId="1959" priority="548" stopIfTrue="1" operator="equal">
      <formula>$M$24</formula>
    </cfRule>
    <cfRule type="cellIs" dxfId="1958" priority="549" stopIfTrue="1" operator="lessThan">
      <formula>$M$24</formula>
    </cfRule>
  </conditionalFormatting>
  <conditionalFormatting sqref="N25">
    <cfRule type="cellIs" dxfId="1957" priority="550" stopIfTrue="1" operator="equal">
      <formula>$M$25</formula>
    </cfRule>
    <cfRule type="cellIs" dxfId="1956" priority="551" stopIfTrue="1" operator="lessThan">
      <formula>$M$25</formula>
    </cfRule>
  </conditionalFormatting>
  <conditionalFormatting sqref="N26">
    <cfRule type="cellIs" dxfId="1955" priority="553" stopIfTrue="1" operator="lessThan">
      <formula>$M$26</formula>
    </cfRule>
    <cfRule type="cellIs" dxfId="1954" priority="552" stopIfTrue="1" operator="equal">
      <formula>$M$26</formula>
    </cfRule>
  </conditionalFormatting>
  <conditionalFormatting sqref="N27">
    <cfRule type="cellIs" dxfId="1953" priority="555" stopIfTrue="1" operator="lessThan">
      <formula>$M$27</formula>
    </cfRule>
    <cfRule type="cellIs" dxfId="1952" priority="554" stopIfTrue="1" operator="equal">
      <formula>$M$27</formula>
    </cfRule>
  </conditionalFormatting>
  <conditionalFormatting sqref="N28">
    <cfRule type="cellIs" dxfId="1951" priority="556" stopIfTrue="1" operator="equal">
      <formula>$M$28</formula>
    </cfRule>
    <cfRule type="cellIs" dxfId="1950" priority="557" stopIfTrue="1" operator="lessThan">
      <formula>$M$28</formula>
    </cfRule>
  </conditionalFormatting>
  <conditionalFormatting sqref="O4">
    <cfRule type="cellIs" dxfId="1949" priority="558" stopIfTrue="1" operator="equal">
      <formula>$N$4</formula>
    </cfRule>
    <cfRule type="cellIs" dxfId="1948" priority="559" stopIfTrue="1" operator="lessThan">
      <formula>$N$4</formula>
    </cfRule>
  </conditionalFormatting>
  <conditionalFormatting sqref="O5">
    <cfRule type="cellIs" dxfId="1947" priority="560" stopIfTrue="1" operator="equal">
      <formula>$N$5</formula>
    </cfRule>
    <cfRule type="cellIs" dxfId="1946" priority="561" stopIfTrue="1" operator="lessThan">
      <formula>$N$5</formula>
    </cfRule>
  </conditionalFormatting>
  <conditionalFormatting sqref="O6">
    <cfRule type="cellIs" dxfId="1945" priority="562" stopIfTrue="1" operator="equal">
      <formula>$N$6</formula>
    </cfRule>
    <cfRule type="cellIs" dxfId="1944" priority="563" stopIfTrue="1" operator="lessThan">
      <formula>$N$6</formula>
    </cfRule>
  </conditionalFormatting>
  <conditionalFormatting sqref="O7">
    <cfRule type="cellIs" dxfId="1943" priority="564" stopIfTrue="1" operator="equal">
      <formula>$N$7</formula>
    </cfRule>
    <cfRule type="cellIs" dxfId="1942" priority="565" stopIfTrue="1" operator="lessThan">
      <formula>$N$7</formula>
    </cfRule>
  </conditionalFormatting>
  <conditionalFormatting sqref="O8">
    <cfRule type="cellIs" dxfId="1941" priority="566" stopIfTrue="1" operator="equal">
      <formula>$N$8</formula>
    </cfRule>
    <cfRule type="cellIs" dxfId="1940" priority="567" stopIfTrue="1" operator="lessThan">
      <formula>$N$8</formula>
    </cfRule>
  </conditionalFormatting>
  <conditionalFormatting sqref="O9">
    <cfRule type="cellIs" dxfId="1939" priority="568" stopIfTrue="1" operator="equal">
      <formula>$N$9</formula>
    </cfRule>
    <cfRule type="cellIs" dxfId="1938" priority="569" stopIfTrue="1" operator="lessThan">
      <formula>$N$9</formula>
    </cfRule>
  </conditionalFormatting>
  <conditionalFormatting sqref="O10">
    <cfRule type="cellIs" dxfId="1937" priority="570" stopIfTrue="1" operator="equal">
      <formula>$N$10</formula>
    </cfRule>
    <cfRule type="cellIs" dxfId="1936" priority="571" stopIfTrue="1" operator="lessThan">
      <formula>$N$10</formula>
    </cfRule>
  </conditionalFormatting>
  <conditionalFormatting sqref="O11">
    <cfRule type="cellIs" dxfId="1935" priority="572" stopIfTrue="1" operator="equal">
      <formula>$N$11</formula>
    </cfRule>
    <cfRule type="cellIs" dxfId="1934" priority="573" stopIfTrue="1" operator="lessThan">
      <formula>$N$11</formula>
    </cfRule>
  </conditionalFormatting>
  <conditionalFormatting sqref="O12">
    <cfRule type="cellIs" dxfId="1933" priority="575" stopIfTrue="1" operator="lessThan">
      <formula>$N$12</formula>
    </cfRule>
    <cfRule type="cellIs" dxfId="1932" priority="574" stopIfTrue="1" operator="equal">
      <formula>$N$12</formula>
    </cfRule>
  </conditionalFormatting>
  <conditionalFormatting sqref="O13">
    <cfRule type="cellIs" dxfId="1931" priority="577" stopIfTrue="1" operator="lessThan">
      <formula>$N$13</formula>
    </cfRule>
    <cfRule type="cellIs" dxfId="1930" priority="576" stopIfTrue="1" operator="equal">
      <formula>$N$13</formula>
    </cfRule>
  </conditionalFormatting>
  <conditionalFormatting sqref="O14">
    <cfRule type="cellIs" dxfId="1929" priority="578" stopIfTrue="1" operator="equal">
      <formula>$N$14</formula>
    </cfRule>
    <cfRule type="cellIs" dxfId="1928" priority="579" stopIfTrue="1" operator="lessThan">
      <formula>$N$14</formula>
    </cfRule>
  </conditionalFormatting>
  <conditionalFormatting sqref="O15">
    <cfRule type="cellIs" dxfId="1927" priority="580" stopIfTrue="1" operator="equal">
      <formula>$N$15</formula>
    </cfRule>
    <cfRule type="cellIs" dxfId="1926" priority="581" stopIfTrue="1" operator="lessThan">
      <formula>$N$15</formula>
    </cfRule>
  </conditionalFormatting>
  <conditionalFormatting sqref="O16">
    <cfRule type="cellIs" dxfId="1925" priority="582" stopIfTrue="1" operator="equal">
      <formula>$N$16</formula>
    </cfRule>
    <cfRule type="cellIs" dxfId="1924" priority="583" stopIfTrue="1" operator="lessThan">
      <formula>$N$16</formula>
    </cfRule>
  </conditionalFormatting>
  <conditionalFormatting sqref="O17">
    <cfRule type="cellIs" dxfId="1923" priority="584" stopIfTrue="1" operator="equal">
      <formula>$N$17</formula>
    </cfRule>
    <cfRule type="cellIs" dxfId="1922" priority="585" stopIfTrue="1" operator="lessThan">
      <formula>$N$17</formula>
    </cfRule>
  </conditionalFormatting>
  <conditionalFormatting sqref="O18">
    <cfRule type="cellIs" dxfId="1921" priority="587" stopIfTrue="1" operator="lessThan">
      <formula>$N$18</formula>
    </cfRule>
    <cfRule type="cellIs" dxfId="1920" priority="586" stopIfTrue="1" operator="equal">
      <formula>$N$18</formula>
    </cfRule>
  </conditionalFormatting>
  <conditionalFormatting sqref="O19">
    <cfRule type="cellIs" dxfId="1919" priority="588" stopIfTrue="1" operator="equal">
      <formula>$N$19</formula>
    </cfRule>
    <cfRule type="cellIs" dxfId="1918" priority="589" stopIfTrue="1" operator="lessThan">
      <formula>$N$19</formula>
    </cfRule>
  </conditionalFormatting>
  <conditionalFormatting sqref="O20">
    <cfRule type="cellIs" dxfId="1917" priority="590" stopIfTrue="1" operator="equal">
      <formula>$N$20</formula>
    </cfRule>
    <cfRule type="cellIs" dxfId="1916" priority="591" stopIfTrue="1" operator="lessThan">
      <formula>$N$20</formula>
    </cfRule>
  </conditionalFormatting>
  <conditionalFormatting sqref="O21">
    <cfRule type="cellIs" dxfId="1915" priority="592" stopIfTrue="1" operator="equal">
      <formula>$N$21</formula>
    </cfRule>
    <cfRule type="cellIs" dxfId="1914" priority="593" stopIfTrue="1" operator="lessThan">
      <formula>$N$21</formula>
    </cfRule>
  </conditionalFormatting>
  <conditionalFormatting sqref="O22">
    <cfRule type="cellIs" dxfId="1913" priority="595" stopIfTrue="1" operator="lessThan">
      <formula>$N$22</formula>
    </cfRule>
    <cfRule type="cellIs" dxfId="1912" priority="594" stopIfTrue="1" operator="equal">
      <formula>$N$22</formula>
    </cfRule>
  </conditionalFormatting>
  <conditionalFormatting sqref="O23">
    <cfRule type="cellIs" dxfId="1911" priority="597" stopIfTrue="1" operator="lessThan">
      <formula>$N$23</formula>
    </cfRule>
    <cfRule type="cellIs" dxfId="1910" priority="596" stopIfTrue="1" operator="equal">
      <formula>$N$23</formula>
    </cfRule>
  </conditionalFormatting>
  <conditionalFormatting sqref="O24">
    <cfRule type="cellIs" dxfId="1909" priority="598" stopIfTrue="1" operator="equal">
      <formula>$N$24</formula>
    </cfRule>
    <cfRule type="cellIs" dxfId="1908" priority="599" stopIfTrue="1" operator="lessThan">
      <formula>$N$24</formula>
    </cfRule>
  </conditionalFormatting>
  <conditionalFormatting sqref="O25">
    <cfRule type="cellIs" dxfId="1907" priority="600" stopIfTrue="1" operator="equal">
      <formula>$N$25</formula>
    </cfRule>
    <cfRule type="cellIs" dxfId="1906" priority="601" stopIfTrue="1" operator="lessThan">
      <formula>$N$25</formula>
    </cfRule>
  </conditionalFormatting>
  <conditionalFormatting sqref="O26">
    <cfRule type="cellIs" dxfId="1905" priority="602" stopIfTrue="1" operator="equal">
      <formula>$N$26</formula>
    </cfRule>
    <cfRule type="cellIs" dxfId="1904" priority="603" stopIfTrue="1" operator="lessThan">
      <formula>$N$26</formula>
    </cfRule>
  </conditionalFormatting>
  <conditionalFormatting sqref="O27">
    <cfRule type="cellIs" dxfId="1903" priority="604" stopIfTrue="1" operator="equal">
      <formula>$N$27</formula>
    </cfRule>
    <cfRule type="cellIs" dxfId="1902" priority="605" stopIfTrue="1" operator="lessThan">
      <formula>$N$27</formula>
    </cfRule>
  </conditionalFormatting>
  <conditionalFormatting sqref="O28">
    <cfRule type="cellIs" dxfId="1901" priority="606" stopIfTrue="1" operator="equal">
      <formula>$N$28</formula>
    </cfRule>
    <cfRule type="cellIs" dxfId="1900" priority="607" stopIfTrue="1" operator="lessThan">
      <formula>$N$28</formula>
    </cfRule>
  </conditionalFormatting>
  <conditionalFormatting sqref="P4">
    <cfRule type="cellIs" dxfId="1899" priority="608" stopIfTrue="1" operator="equal">
      <formula>$O$4</formula>
    </cfRule>
    <cfRule type="cellIs" dxfId="1898" priority="609" stopIfTrue="1" operator="lessThan">
      <formula>$O$4</formula>
    </cfRule>
  </conditionalFormatting>
  <conditionalFormatting sqref="P5">
    <cfRule type="cellIs" dxfId="1897" priority="610" stopIfTrue="1" operator="equal">
      <formula>$O$5</formula>
    </cfRule>
    <cfRule type="cellIs" dxfId="1896" priority="611" stopIfTrue="1" operator="lessThan">
      <formula>$O$5</formula>
    </cfRule>
  </conditionalFormatting>
  <conditionalFormatting sqref="P6">
    <cfRule type="cellIs" dxfId="1895" priority="612" stopIfTrue="1" operator="equal">
      <formula>$O$6</formula>
    </cfRule>
    <cfRule type="cellIs" dxfId="1894" priority="613" stopIfTrue="1" operator="lessThan">
      <formula>$O$6</formula>
    </cfRule>
  </conditionalFormatting>
  <conditionalFormatting sqref="P7">
    <cfRule type="cellIs" dxfId="1893" priority="615" stopIfTrue="1" operator="lessThan">
      <formula>$O$7</formula>
    </cfRule>
    <cfRule type="cellIs" dxfId="1892" priority="614" stopIfTrue="1" operator="equal">
      <formula>$O$7</formula>
    </cfRule>
  </conditionalFormatting>
  <conditionalFormatting sqref="P8">
    <cfRule type="cellIs" dxfId="1891" priority="617" stopIfTrue="1" operator="lessThan">
      <formula>$O$8</formula>
    </cfRule>
    <cfRule type="cellIs" dxfId="1890" priority="616" stopIfTrue="1" operator="equal">
      <formula>$O$8</formula>
    </cfRule>
  </conditionalFormatting>
  <conditionalFormatting sqref="P9">
    <cfRule type="cellIs" dxfId="1889" priority="618" stopIfTrue="1" operator="equal">
      <formula>$O$9</formula>
    </cfRule>
    <cfRule type="cellIs" dxfId="1888" priority="619" stopIfTrue="1" operator="lessThan">
      <formula>$O$9</formula>
    </cfRule>
  </conditionalFormatting>
  <conditionalFormatting sqref="P10">
    <cfRule type="cellIs" dxfId="1887" priority="620" stopIfTrue="1" operator="equal">
      <formula>$O$10</formula>
    </cfRule>
    <cfRule type="cellIs" dxfId="1886" priority="621" stopIfTrue="1" operator="lessThan">
      <formula>$O$10</formula>
    </cfRule>
  </conditionalFormatting>
  <conditionalFormatting sqref="P11">
    <cfRule type="cellIs" dxfId="1885" priority="622" stopIfTrue="1" operator="equal">
      <formula>$O$11</formula>
    </cfRule>
    <cfRule type="cellIs" dxfId="1884" priority="623" stopIfTrue="1" operator="lessThan">
      <formula>$O$11</formula>
    </cfRule>
  </conditionalFormatting>
  <conditionalFormatting sqref="P12">
    <cfRule type="cellIs" dxfId="1883" priority="624" stopIfTrue="1" operator="equal">
      <formula>$O$12</formula>
    </cfRule>
    <cfRule type="cellIs" dxfId="1882" priority="625" stopIfTrue="1" operator="lessThan">
      <formula>$O$12</formula>
    </cfRule>
  </conditionalFormatting>
  <conditionalFormatting sqref="P13">
    <cfRule type="cellIs" dxfId="1881" priority="626" stopIfTrue="1" operator="equal">
      <formula>$O$13</formula>
    </cfRule>
    <cfRule type="cellIs" dxfId="1880" priority="627" stopIfTrue="1" operator="lessThan">
      <formula>$O$13</formula>
    </cfRule>
  </conditionalFormatting>
  <conditionalFormatting sqref="P14">
    <cfRule type="cellIs" dxfId="1879" priority="628" stopIfTrue="1" operator="equal">
      <formula>$O$14</formula>
    </cfRule>
    <cfRule type="cellIs" dxfId="1878" priority="629" stopIfTrue="1" operator="lessThan">
      <formula>$O$14</formula>
    </cfRule>
  </conditionalFormatting>
  <conditionalFormatting sqref="P15">
    <cfRule type="cellIs" dxfId="1877" priority="630" stopIfTrue="1" operator="equal">
      <formula>$O$15</formula>
    </cfRule>
    <cfRule type="cellIs" dxfId="1876" priority="631" stopIfTrue="1" operator="lessThan">
      <formula>$O$15</formula>
    </cfRule>
  </conditionalFormatting>
  <conditionalFormatting sqref="P16">
    <cfRule type="cellIs" dxfId="1875" priority="632" stopIfTrue="1" operator="equal">
      <formula>$O$16</formula>
    </cfRule>
    <cfRule type="cellIs" dxfId="1874" priority="633" stopIfTrue="1" operator="lessThan">
      <formula>$O$16</formula>
    </cfRule>
  </conditionalFormatting>
  <conditionalFormatting sqref="P17">
    <cfRule type="cellIs" dxfId="1873" priority="635" stopIfTrue="1" operator="lessThan">
      <formula>$O$17</formula>
    </cfRule>
    <cfRule type="cellIs" dxfId="1872" priority="634" stopIfTrue="1" operator="equal">
      <formula>$O$17</formula>
    </cfRule>
  </conditionalFormatting>
  <conditionalFormatting sqref="P18">
    <cfRule type="cellIs" dxfId="1871" priority="637" stopIfTrue="1" operator="lessThan">
      <formula>$O$18</formula>
    </cfRule>
    <cfRule type="cellIs" dxfId="1870" priority="636" stopIfTrue="1" operator="equal">
      <formula>$O$18</formula>
    </cfRule>
  </conditionalFormatting>
  <conditionalFormatting sqref="P19">
    <cfRule type="cellIs" dxfId="1869" priority="638" stopIfTrue="1" operator="equal">
      <formula>$O$19</formula>
    </cfRule>
    <cfRule type="cellIs" dxfId="1868" priority="639" stopIfTrue="1" operator="lessThan">
      <formula>$O$19</formula>
    </cfRule>
  </conditionalFormatting>
  <conditionalFormatting sqref="P20">
    <cfRule type="cellIs" dxfId="1867" priority="640" stopIfTrue="1" operator="equal">
      <formula>$O$20</formula>
    </cfRule>
    <cfRule type="cellIs" dxfId="1866" priority="641" stopIfTrue="1" operator="lessThan">
      <formula>$O$20</formula>
    </cfRule>
  </conditionalFormatting>
  <conditionalFormatting sqref="P21">
    <cfRule type="cellIs" dxfId="1865" priority="642" stopIfTrue="1" operator="equal">
      <formula>$O$21</formula>
    </cfRule>
    <cfRule type="cellIs" dxfId="1864" priority="643" stopIfTrue="1" operator="lessThan">
      <formula>$O$21</formula>
    </cfRule>
  </conditionalFormatting>
  <conditionalFormatting sqref="P22">
    <cfRule type="cellIs" dxfId="1863" priority="644" stopIfTrue="1" operator="equal">
      <formula>$O$22</formula>
    </cfRule>
    <cfRule type="cellIs" dxfId="1862" priority="645" stopIfTrue="1" operator="lessThan">
      <formula>$O$22</formula>
    </cfRule>
  </conditionalFormatting>
  <conditionalFormatting sqref="P23">
    <cfRule type="cellIs" dxfId="1861" priority="646" stopIfTrue="1" operator="equal">
      <formula>$O$23</formula>
    </cfRule>
    <cfRule type="cellIs" dxfId="1860" priority="647" stopIfTrue="1" operator="lessThan">
      <formula>$O$23</formula>
    </cfRule>
  </conditionalFormatting>
  <conditionalFormatting sqref="P24">
    <cfRule type="cellIs" dxfId="1859" priority="648" stopIfTrue="1" operator="equal">
      <formula>$O$24</formula>
    </cfRule>
    <cfRule type="cellIs" dxfId="1858" priority="649" stopIfTrue="1" operator="lessThan">
      <formula>$O$24</formula>
    </cfRule>
  </conditionalFormatting>
  <conditionalFormatting sqref="P25">
    <cfRule type="cellIs" dxfId="1857" priority="650" stopIfTrue="1" operator="equal">
      <formula>$O$25</formula>
    </cfRule>
    <cfRule type="cellIs" dxfId="1856" priority="651" stopIfTrue="1" operator="lessThan">
      <formula>$O$25</formula>
    </cfRule>
  </conditionalFormatting>
  <conditionalFormatting sqref="P26">
    <cfRule type="cellIs" dxfId="1855" priority="652" stopIfTrue="1" operator="equal">
      <formula>$O$26</formula>
    </cfRule>
    <cfRule type="cellIs" dxfId="1854" priority="653" stopIfTrue="1" operator="lessThan">
      <formula>$O$26</formula>
    </cfRule>
  </conditionalFormatting>
  <conditionalFormatting sqref="P27">
    <cfRule type="cellIs" dxfId="1853" priority="654" stopIfTrue="1" operator="equal">
      <formula>$O$27</formula>
    </cfRule>
    <cfRule type="cellIs" dxfId="1852" priority="655" stopIfTrue="1" operator="lessThan">
      <formula>$O$27</formula>
    </cfRule>
  </conditionalFormatting>
  <conditionalFormatting sqref="P28">
    <cfRule type="cellIs" dxfId="1851" priority="657" stopIfTrue="1" operator="lessThan">
      <formula>$O$28</formula>
    </cfRule>
    <cfRule type="cellIs" dxfId="1850" priority="656" stopIfTrue="1" operator="equal">
      <formula>$O$28</formula>
    </cfRule>
  </conditionalFormatting>
  <conditionalFormatting sqref="V4:AG23">
    <cfRule type="cellIs" dxfId="1849" priority="2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N41"/>
  <sheetViews>
    <sheetView zoomScaleNormal="100" zoomScaleSheetLayoutView="100" workbookViewId="0">
      <selection activeCell="F2" sqref="F2"/>
    </sheetView>
  </sheetViews>
  <sheetFormatPr defaultRowHeight="14.5" x14ac:dyDescent="0.35"/>
  <cols>
    <col min="1" max="1" width="8.54296875" customWidth="1"/>
    <col min="2" max="2" width="14.81640625" customWidth="1"/>
    <col min="3" max="3" width="12.36328125" customWidth="1"/>
    <col min="4" max="15" width="10.1796875" customWidth="1"/>
    <col min="16" max="16" width="10" customWidth="1"/>
    <col min="17" max="17" width="11.1796875" bestFit="1" customWidth="1"/>
    <col min="18" max="18" width="9.26953125" bestFit="1" customWidth="1"/>
    <col min="19" max="19" width="6.36328125" customWidth="1"/>
    <col min="39" max="39" width="8.7265625" style="1"/>
  </cols>
  <sheetData>
    <row r="1" spans="1:40" ht="15" thickBot="1" x14ac:dyDescent="0.4">
      <c r="AI1" s="275" t="s">
        <v>225</v>
      </c>
      <c r="AJ1" s="391" t="s">
        <v>223</v>
      </c>
      <c r="AK1" s="391"/>
      <c r="AL1" s="391"/>
      <c r="AM1" s="391"/>
      <c r="AN1" s="391"/>
    </row>
    <row r="2" spans="1:40" s="1" customFormat="1" ht="21" customHeight="1" thickBot="1" x14ac:dyDescent="0.55000000000000004">
      <c r="A2" s="112">
        <v>1855</v>
      </c>
      <c r="B2" s="2"/>
      <c r="C2" s="2"/>
      <c r="D2" s="3">
        <f>'1850'!D2</f>
        <v>46022</v>
      </c>
      <c r="E2" s="3">
        <f>'1850'!E2</f>
        <v>46055</v>
      </c>
      <c r="F2" s="3">
        <f>'1850'!F2</f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0</v>
      </c>
      <c r="R2" s="1" t="s">
        <v>1</v>
      </c>
      <c r="S2" s="1" t="s">
        <v>81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  <c r="AI2" s="267" t="s">
        <v>104</v>
      </c>
      <c r="AJ2" s="266">
        <v>2025</v>
      </c>
      <c r="AK2" s="266">
        <v>2024</v>
      </c>
      <c r="AL2" s="266">
        <v>2023</v>
      </c>
      <c r="AM2" s="266">
        <v>2022</v>
      </c>
      <c r="AN2" s="266">
        <v>2021</v>
      </c>
    </row>
    <row r="3" spans="1:40" s="1" customFormat="1" ht="15" thickBot="1" x14ac:dyDescent="0.4">
      <c r="A3" s="4" t="s">
        <v>2</v>
      </c>
      <c r="B3" s="5"/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  <c r="AI3" s="267"/>
      <c r="AJ3" s="267"/>
      <c r="AK3" s="267"/>
      <c r="AL3" s="267"/>
      <c r="AM3" s="267"/>
      <c r="AN3" s="267"/>
    </row>
    <row r="4" spans="1:40" ht="15" thickBot="1" x14ac:dyDescent="0.4">
      <c r="A4" s="371">
        <v>1</v>
      </c>
      <c r="B4" s="6" t="s">
        <v>244</v>
      </c>
      <c r="C4" s="312">
        <v>241513388</v>
      </c>
      <c r="D4" s="76">
        <v>143.13300000000001</v>
      </c>
      <c r="E4" s="7">
        <v>157.625</v>
      </c>
      <c r="F4" s="7">
        <v>171.43899999999999</v>
      </c>
      <c r="G4" s="7"/>
      <c r="H4" s="7"/>
      <c r="I4" s="7"/>
      <c r="J4" s="7"/>
      <c r="K4" s="7"/>
      <c r="L4" s="7"/>
      <c r="M4" s="8"/>
      <c r="N4" s="7"/>
      <c r="O4" s="7"/>
      <c r="P4" s="7"/>
      <c r="Q4" s="9">
        <f>P4-D4</f>
        <v>-143.13300000000001</v>
      </c>
      <c r="U4" s="1">
        <v>1</v>
      </c>
      <c r="V4" s="144">
        <f t="shared" ref="V4:AG5" si="0">E4-D4</f>
        <v>14.49199999999999</v>
      </c>
      <c r="W4" s="144">
        <f t="shared" si="0"/>
        <v>13.813999999999993</v>
      </c>
      <c r="X4" s="144">
        <f t="shared" si="0"/>
        <v>-171.43899999999999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  <c r="AH4" s="9"/>
      <c r="AI4" s="267">
        <v>1</v>
      </c>
      <c r="AJ4" s="268">
        <f>SUM(V4:AF4)</f>
        <v>-143.13300000000001</v>
      </c>
      <c r="AK4" s="268">
        <v>113.33199999999999</v>
      </c>
      <c r="AL4" s="268">
        <v>124.64999999999998</v>
      </c>
      <c r="AM4" s="268">
        <v>143.755</v>
      </c>
      <c r="AN4" s="269">
        <v>166.55600000000001</v>
      </c>
    </row>
    <row r="5" spans="1:40" x14ac:dyDescent="0.35">
      <c r="A5" s="371"/>
      <c r="B5" s="10" t="s">
        <v>245</v>
      </c>
      <c r="C5" s="313">
        <v>71182223</v>
      </c>
      <c r="D5" s="77">
        <v>159.82400000000001</v>
      </c>
      <c r="E5" s="11">
        <v>168.36600000000001</v>
      </c>
      <c r="F5" s="11">
        <v>173.024</v>
      </c>
      <c r="G5" s="11"/>
      <c r="H5" s="11"/>
      <c r="I5" s="11"/>
      <c r="J5" s="11"/>
      <c r="K5" s="11"/>
      <c r="L5" s="11"/>
      <c r="M5" s="12"/>
      <c r="N5" s="11"/>
      <c r="O5" s="11"/>
      <c r="P5" s="11"/>
      <c r="Q5" s="9"/>
      <c r="R5" s="9">
        <f>P5-D5</f>
        <v>-159.82400000000001</v>
      </c>
      <c r="U5" s="156" t="s">
        <v>1</v>
      </c>
      <c r="V5" s="155">
        <f t="shared" si="0"/>
        <v>8.5420000000000016</v>
      </c>
      <c r="W5" s="155">
        <f t="shared" si="0"/>
        <v>4.657999999999987</v>
      </c>
      <c r="X5" s="155">
        <f t="shared" si="0"/>
        <v>-173.024</v>
      </c>
      <c r="Y5" s="155">
        <f t="shared" si="0"/>
        <v>0</v>
      </c>
      <c r="Z5" s="155">
        <f t="shared" si="0"/>
        <v>0</v>
      </c>
      <c r="AA5" s="155">
        <f t="shared" si="0"/>
        <v>0</v>
      </c>
      <c r="AB5" s="155">
        <f t="shared" si="0"/>
        <v>0</v>
      </c>
      <c r="AC5" s="155">
        <f t="shared" si="0"/>
        <v>0</v>
      </c>
      <c r="AD5" s="155">
        <f t="shared" si="0"/>
        <v>0</v>
      </c>
      <c r="AE5" s="155">
        <f t="shared" si="0"/>
        <v>0</v>
      </c>
      <c r="AF5" s="155">
        <f t="shared" si="0"/>
        <v>0</v>
      </c>
      <c r="AG5" s="155">
        <f t="shared" si="0"/>
        <v>0</v>
      </c>
      <c r="AH5" s="264"/>
      <c r="AI5" s="267"/>
      <c r="AJ5" s="268"/>
      <c r="AK5" s="268"/>
      <c r="AL5" s="268"/>
      <c r="AM5" s="268"/>
      <c r="AN5" s="269"/>
    </row>
    <row r="6" spans="1:40" x14ac:dyDescent="0.35">
      <c r="A6" s="372">
        <v>2</v>
      </c>
      <c r="B6" s="10" t="s">
        <v>244</v>
      </c>
      <c r="C6" s="313">
        <v>241513401</v>
      </c>
      <c r="D6" s="77">
        <v>207.697</v>
      </c>
      <c r="E6" s="11">
        <v>225.232</v>
      </c>
      <c r="F6" s="11">
        <v>242.79599999999999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9">
        <f>P6-D6</f>
        <v>-207.697</v>
      </c>
      <c r="U6" s="1">
        <v>2</v>
      </c>
      <c r="V6" s="146">
        <f>E6-D6</f>
        <v>17.534999999999997</v>
      </c>
      <c r="W6" s="146">
        <f t="shared" ref="V6:AG21" si="1">F6-E6</f>
        <v>17.563999999999993</v>
      </c>
      <c r="X6" s="146">
        <f t="shared" si="1"/>
        <v>-242.79599999999999</v>
      </c>
      <c r="Y6" s="146">
        <f t="shared" si="1"/>
        <v>0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  <c r="AH6" s="9"/>
      <c r="AI6" s="267">
        <v>2</v>
      </c>
      <c r="AJ6" s="268">
        <f>SUM(V6:AF6)</f>
        <v>-207.697</v>
      </c>
      <c r="AK6" s="268">
        <v>163.53399999999999</v>
      </c>
      <c r="AL6" s="268">
        <v>153.82999999999993</v>
      </c>
      <c r="AM6" s="268">
        <v>160.27199999999993</v>
      </c>
      <c r="AN6" s="269">
        <v>194.58399999999997</v>
      </c>
    </row>
    <row r="7" spans="1:40" x14ac:dyDescent="0.35">
      <c r="A7" s="372"/>
      <c r="B7" s="10" t="s">
        <v>245</v>
      </c>
      <c r="C7" s="313">
        <v>71182224</v>
      </c>
      <c r="D7" s="77">
        <v>134.892</v>
      </c>
      <c r="E7" s="11">
        <v>141.92699999999999</v>
      </c>
      <c r="F7" s="11">
        <v>147.19999999999999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9"/>
      <c r="R7" s="9">
        <f>P7-D7</f>
        <v>-134.892</v>
      </c>
      <c r="U7" s="156"/>
      <c r="V7" s="155">
        <f t="shared" ref="V7:AG7" si="2">E7-D7</f>
        <v>7.0349999999999966</v>
      </c>
      <c r="W7" s="155">
        <f t="shared" si="2"/>
        <v>5.2729999999999961</v>
      </c>
      <c r="X7" s="155">
        <f t="shared" si="2"/>
        <v>-147.19999999999999</v>
      </c>
      <c r="Y7" s="155">
        <f t="shared" si="2"/>
        <v>0</v>
      </c>
      <c r="Z7" s="155">
        <f t="shared" si="2"/>
        <v>0</v>
      </c>
      <c r="AA7" s="155">
        <f t="shared" si="2"/>
        <v>0</v>
      </c>
      <c r="AB7" s="155">
        <f t="shared" si="2"/>
        <v>0</v>
      </c>
      <c r="AC7" s="155">
        <f t="shared" si="2"/>
        <v>0</v>
      </c>
      <c r="AD7" s="155">
        <f t="shared" si="2"/>
        <v>0</v>
      </c>
      <c r="AE7" s="155">
        <f t="shared" si="2"/>
        <v>0</v>
      </c>
      <c r="AF7" s="155">
        <f t="shared" si="2"/>
        <v>0</v>
      </c>
      <c r="AG7" s="155">
        <f t="shared" si="2"/>
        <v>0</v>
      </c>
      <c r="AH7" s="264"/>
      <c r="AI7" s="265"/>
      <c r="AJ7" s="268"/>
      <c r="AK7" s="268"/>
      <c r="AL7" s="268"/>
      <c r="AM7" s="268"/>
      <c r="AN7" s="269"/>
    </row>
    <row r="8" spans="1:40" x14ac:dyDescent="0.35">
      <c r="A8" s="372">
        <v>3</v>
      </c>
      <c r="B8" s="10" t="s">
        <v>244</v>
      </c>
      <c r="C8" s="313">
        <v>241513408</v>
      </c>
      <c r="D8" s="77">
        <v>48.601999999999997</v>
      </c>
      <c r="E8" s="11">
        <v>52.615000000000002</v>
      </c>
      <c r="F8" s="11">
        <v>56.61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9">
        <f>P8-D8</f>
        <v>-48.601999999999997</v>
      </c>
      <c r="U8" s="1">
        <v>3</v>
      </c>
      <c r="V8" s="146">
        <f t="shared" si="1"/>
        <v>4.0130000000000052</v>
      </c>
      <c r="W8" s="146">
        <f t="shared" si="1"/>
        <v>3.9949999999999974</v>
      </c>
      <c r="X8" s="146">
        <f t="shared" si="1"/>
        <v>-56.61</v>
      </c>
      <c r="Y8" s="146">
        <f t="shared" si="1"/>
        <v>0</v>
      </c>
      <c r="Z8" s="146">
        <f t="shared" si="1"/>
        <v>0</v>
      </c>
      <c r="AA8" s="146">
        <f t="shared" si="1"/>
        <v>0</v>
      </c>
      <c r="AB8" s="146">
        <f t="shared" si="1"/>
        <v>0</v>
      </c>
      <c r="AC8" s="146">
        <f t="shared" si="1"/>
        <v>0</v>
      </c>
      <c r="AD8" s="146">
        <f t="shared" si="1"/>
        <v>0</v>
      </c>
      <c r="AE8" s="146">
        <f t="shared" si="1"/>
        <v>0</v>
      </c>
      <c r="AF8" s="146">
        <f t="shared" si="1"/>
        <v>0</v>
      </c>
      <c r="AG8" s="146">
        <f t="shared" si="1"/>
        <v>0</v>
      </c>
      <c r="AH8" s="9"/>
      <c r="AI8" s="267">
        <v>3</v>
      </c>
      <c r="AJ8" s="268">
        <f>SUM(V8:AF8)</f>
        <v>-48.601999999999997</v>
      </c>
      <c r="AK8" s="268">
        <v>39.263999999999982</v>
      </c>
      <c r="AL8" s="268">
        <v>38.844999999999999</v>
      </c>
      <c r="AM8" s="268">
        <v>40.903000000000006</v>
      </c>
      <c r="AN8" s="269">
        <v>45.514999999999993</v>
      </c>
    </row>
    <row r="9" spans="1:40" x14ac:dyDescent="0.35">
      <c r="A9" s="372"/>
      <c r="B9" s="10" t="s">
        <v>245</v>
      </c>
      <c r="C9" s="313">
        <v>71182236</v>
      </c>
      <c r="D9" s="77">
        <v>82.227000000000004</v>
      </c>
      <c r="E9" s="11">
        <v>87.341999999999999</v>
      </c>
      <c r="F9" s="11">
        <v>90.894999999999996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>
        <f>P9-D9</f>
        <v>-82.227000000000004</v>
      </c>
      <c r="U9" s="156"/>
      <c r="V9" s="155">
        <f t="shared" si="1"/>
        <v>5.1149999999999949</v>
      </c>
      <c r="W9" s="155">
        <f t="shared" si="1"/>
        <v>3.5529999999999973</v>
      </c>
      <c r="X9" s="155">
        <f t="shared" si="1"/>
        <v>-90.894999999999996</v>
      </c>
      <c r="Y9" s="155">
        <f t="shared" si="1"/>
        <v>0</v>
      </c>
      <c r="Z9" s="155">
        <f t="shared" si="1"/>
        <v>0</v>
      </c>
      <c r="AA9" s="155">
        <f t="shared" si="1"/>
        <v>0</v>
      </c>
      <c r="AB9" s="155">
        <f t="shared" si="1"/>
        <v>0</v>
      </c>
      <c r="AC9" s="155">
        <f t="shared" si="1"/>
        <v>0</v>
      </c>
      <c r="AD9" s="155">
        <f t="shared" si="1"/>
        <v>0</v>
      </c>
      <c r="AE9" s="155">
        <f t="shared" si="1"/>
        <v>0</v>
      </c>
      <c r="AF9" s="155">
        <f t="shared" si="1"/>
        <v>0</v>
      </c>
      <c r="AG9" s="155">
        <f t="shared" si="1"/>
        <v>0</v>
      </c>
      <c r="AH9" s="264"/>
      <c r="AI9" s="267"/>
      <c r="AJ9" s="268"/>
      <c r="AK9" s="268"/>
      <c r="AL9" s="268"/>
      <c r="AM9" s="268"/>
      <c r="AN9" s="269"/>
    </row>
    <row r="10" spans="1:40" x14ac:dyDescent="0.35">
      <c r="A10" s="372">
        <v>4</v>
      </c>
      <c r="B10" s="10" t="s">
        <v>244</v>
      </c>
      <c r="C10" s="313">
        <v>241513380</v>
      </c>
      <c r="D10" s="77">
        <v>57.064</v>
      </c>
      <c r="E10" s="11">
        <v>61.956000000000003</v>
      </c>
      <c r="F10" s="11">
        <v>65.956999999999994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9">
        <f>P10-D10</f>
        <v>-57.064</v>
      </c>
      <c r="U10" s="1">
        <v>4</v>
      </c>
      <c r="V10" s="146">
        <f t="shared" si="1"/>
        <v>4.892000000000003</v>
      </c>
      <c r="W10" s="146">
        <f t="shared" si="1"/>
        <v>4.0009999999999906</v>
      </c>
      <c r="X10" s="146">
        <f t="shared" si="1"/>
        <v>-65.956999999999994</v>
      </c>
      <c r="Y10" s="146">
        <f t="shared" si="1"/>
        <v>0</v>
      </c>
      <c r="Z10" s="146">
        <f t="shared" si="1"/>
        <v>0</v>
      </c>
      <c r="AA10" s="146">
        <f t="shared" si="1"/>
        <v>0</v>
      </c>
      <c r="AB10" s="146">
        <f t="shared" si="1"/>
        <v>0</v>
      </c>
      <c r="AC10" s="146">
        <f t="shared" si="1"/>
        <v>0</v>
      </c>
      <c r="AD10" s="146">
        <f t="shared" si="1"/>
        <v>0</v>
      </c>
      <c r="AE10" s="146">
        <f t="shared" si="1"/>
        <v>0</v>
      </c>
      <c r="AF10" s="146">
        <f t="shared" si="1"/>
        <v>0</v>
      </c>
      <c r="AG10" s="146">
        <f t="shared" si="1"/>
        <v>0</v>
      </c>
      <c r="AH10" s="9"/>
      <c r="AI10" s="267">
        <v>4</v>
      </c>
      <c r="AJ10" s="268">
        <f>SUM(V10:AF10)</f>
        <v>-57.064</v>
      </c>
      <c r="AK10" s="268">
        <v>22.182999999999993</v>
      </c>
      <c r="AL10" s="268">
        <v>16.192</v>
      </c>
      <c r="AM10" s="268">
        <v>13.024999999999999</v>
      </c>
      <c r="AN10" s="269">
        <v>10.867000000000001</v>
      </c>
    </row>
    <row r="11" spans="1:40" x14ac:dyDescent="0.35">
      <c r="A11" s="372"/>
      <c r="B11" s="10" t="s">
        <v>245</v>
      </c>
      <c r="C11" s="313">
        <v>71182218</v>
      </c>
      <c r="D11" s="77">
        <v>11.997</v>
      </c>
      <c r="E11" s="11">
        <v>12.712999999999999</v>
      </c>
      <c r="F11" s="11">
        <v>13.103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>
        <f>P11-D11</f>
        <v>-11.997</v>
      </c>
      <c r="U11" s="1"/>
      <c r="V11" s="155">
        <f t="shared" si="1"/>
        <v>0.7159999999999993</v>
      </c>
      <c r="W11" s="155">
        <f t="shared" si="1"/>
        <v>0.39000000000000057</v>
      </c>
      <c r="X11" s="155">
        <f t="shared" si="1"/>
        <v>-13.103</v>
      </c>
      <c r="Y11" s="155">
        <f t="shared" si="1"/>
        <v>0</v>
      </c>
      <c r="Z11" s="155">
        <f t="shared" si="1"/>
        <v>0</v>
      </c>
      <c r="AA11" s="155">
        <f t="shared" si="1"/>
        <v>0</v>
      </c>
      <c r="AB11" s="155">
        <f t="shared" si="1"/>
        <v>0</v>
      </c>
      <c r="AC11" s="155">
        <f t="shared" si="1"/>
        <v>0</v>
      </c>
      <c r="AD11" s="155">
        <f t="shared" si="1"/>
        <v>0</v>
      </c>
      <c r="AE11" s="155">
        <f t="shared" si="1"/>
        <v>0</v>
      </c>
      <c r="AF11" s="155">
        <f t="shared" si="1"/>
        <v>0</v>
      </c>
      <c r="AG11" s="155">
        <f t="shared" si="1"/>
        <v>0</v>
      </c>
      <c r="AH11" s="264"/>
      <c r="AI11" s="265"/>
      <c r="AJ11" s="268"/>
      <c r="AK11" s="268"/>
      <c r="AL11" s="268"/>
      <c r="AM11" s="268"/>
      <c r="AN11" s="269"/>
    </row>
    <row r="12" spans="1:40" x14ac:dyDescent="0.35">
      <c r="A12" s="372">
        <v>5</v>
      </c>
      <c r="B12" s="10" t="s">
        <v>244</v>
      </c>
      <c r="C12" s="313">
        <v>241513406</v>
      </c>
      <c r="D12" s="77">
        <v>69.183000000000007</v>
      </c>
      <c r="E12" s="11">
        <v>75.947000000000003</v>
      </c>
      <c r="F12" s="11">
        <v>80.706999999999994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>
        <f>P12-D12</f>
        <v>-69.183000000000007</v>
      </c>
      <c r="U12" s="1">
        <v>5</v>
      </c>
      <c r="V12" s="146">
        <f t="shared" si="1"/>
        <v>6.7639999999999958</v>
      </c>
      <c r="W12" s="146">
        <f t="shared" si="1"/>
        <v>4.7599999999999909</v>
      </c>
      <c r="X12" s="146">
        <f t="shared" si="1"/>
        <v>-80.706999999999994</v>
      </c>
      <c r="Y12" s="146">
        <f t="shared" si="1"/>
        <v>0</v>
      </c>
      <c r="Z12" s="146">
        <f t="shared" si="1"/>
        <v>0</v>
      </c>
      <c r="AA12" s="146">
        <f t="shared" si="1"/>
        <v>0</v>
      </c>
      <c r="AB12" s="146">
        <f t="shared" si="1"/>
        <v>0</v>
      </c>
      <c r="AC12" s="146">
        <f t="shared" si="1"/>
        <v>0</v>
      </c>
      <c r="AD12" s="146">
        <f t="shared" si="1"/>
        <v>0</v>
      </c>
      <c r="AE12" s="146">
        <f t="shared" si="1"/>
        <v>0</v>
      </c>
      <c r="AF12" s="146">
        <f t="shared" si="1"/>
        <v>0</v>
      </c>
      <c r="AG12" s="146">
        <f t="shared" si="1"/>
        <v>0</v>
      </c>
      <c r="AH12" s="9"/>
      <c r="AI12" s="267">
        <v>5</v>
      </c>
      <c r="AJ12" s="268">
        <f>SUM(V12:AF12)</f>
        <v>-69.183000000000007</v>
      </c>
      <c r="AK12" s="268">
        <v>55.890000000000043</v>
      </c>
      <c r="AL12" s="268">
        <v>51.191000000000003</v>
      </c>
      <c r="AM12" s="268">
        <v>59.693999999999988</v>
      </c>
      <c r="AN12" s="269">
        <v>66.632999999999996</v>
      </c>
    </row>
    <row r="13" spans="1:40" x14ac:dyDescent="0.35">
      <c r="A13" s="372"/>
      <c r="B13" s="10" t="s">
        <v>245</v>
      </c>
      <c r="C13" s="313">
        <v>71182273</v>
      </c>
      <c r="D13" s="77">
        <v>71.989000000000004</v>
      </c>
      <c r="E13" s="11">
        <v>76.492000000000004</v>
      </c>
      <c r="F13" s="11">
        <v>79.257999999999996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>
        <f>P13-D13</f>
        <v>-71.989000000000004</v>
      </c>
      <c r="U13" s="1"/>
      <c r="V13" s="155">
        <f t="shared" si="1"/>
        <v>4.5030000000000001</v>
      </c>
      <c r="W13" s="155">
        <f t="shared" si="1"/>
        <v>2.7659999999999911</v>
      </c>
      <c r="X13" s="155">
        <f t="shared" si="1"/>
        <v>-79.257999999999996</v>
      </c>
      <c r="Y13" s="155">
        <f t="shared" si="1"/>
        <v>0</v>
      </c>
      <c r="Z13" s="155">
        <f t="shared" si="1"/>
        <v>0</v>
      </c>
      <c r="AA13" s="155">
        <f t="shared" si="1"/>
        <v>0</v>
      </c>
      <c r="AB13" s="155">
        <f t="shared" si="1"/>
        <v>0</v>
      </c>
      <c r="AC13" s="155">
        <f t="shared" si="1"/>
        <v>0</v>
      </c>
      <c r="AD13" s="155">
        <f t="shared" si="1"/>
        <v>0</v>
      </c>
      <c r="AE13" s="155">
        <f t="shared" si="1"/>
        <v>0</v>
      </c>
      <c r="AF13" s="155">
        <f t="shared" si="1"/>
        <v>0</v>
      </c>
      <c r="AG13" s="155">
        <f t="shared" si="1"/>
        <v>0</v>
      </c>
      <c r="AH13" s="264"/>
      <c r="AI13" s="267"/>
      <c r="AJ13" s="268"/>
      <c r="AK13" s="268"/>
      <c r="AL13" s="268"/>
      <c r="AM13" s="268"/>
      <c r="AN13" s="269"/>
    </row>
    <row r="14" spans="1:40" x14ac:dyDescent="0.35">
      <c r="A14" s="372">
        <v>6</v>
      </c>
      <c r="B14" s="10" t="s">
        <v>244</v>
      </c>
      <c r="C14" s="313">
        <v>241513382</v>
      </c>
      <c r="D14" s="77">
        <v>71.203000000000003</v>
      </c>
      <c r="E14" s="11">
        <v>76.83</v>
      </c>
      <c r="F14" s="11">
        <v>81.825000000000003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>
        <f>P14-D14</f>
        <v>-71.203000000000003</v>
      </c>
      <c r="U14" s="1">
        <v>6</v>
      </c>
      <c r="V14" s="146">
        <f t="shared" si="1"/>
        <v>5.6269999999999953</v>
      </c>
      <c r="W14" s="146">
        <f t="shared" si="1"/>
        <v>4.9950000000000045</v>
      </c>
      <c r="X14" s="146">
        <f t="shared" si="1"/>
        <v>-81.825000000000003</v>
      </c>
      <c r="Y14" s="146">
        <f t="shared" si="1"/>
        <v>0</v>
      </c>
      <c r="Z14" s="146">
        <f t="shared" si="1"/>
        <v>0</v>
      </c>
      <c r="AA14" s="146">
        <f t="shared" si="1"/>
        <v>0</v>
      </c>
      <c r="AB14" s="146">
        <f t="shared" si="1"/>
        <v>0</v>
      </c>
      <c r="AC14" s="146">
        <f t="shared" si="1"/>
        <v>0</v>
      </c>
      <c r="AD14" s="146">
        <f t="shared" si="1"/>
        <v>0</v>
      </c>
      <c r="AE14" s="146">
        <f t="shared" si="1"/>
        <v>0</v>
      </c>
      <c r="AF14" s="146">
        <f t="shared" si="1"/>
        <v>0</v>
      </c>
      <c r="AG14" s="146">
        <f t="shared" si="1"/>
        <v>0</v>
      </c>
      <c r="AH14" s="9"/>
      <c r="AI14" s="267">
        <v>6</v>
      </c>
      <c r="AJ14" s="268">
        <f>SUM(V14:AF14)</f>
        <v>-71.203000000000003</v>
      </c>
      <c r="AK14" s="268">
        <v>52.509999999999991</v>
      </c>
      <c r="AL14" s="268">
        <v>43.543000000000006</v>
      </c>
      <c r="AM14" s="268">
        <v>37.146999999999991</v>
      </c>
      <c r="AN14" s="269">
        <v>30.63600000000001</v>
      </c>
    </row>
    <row r="15" spans="1:40" x14ac:dyDescent="0.35">
      <c r="A15" s="372"/>
      <c r="B15" s="10" t="s">
        <v>245</v>
      </c>
      <c r="C15" s="313">
        <v>71182215</v>
      </c>
      <c r="D15" s="77">
        <v>123.199</v>
      </c>
      <c r="E15" s="11">
        <v>129.636</v>
      </c>
      <c r="F15" s="11">
        <v>134.16499999999999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9"/>
      <c r="R15" s="9">
        <f>P15-D15</f>
        <v>-123.199</v>
      </c>
      <c r="U15" s="1"/>
      <c r="V15" s="155">
        <f t="shared" si="1"/>
        <v>6.4369999999999976</v>
      </c>
      <c r="W15" s="155">
        <f t="shared" si="1"/>
        <v>4.5289999999999964</v>
      </c>
      <c r="X15" s="155">
        <f t="shared" si="1"/>
        <v>-134.16499999999999</v>
      </c>
      <c r="Y15" s="155">
        <f t="shared" si="1"/>
        <v>0</v>
      </c>
      <c r="Z15" s="155">
        <f t="shared" si="1"/>
        <v>0</v>
      </c>
      <c r="AA15" s="155">
        <f t="shared" si="1"/>
        <v>0</v>
      </c>
      <c r="AB15" s="155">
        <f t="shared" si="1"/>
        <v>0</v>
      </c>
      <c r="AC15" s="155">
        <f t="shared" si="1"/>
        <v>0</v>
      </c>
      <c r="AD15" s="155">
        <f t="shared" si="1"/>
        <v>0</v>
      </c>
      <c r="AE15" s="155">
        <f t="shared" si="1"/>
        <v>0</v>
      </c>
      <c r="AF15" s="155">
        <f t="shared" si="1"/>
        <v>0</v>
      </c>
      <c r="AG15" s="155">
        <f t="shared" si="1"/>
        <v>0</v>
      </c>
      <c r="AH15" s="264"/>
      <c r="AI15" s="265"/>
      <c r="AJ15" s="268"/>
      <c r="AK15" s="268"/>
      <c r="AL15" s="268"/>
      <c r="AM15" s="268"/>
      <c r="AN15" s="269"/>
    </row>
    <row r="16" spans="1:40" x14ac:dyDescent="0.35">
      <c r="A16" s="372">
        <v>7</v>
      </c>
      <c r="B16" s="10" t="s">
        <v>244</v>
      </c>
      <c r="C16" s="313">
        <v>241513386</v>
      </c>
      <c r="D16" s="77">
        <v>88.68</v>
      </c>
      <c r="E16" s="11">
        <v>97.156000000000006</v>
      </c>
      <c r="F16" s="11">
        <v>102.6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>
        <f>P16-D16</f>
        <v>-88.68</v>
      </c>
      <c r="U16" s="1">
        <v>7</v>
      </c>
      <c r="V16" s="146">
        <f t="shared" si="1"/>
        <v>8.4759999999999991</v>
      </c>
      <c r="W16" s="146">
        <f t="shared" si="1"/>
        <v>5.4439999999999884</v>
      </c>
      <c r="X16" s="146">
        <f t="shared" si="1"/>
        <v>-102.6</v>
      </c>
      <c r="Y16" s="146">
        <f t="shared" si="1"/>
        <v>0</v>
      </c>
      <c r="Z16" s="146">
        <f t="shared" si="1"/>
        <v>0</v>
      </c>
      <c r="AA16" s="146">
        <f t="shared" si="1"/>
        <v>0</v>
      </c>
      <c r="AB16" s="146">
        <f t="shared" si="1"/>
        <v>0</v>
      </c>
      <c r="AC16" s="146">
        <f t="shared" si="1"/>
        <v>0</v>
      </c>
      <c r="AD16" s="146">
        <f t="shared" si="1"/>
        <v>0</v>
      </c>
      <c r="AE16" s="146">
        <f t="shared" si="1"/>
        <v>0</v>
      </c>
      <c r="AF16" s="146">
        <f t="shared" si="1"/>
        <v>0</v>
      </c>
      <c r="AG16" s="146">
        <f t="shared" si="1"/>
        <v>0</v>
      </c>
      <c r="AH16" s="9"/>
      <c r="AI16" s="267">
        <v>7</v>
      </c>
      <c r="AJ16" s="268">
        <f>SUM(V16:AF16)</f>
        <v>-88.68</v>
      </c>
      <c r="AK16" s="268">
        <v>41.961000000000013</v>
      </c>
      <c r="AL16" s="268">
        <v>51.850999999999999</v>
      </c>
      <c r="AM16" s="268">
        <v>14.010000000000005</v>
      </c>
      <c r="AN16" s="269">
        <v>21.308999999999997</v>
      </c>
    </row>
    <row r="17" spans="1:40" x14ac:dyDescent="0.35">
      <c r="A17" s="372"/>
      <c r="B17" s="10" t="s">
        <v>245</v>
      </c>
      <c r="C17" s="313">
        <v>71182220</v>
      </c>
      <c r="D17" s="77">
        <v>26.045000000000002</v>
      </c>
      <c r="E17" s="11">
        <v>28.556000000000001</v>
      </c>
      <c r="F17" s="11">
        <v>30.314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9"/>
      <c r="R17" s="9">
        <f>P17-D17</f>
        <v>-26.045000000000002</v>
      </c>
      <c r="U17" s="1"/>
      <c r="V17" s="155">
        <f t="shared" si="1"/>
        <v>2.5109999999999992</v>
      </c>
      <c r="W17" s="155">
        <f t="shared" si="1"/>
        <v>1.7579999999999991</v>
      </c>
      <c r="X17" s="155">
        <f t="shared" si="1"/>
        <v>-30.314</v>
      </c>
      <c r="Y17" s="155">
        <f t="shared" si="1"/>
        <v>0</v>
      </c>
      <c r="Z17" s="155">
        <f t="shared" si="1"/>
        <v>0</v>
      </c>
      <c r="AA17" s="155">
        <f t="shared" si="1"/>
        <v>0</v>
      </c>
      <c r="AB17" s="155">
        <f t="shared" si="1"/>
        <v>0</v>
      </c>
      <c r="AC17" s="155">
        <f t="shared" si="1"/>
        <v>0</v>
      </c>
      <c r="AD17" s="155">
        <f t="shared" si="1"/>
        <v>0</v>
      </c>
      <c r="AE17" s="155">
        <f t="shared" si="1"/>
        <v>0</v>
      </c>
      <c r="AF17" s="155">
        <f t="shared" si="1"/>
        <v>0</v>
      </c>
      <c r="AG17" s="155">
        <f t="shared" si="1"/>
        <v>0</v>
      </c>
      <c r="AH17" s="264"/>
      <c r="AI17" s="267"/>
      <c r="AJ17" s="268"/>
      <c r="AK17" s="268"/>
      <c r="AL17" s="268"/>
      <c r="AM17" s="268"/>
      <c r="AN17" s="269"/>
    </row>
    <row r="18" spans="1:40" x14ac:dyDescent="0.35">
      <c r="A18" s="372">
        <v>8</v>
      </c>
      <c r="B18" s="10" t="s">
        <v>244</v>
      </c>
      <c r="C18" s="313">
        <v>241513387</v>
      </c>
      <c r="D18" s="77">
        <v>45.595999999999997</v>
      </c>
      <c r="E18" s="11">
        <v>49.415999999999997</v>
      </c>
      <c r="F18" s="11">
        <v>52.74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9">
        <f>P18-D18</f>
        <v>-45.595999999999997</v>
      </c>
      <c r="U18" s="1">
        <v>8</v>
      </c>
      <c r="V18" s="146">
        <f t="shared" si="1"/>
        <v>3.8200000000000003</v>
      </c>
      <c r="W18" s="146">
        <f t="shared" si="1"/>
        <v>3.3240000000000052</v>
      </c>
      <c r="X18" s="146">
        <f t="shared" si="1"/>
        <v>-52.74</v>
      </c>
      <c r="Y18" s="146">
        <f t="shared" si="1"/>
        <v>0</v>
      </c>
      <c r="Z18" s="146">
        <f t="shared" si="1"/>
        <v>0</v>
      </c>
      <c r="AA18" s="146">
        <f t="shared" si="1"/>
        <v>0</v>
      </c>
      <c r="AB18" s="146">
        <f t="shared" si="1"/>
        <v>0</v>
      </c>
      <c r="AC18" s="146">
        <f t="shared" si="1"/>
        <v>0</v>
      </c>
      <c r="AD18" s="146">
        <f t="shared" si="1"/>
        <v>0</v>
      </c>
      <c r="AE18" s="146">
        <f t="shared" si="1"/>
        <v>0</v>
      </c>
      <c r="AF18" s="146">
        <f t="shared" si="1"/>
        <v>0</v>
      </c>
      <c r="AG18" s="146">
        <f t="shared" si="1"/>
        <v>0</v>
      </c>
      <c r="AH18" s="9"/>
      <c r="AI18" s="267">
        <v>8</v>
      </c>
      <c r="AJ18" s="268">
        <f>SUM(V18:AF18)</f>
        <v>-45.595999999999997</v>
      </c>
      <c r="AK18" s="268">
        <v>34.699999999999989</v>
      </c>
      <c r="AL18" s="268">
        <v>29.063999999999993</v>
      </c>
      <c r="AM18" s="268">
        <v>24.359000000000002</v>
      </c>
      <c r="AN18" s="269">
        <v>19.303000000000001</v>
      </c>
    </row>
    <row r="19" spans="1:40" x14ac:dyDescent="0.35">
      <c r="A19" s="372"/>
      <c r="B19" s="10" t="s">
        <v>245</v>
      </c>
      <c r="C19" s="313">
        <v>71182264</v>
      </c>
      <c r="D19" s="77">
        <v>52.284999999999997</v>
      </c>
      <c r="E19" s="11">
        <v>55.868000000000002</v>
      </c>
      <c r="F19" s="11">
        <v>57.365000000000002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9"/>
      <c r="R19" s="9">
        <f>P19-D19</f>
        <v>-52.284999999999997</v>
      </c>
      <c r="U19" s="1"/>
      <c r="V19" s="155">
        <f t="shared" si="1"/>
        <v>3.5830000000000055</v>
      </c>
      <c r="W19" s="155">
        <f t="shared" si="1"/>
        <v>1.4969999999999999</v>
      </c>
      <c r="X19" s="155">
        <f t="shared" si="1"/>
        <v>-57.365000000000002</v>
      </c>
      <c r="Y19" s="155">
        <f t="shared" si="1"/>
        <v>0</v>
      </c>
      <c r="Z19" s="155">
        <f t="shared" si="1"/>
        <v>0</v>
      </c>
      <c r="AA19" s="155">
        <f t="shared" si="1"/>
        <v>0</v>
      </c>
      <c r="AB19" s="155">
        <f t="shared" si="1"/>
        <v>0</v>
      </c>
      <c r="AC19" s="155">
        <f t="shared" si="1"/>
        <v>0</v>
      </c>
      <c r="AD19" s="155">
        <f t="shared" si="1"/>
        <v>0</v>
      </c>
      <c r="AE19" s="155">
        <f t="shared" si="1"/>
        <v>0</v>
      </c>
      <c r="AF19" s="155">
        <f t="shared" si="1"/>
        <v>0</v>
      </c>
      <c r="AG19" s="155">
        <f t="shared" si="1"/>
        <v>0</v>
      </c>
      <c r="AH19" s="264"/>
      <c r="AI19" s="265"/>
      <c r="AJ19" s="268"/>
      <c r="AK19" s="268"/>
      <c r="AL19" s="268"/>
      <c r="AM19" s="268"/>
      <c r="AN19" s="269"/>
    </row>
    <row r="20" spans="1:40" x14ac:dyDescent="0.35">
      <c r="A20" s="372">
        <v>9</v>
      </c>
      <c r="B20" s="10" t="s">
        <v>244</v>
      </c>
      <c r="C20" s="313">
        <v>241513383</v>
      </c>
      <c r="D20" s="77">
        <v>84.087000000000003</v>
      </c>
      <c r="E20" s="11">
        <v>90.456000000000003</v>
      </c>
      <c r="F20" s="11">
        <v>93.02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>
        <f>P20-D20</f>
        <v>-84.087000000000003</v>
      </c>
      <c r="U20" s="1">
        <v>9</v>
      </c>
      <c r="V20" s="146">
        <f t="shared" si="1"/>
        <v>6.3689999999999998</v>
      </c>
      <c r="W20" s="146">
        <f t="shared" si="1"/>
        <v>2.563999999999993</v>
      </c>
      <c r="X20" s="146">
        <f t="shared" si="1"/>
        <v>-93.02</v>
      </c>
      <c r="Y20" s="146">
        <f t="shared" si="1"/>
        <v>0</v>
      </c>
      <c r="Z20" s="146">
        <f t="shared" si="1"/>
        <v>0</v>
      </c>
      <c r="AA20" s="146">
        <f t="shared" si="1"/>
        <v>0</v>
      </c>
      <c r="AB20" s="146">
        <f t="shared" si="1"/>
        <v>0</v>
      </c>
      <c r="AC20" s="146">
        <f t="shared" si="1"/>
        <v>0</v>
      </c>
      <c r="AD20" s="146">
        <f t="shared" si="1"/>
        <v>0</v>
      </c>
      <c r="AE20" s="146">
        <f t="shared" si="1"/>
        <v>0</v>
      </c>
      <c r="AF20" s="146">
        <f t="shared" si="1"/>
        <v>0</v>
      </c>
      <c r="AG20" s="146">
        <f t="shared" si="1"/>
        <v>0</v>
      </c>
      <c r="AH20" s="9"/>
      <c r="AI20" s="267">
        <v>9</v>
      </c>
      <c r="AJ20" s="268">
        <f>SUM(V20:AF20)</f>
        <v>-84.087000000000003</v>
      </c>
      <c r="AK20" s="268">
        <v>71.37700000000001</v>
      </c>
      <c r="AL20" s="268">
        <v>71.521999999999991</v>
      </c>
      <c r="AM20" s="268">
        <v>69.056999999999988</v>
      </c>
      <c r="AN20" s="269">
        <v>78.231999999999999</v>
      </c>
    </row>
    <row r="21" spans="1:40" x14ac:dyDescent="0.35">
      <c r="A21" s="372"/>
      <c r="B21" s="10" t="s">
        <v>245</v>
      </c>
      <c r="C21" s="313">
        <v>71182231</v>
      </c>
      <c r="D21" s="77">
        <v>84.504000000000005</v>
      </c>
      <c r="E21" s="11">
        <v>88.888000000000005</v>
      </c>
      <c r="F21" s="11">
        <v>90.831000000000003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>
        <f>P21-D21</f>
        <v>-84.504000000000005</v>
      </c>
      <c r="U21" s="1"/>
      <c r="V21" s="155">
        <f t="shared" si="1"/>
        <v>4.3840000000000003</v>
      </c>
      <c r="W21" s="155">
        <f t="shared" si="1"/>
        <v>1.9429999999999978</v>
      </c>
      <c r="X21" s="155">
        <f t="shared" si="1"/>
        <v>-90.831000000000003</v>
      </c>
      <c r="Y21" s="155">
        <f t="shared" si="1"/>
        <v>0</v>
      </c>
      <c r="Z21" s="155">
        <f t="shared" si="1"/>
        <v>0</v>
      </c>
      <c r="AA21" s="155">
        <f t="shared" si="1"/>
        <v>0</v>
      </c>
      <c r="AB21" s="155">
        <f t="shared" si="1"/>
        <v>0</v>
      </c>
      <c r="AC21" s="155">
        <f t="shared" si="1"/>
        <v>0</v>
      </c>
      <c r="AD21" s="155">
        <f t="shared" si="1"/>
        <v>0</v>
      </c>
      <c r="AE21" s="155">
        <f t="shared" si="1"/>
        <v>0</v>
      </c>
      <c r="AF21" s="155">
        <f t="shared" si="1"/>
        <v>0</v>
      </c>
      <c r="AG21" s="155">
        <f t="shared" si="1"/>
        <v>0</v>
      </c>
      <c r="AH21" s="264"/>
      <c r="AI21" s="267"/>
      <c r="AJ21" s="268"/>
      <c r="AK21" s="268"/>
      <c r="AL21" s="268"/>
      <c r="AM21" s="268"/>
      <c r="AN21" s="269"/>
    </row>
    <row r="22" spans="1:40" x14ac:dyDescent="0.35">
      <c r="A22" s="372">
        <v>10</v>
      </c>
      <c r="B22" s="10" t="s">
        <v>244</v>
      </c>
      <c r="C22" s="313">
        <v>241513399</v>
      </c>
      <c r="D22" s="77">
        <v>102.35299999999999</v>
      </c>
      <c r="E22" s="11">
        <v>111.756</v>
      </c>
      <c r="F22" s="11">
        <v>118.73099999999999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9">
        <f>P22-D22</f>
        <v>-102.35299999999999</v>
      </c>
      <c r="U22" s="1">
        <v>10</v>
      </c>
      <c r="V22" s="146">
        <f t="shared" ref="V22:AG23" si="3">E22-D22</f>
        <v>9.4030000000000058</v>
      </c>
      <c r="W22" s="146">
        <f t="shared" si="3"/>
        <v>6.9749999999999943</v>
      </c>
      <c r="X22" s="146">
        <f t="shared" si="3"/>
        <v>-118.73099999999999</v>
      </c>
      <c r="Y22" s="146">
        <f t="shared" si="3"/>
        <v>0</v>
      </c>
      <c r="Z22" s="146">
        <f t="shared" si="3"/>
        <v>0</v>
      </c>
      <c r="AA22" s="146">
        <f t="shared" si="3"/>
        <v>0</v>
      </c>
      <c r="AB22" s="146">
        <f t="shared" si="3"/>
        <v>0</v>
      </c>
      <c r="AC22" s="146">
        <f t="shared" si="3"/>
        <v>0</v>
      </c>
      <c r="AD22" s="146">
        <f t="shared" si="3"/>
        <v>0</v>
      </c>
      <c r="AE22" s="146">
        <f t="shared" si="3"/>
        <v>0</v>
      </c>
      <c r="AF22" s="146">
        <f t="shared" si="3"/>
        <v>0</v>
      </c>
      <c r="AG22" s="146">
        <f t="shared" si="3"/>
        <v>0</v>
      </c>
      <c r="AH22" s="9"/>
      <c r="AI22" s="270">
        <v>10</v>
      </c>
      <c r="AJ22" s="271">
        <f>SUM(V22:AF22)</f>
        <v>-102.35299999999999</v>
      </c>
      <c r="AK22" s="271">
        <v>79.075000000000045</v>
      </c>
      <c r="AL22" s="271">
        <v>94.421000000000049</v>
      </c>
      <c r="AM22" s="271">
        <v>141.68200000000002</v>
      </c>
      <c r="AN22" s="272">
        <v>199.08799999999997</v>
      </c>
    </row>
    <row r="23" spans="1:40" x14ac:dyDescent="0.35">
      <c r="A23" s="372"/>
      <c r="B23" s="10" t="s">
        <v>245</v>
      </c>
      <c r="C23" s="313">
        <v>71182227</v>
      </c>
      <c r="D23" s="77">
        <v>67.725999999999999</v>
      </c>
      <c r="E23" s="11">
        <v>71.923000000000002</v>
      </c>
      <c r="F23" s="11">
        <v>74.411000000000001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97">
        <f>P23-D23</f>
        <v>-67.725999999999999</v>
      </c>
      <c r="V23" s="155">
        <f t="shared" si="3"/>
        <v>4.1970000000000027</v>
      </c>
      <c r="W23" s="155">
        <f t="shared" si="3"/>
        <v>2.4879999999999995</v>
      </c>
      <c r="X23" s="155">
        <f t="shared" si="3"/>
        <v>-74.411000000000001</v>
      </c>
      <c r="Y23" s="155">
        <f t="shared" si="3"/>
        <v>0</v>
      </c>
      <c r="Z23" s="155">
        <f t="shared" si="3"/>
        <v>0</v>
      </c>
      <c r="AA23" s="155">
        <f t="shared" si="3"/>
        <v>0</v>
      </c>
      <c r="AB23" s="155">
        <f t="shared" si="3"/>
        <v>0</v>
      </c>
      <c r="AC23" s="155">
        <f t="shared" si="3"/>
        <v>0</v>
      </c>
      <c r="AD23" s="155">
        <f t="shared" si="3"/>
        <v>0</v>
      </c>
      <c r="AE23" s="155">
        <f t="shared" si="3"/>
        <v>0</v>
      </c>
      <c r="AF23" s="155">
        <f t="shared" si="3"/>
        <v>0</v>
      </c>
      <c r="AG23" s="155">
        <f t="shared" si="3"/>
        <v>0</v>
      </c>
      <c r="AH23" s="264"/>
      <c r="AI23" s="265"/>
      <c r="AJ23" s="265"/>
      <c r="AK23" s="265"/>
      <c r="AL23" s="265"/>
      <c r="AM23" s="265"/>
      <c r="AN23" s="267"/>
    </row>
    <row r="24" spans="1:40" x14ac:dyDescent="0.35">
      <c r="A24" s="113"/>
      <c r="B24" s="10"/>
      <c r="C24" s="313"/>
      <c r="D24" s="78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-917.59800000000007</v>
      </c>
      <c r="R24" s="9">
        <f>SUM(R4:R23)</f>
        <v>-814.68799999999987</v>
      </c>
      <c r="AI24" s="273" t="s">
        <v>163</v>
      </c>
      <c r="AJ24" s="269">
        <f>SUM(AJ4:AJ22)</f>
        <v>-917.59800000000007</v>
      </c>
      <c r="AK24" s="276">
        <f>SUM(AK4:AK22)+2.6</f>
        <v>676.42600000000004</v>
      </c>
      <c r="AL24" s="269">
        <f>SUM(AL4:AL22)</f>
        <v>675.10899999999992</v>
      </c>
      <c r="AM24" s="269">
        <f>SUM(AM4:AM22)</f>
        <v>703.90399999999988</v>
      </c>
      <c r="AN24" s="269">
        <f>SUM(AN4:AN22)</f>
        <v>832.72299999999984</v>
      </c>
    </row>
    <row r="25" spans="1:40" x14ac:dyDescent="0.35">
      <c r="A25" s="113" t="s">
        <v>15</v>
      </c>
      <c r="B25" s="10" t="s">
        <v>254</v>
      </c>
      <c r="C25" s="313">
        <v>72846558</v>
      </c>
      <c r="D25" s="78">
        <v>6197</v>
      </c>
      <c r="E25" s="15">
        <v>6586</v>
      </c>
      <c r="F25" s="15">
        <v>6847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>
        <f>P25-D25</f>
        <v>-6197</v>
      </c>
      <c r="AI25" s="273"/>
      <c r="AJ25" s="267"/>
      <c r="AK25" s="267"/>
      <c r="AL25" s="267"/>
      <c r="AM25" s="267"/>
      <c r="AN25" s="267"/>
    </row>
    <row r="26" spans="1:40" ht="15" thickBot="1" x14ac:dyDescent="0.4">
      <c r="A26" s="113"/>
      <c r="B26" s="282" t="s">
        <v>267</v>
      </c>
      <c r="C26" s="317">
        <v>241175209</v>
      </c>
      <c r="D26" s="79">
        <v>973.3</v>
      </c>
      <c r="E26" s="18">
        <v>1059.9000000000001</v>
      </c>
      <c r="F26" s="18">
        <v>1132.0999999999999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9">
        <f>P26-D26</f>
        <v>-973.3</v>
      </c>
      <c r="AI26" s="273" t="s">
        <v>224</v>
      </c>
      <c r="AJ26" s="269">
        <f>O26-D26</f>
        <v>-973.3</v>
      </c>
      <c r="AK26" s="269">
        <v>785.19999999999982</v>
      </c>
      <c r="AL26" s="267">
        <v>771.60000000000036</v>
      </c>
      <c r="AM26" s="267">
        <v>795</v>
      </c>
      <c r="AN26" s="267">
        <v>949.39999999999986</v>
      </c>
    </row>
    <row r="27" spans="1:40" x14ac:dyDescent="0.35">
      <c r="A27" s="119"/>
      <c r="B27" s="205" t="s">
        <v>268</v>
      </c>
      <c r="C27" s="313">
        <v>70465264</v>
      </c>
      <c r="D27" s="80">
        <v>1197.4000000000001</v>
      </c>
      <c r="E27" s="19">
        <v>1249.07</v>
      </c>
      <c r="F27" s="19">
        <v>1280.75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/>
      <c r="R27" s="9">
        <f>P27-D27</f>
        <v>-1197.4000000000001</v>
      </c>
      <c r="S27" t="s">
        <v>78</v>
      </c>
      <c r="AI27" s="265"/>
      <c r="AJ27" s="265"/>
      <c r="AK27" s="265"/>
      <c r="AL27" s="265"/>
      <c r="AM27" s="265"/>
      <c r="AN27" s="267"/>
    </row>
    <row r="28" spans="1:40" ht="15" thickBot="1" x14ac:dyDescent="0.4">
      <c r="A28" s="4"/>
      <c r="B28" s="26" t="s">
        <v>16</v>
      </c>
      <c r="C28" s="318"/>
      <c r="D28" s="81">
        <v>8361</v>
      </c>
      <c r="E28" s="21">
        <v>8784</v>
      </c>
      <c r="F28" s="21">
        <v>9002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9"/>
      <c r="R28" s="16">
        <f>P28-D28</f>
        <v>-8361</v>
      </c>
      <c r="S28" t="s">
        <v>79</v>
      </c>
      <c r="AI28" s="265"/>
      <c r="AJ28" s="265"/>
      <c r="AK28" s="265"/>
      <c r="AL28" s="265"/>
      <c r="AM28" s="265"/>
      <c r="AN28" s="267"/>
    </row>
    <row r="29" spans="1:40" ht="15" thickBot="1" x14ac:dyDescent="0.4">
      <c r="A29" s="121" t="str">
        <f>'1854'!A29</f>
        <v xml:space="preserve">Fakturační vodoměr:      </v>
      </c>
      <c r="B29" s="22"/>
      <c r="C29" s="310">
        <f>'1854'!C29</f>
        <v>42012114941</v>
      </c>
      <c r="D29" s="23">
        <f>'1854'!D29</f>
        <v>211</v>
      </c>
      <c r="E29" s="23">
        <f>'1854'!E29</f>
        <v>537.6</v>
      </c>
      <c r="F29" s="23">
        <f>'1854'!F29</f>
        <v>814.4</v>
      </c>
      <c r="G29" s="23">
        <f>'1854'!G29</f>
        <v>0</v>
      </c>
      <c r="H29" s="23">
        <f>'1854'!H29</f>
        <v>0</v>
      </c>
      <c r="I29" s="23">
        <f>'1854'!I29</f>
        <v>0</v>
      </c>
      <c r="J29" s="23">
        <f>'1854'!J29</f>
        <v>0</v>
      </c>
      <c r="K29" s="23">
        <f>'1854'!K29</f>
        <v>0</v>
      </c>
      <c r="L29" s="23">
        <f>'1854'!L29</f>
        <v>0</v>
      </c>
      <c r="M29" s="23">
        <f>'1854'!M29</f>
        <v>0</v>
      </c>
      <c r="N29" s="23">
        <f>'1854'!N29</f>
        <v>0</v>
      </c>
      <c r="O29" s="23">
        <f>'1854'!O29</f>
        <v>0</v>
      </c>
      <c r="P29" s="23">
        <f>'1854'!P29</f>
        <v>0</v>
      </c>
      <c r="Q29" s="9">
        <f>'1854'!Q29</f>
        <v>-211</v>
      </c>
      <c r="X29" s="104" t="s">
        <v>226</v>
      </c>
      <c r="Y29" s="277">
        <v>2.6</v>
      </c>
      <c r="Z29" t="s">
        <v>79</v>
      </c>
      <c r="AI29" s="265"/>
      <c r="AJ29" s="274">
        <f>1-AJ24/AJ26</f>
        <v>5.7230042124730152E-2</v>
      </c>
      <c r="AK29" s="274">
        <f>1-AK24/AK26</f>
        <v>0.13853031074885358</v>
      </c>
      <c r="AL29" s="274">
        <f>1-AL24/AL26</f>
        <v>0.12505313634007309</v>
      </c>
      <c r="AM29" s="274">
        <f>1-AM24/AM26</f>
        <v>0.11458616352201267</v>
      </c>
      <c r="AN29" s="274">
        <f>1-AN24/AN26</f>
        <v>0.1228955129555509</v>
      </c>
    </row>
    <row r="32" spans="1:40" x14ac:dyDescent="0.35">
      <c r="E32" t="s">
        <v>126</v>
      </c>
      <c r="H32" s="172" t="s">
        <v>127</v>
      </c>
      <c r="I32" s="1" t="s">
        <v>79</v>
      </c>
      <c r="K32" t="s">
        <v>135</v>
      </c>
      <c r="N32" s="1" t="s">
        <v>79</v>
      </c>
    </row>
    <row r="33" spans="2:14" x14ac:dyDescent="0.35">
      <c r="D33" t="s">
        <v>129</v>
      </c>
      <c r="E33" s="160">
        <v>43984</v>
      </c>
      <c r="F33" s="84" t="s">
        <v>115</v>
      </c>
      <c r="G33" s="84"/>
      <c r="H33" s="167"/>
      <c r="I33" s="108"/>
      <c r="K33" s="177">
        <v>44095</v>
      </c>
      <c r="L33" s="84" t="s">
        <v>115</v>
      </c>
      <c r="M33" s="84"/>
      <c r="N33" s="84"/>
    </row>
    <row r="34" spans="2:14" x14ac:dyDescent="0.35">
      <c r="E34" s="168"/>
      <c r="F34" s="169"/>
      <c r="G34" s="169" t="s">
        <v>128</v>
      </c>
      <c r="H34" s="171" t="s">
        <v>78</v>
      </c>
      <c r="I34" s="170" t="s">
        <v>79</v>
      </c>
      <c r="L34" s="1"/>
      <c r="M34" s="169" t="s">
        <v>128</v>
      </c>
      <c r="N34" s="170" t="s">
        <v>79</v>
      </c>
    </row>
    <row r="35" spans="2:14" x14ac:dyDescent="0.35">
      <c r="D35" t="s">
        <v>130</v>
      </c>
      <c r="E35" s="160">
        <v>43986</v>
      </c>
      <c r="F35" s="84" t="s">
        <v>116</v>
      </c>
      <c r="G35" s="84"/>
      <c r="H35" s="167"/>
      <c r="I35" s="108"/>
      <c r="K35" s="177">
        <v>44095</v>
      </c>
      <c r="L35" s="84" t="s">
        <v>116</v>
      </c>
      <c r="M35" s="84"/>
      <c r="N35" s="84"/>
    </row>
    <row r="37" spans="2:14" x14ac:dyDescent="0.35">
      <c r="C37" t="s">
        <v>125</v>
      </c>
    </row>
    <row r="38" spans="2:14" x14ac:dyDescent="0.35">
      <c r="C38" s="380">
        <v>45415</v>
      </c>
      <c r="D38" s="84" t="s">
        <v>115</v>
      </c>
      <c r="E38" s="384">
        <v>72370870</v>
      </c>
      <c r="F38" s="384"/>
      <c r="G38" s="106"/>
    </row>
    <row r="39" spans="2:14" x14ac:dyDescent="0.35">
      <c r="C39" s="380"/>
      <c r="D39" s="84" t="s">
        <v>116</v>
      </c>
      <c r="E39" s="384">
        <v>72846558</v>
      </c>
      <c r="F39" s="384"/>
      <c r="G39" s="106"/>
    </row>
    <row r="41" spans="2:14" x14ac:dyDescent="0.35">
      <c r="B41" t="s">
        <v>218</v>
      </c>
      <c r="C41" t="s">
        <v>217</v>
      </c>
    </row>
  </sheetData>
  <sheetProtection selectLockedCells="1" selectUnlockedCells="1"/>
  <mergeCells count="14">
    <mergeCell ref="C38:C39"/>
    <mergeCell ref="E38:F38"/>
    <mergeCell ref="E39:F39"/>
    <mergeCell ref="A16:A17"/>
    <mergeCell ref="A18:A19"/>
    <mergeCell ref="A20:A21"/>
    <mergeCell ref="A22:A23"/>
    <mergeCell ref="AJ1:AN1"/>
    <mergeCell ref="A14:A15"/>
    <mergeCell ref="A4:A5"/>
    <mergeCell ref="A6:A7"/>
    <mergeCell ref="A8:A9"/>
    <mergeCell ref="A10:A11"/>
    <mergeCell ref="A12:A13"/>
  </mergeCells>
  <conditionalFormatting sqref="E4">
    <cfRule type="cellIs" dxfId="1848" priority="14" stopIfTrue="1" operator="lessThan">
      <formula>$D$4</formula>
    </cfRule>
    <cfRule type="cellIs" dxfId="1847" priority="15" stopIfTrue="1" operator="equal">
      <formula>$D$4</formula>
    </cfRule>
  </conditionalFormatting>
  <conditionalFormatting sqref="E5">
    <cfRule type="cellIs" dxfId="1846" priority="19" stopIfTrue="1" operator="lessThan">
      <formula>$D$5</formula>
    </cfRule>
    <cfRule type="cellIs" dxfId="1845" priority="18" stopIfTrue="1" operator="equal">
      <formula>$D$5</formula>
    </cfRule>
  </conditionalFormatting>
  <conditionalFormatting sqref="E6">
    <cfRule type="cellIs" dxfId="1844" priority="25" stopIfTrue="1" operator="equal">
      <formula>$D$6</formula>
    </cfRule>
    <cfRule type="cellIs" dxfId="1843" priority="26" stopIfTrue="1" operator="lessThan">
      <formula>$D$6</formula>
    </cfRule>
  </conditionalFormatting>
  <conditionalFormatting sqref="E7">
    <cfRule type="cellIs" dxfId="1842" priority="40" stopIfTrue="1" operator="lessThan">
      <formula>$D$7</formula>
    </cfRule>
    <cfRule type="cellIs" dxfId="1841" priority="39" stopIfTrue="1" operator="equal">
      <formula>$D$7</formula>
    </cfRule>
  </conditionalFormatting>
  <conditionalFormatting sqref="E8">
    <cfRule type="cellIs" dxfId="1840" priority="52" stopIfTrue="1" operator="lessThan">
      <formula>$D$8</formula>
    </cfRule>
    <cfRule type="cellIs" dxfId="1839" priority="51" stopIfTrue="1" operator="equal">
      <formula>$D$8</formula>
    </cfRule>
  </conditionalFormatting>
  <conditionalFormatting sqref="E9">
    <cfRule type="cellIs" dxfId="1838" priority="66" stopIfTrue="1" operator="lessThan">
      <formula>$D$9</formula>
    </cfRule>
    <cfRule type="cellIs" dxfId="1837" priority="65" stopIfTrue="1" operator="equal">
      <formula>$D$9</formula>
    </cfRule>
  </conditionalFormatting>
  <conditionalFormatting sqref="E10">
    <cfRule type="cellIs" dxfId="1836" priority="79" stopIfTrue="1" operator="equal">
      <formula>$D$10</formula>
    </cfRule>
    <cfRule type="cellIs" dxfId="1835" priority="80" stopIfTrue="1" operator="lessThan">
      <formula>$D$10</formula>
    </cfRule>
  </conditionalFormatting>
  <conditionalFormatting sqref="E11">
    <cfRule type="cellIs" dxfId="1834" priority="94" stopIfTrue="1" operator="lessThan">
      <formula>$D$11</formula>
    </cfRule>
    <cfRule type="cellIs" dxfId="1833" priority="93" stopIfTrue="1" operator="equal">
      <formula>$D$11</formula>
    </cfRule>
  </conditionalFormatting>
  <conditionalFormatting sqref="E12">
    <cfRule type="cellIs" dxfId="1832" priority="108" stopIfTrue="1" operator="lessThan">
      <formula>$D$12</formula>
    </cfRule>
    <cfRule type="cellIs" dxfId="1831" priority="107" stopIfTrue="1" operator="equal">
      <formula>$D$12</formula>
    </cfRule>
  </conditionalFormatting>
  <conditionalFormatting sqref="E13">
    <cfRule type="cellIs" dxfId="1830" priority="240" stopIfTrue="1" operator="lessThan">
      <formula>$D$13</formula>
    </cfRule>
    <cfRule type="cellIs" dxfId="1829" priority="239" stopIfTrue="1" operator="equal">
      <formula>$D$13</formula>
    </cfRule>
  </conditionalFormatting>
  <conditionalFormatting sqref="E14">
    <cfRule type="cellIs" dxfId="1828" priority="122" stopIfTrue="1" operator="lessThan">
      <formula>$D$14</formula>
    </cfRule>
    <cfRule type="cellIs" dxfId="1827" priority="121" stopIfTrue="1" operator="equal">
      <formula>$D$14</formula>
    </cfRule>
  </conditionalFormatting>
  <conditionalFormatting sqref="E15">
    <cfRule type="cellIs" dxfId="1826" priority="123" stopIfTrue="1" operator="equal">
      <formula>$D$15</formula>
    </cfRule>
    <cfRule type="cellIs" dxfId="1825" priority="124" stopIfTrue="1" operator="lessThan">
      <formula>$D$15</formula>
    </cfRule>
  </conditionalFormatting>
  <conditionalFormatting sqref="E16">
    <cfRule type="cellIs" dxfId="1824" priority="126" stopIfTrue="1" operator="lessThan">
      <formula>$D$16</formula>
    </cfRule>
    <cfRule type="cellIs" dxfId="1823" priority="125" stopIfTrue="1" operator="equal">
      <formula>$D$16</formula>
    </cfRule>
  </conditionalFormatting>
  <conditionalFormatting sqref="E17">
    <cfRule type="cellIs" dxfId="1822" priority="128" stopIfTrue="1" operator="lessThan">
      <formula>$D$17</formula>
    </cfRule>
    <cfRule type="cellIs" dxfId="1821" priority="127" stopIfTrue="1" operator="equal">
      <formula>$D$17</formula>
    </cfRule>
  </conditionalFormatting>
  <conditionalFormatting sqref="E18">
    <cfRule type="cellIs" dxfId="1820" priority="130" stopIfTrue="1" operator="lessThan">
      <formula>$D$18</formula>
    </cfRule>
    <cfRule type="cellIs" dxfId="1819" priority="129" stopIfTrue="1" operator="equal">
      <formula>$D$18</formula>
    </cfRule>
  </conditionalFormatting>
  <conditionalFormatting sqref="E19">
    <cfRule type="cellIs" dxfId="1818" priority="132" stopIfTrue="1" operator="lessThan">
      <formula>$D$19</formula>
    </cfRule>
    <cfRule type="cellIs" dxfId="1817" priority="131" stopIfTrue="1" operator="equal">
      <formula>$D$19</formula>
    </cfRule>
  </conditionalFormatting>
  <conditionalFormatting sqref="E20">
    <cfRule type="cellIs" dxfId="1816" priority="134" stopIfTrue="1" operator="lessThan">
      <formula>$D$20</formula>
    </cfRule>
    <cfRule type="cellIs" dxfId="1815" priority="133" stopIfTrue="1" operator="equal">
      <formula>$D$20</formula>
    </cfRule>
  </conditionalFormatting>
  <conditionalFormatting sqref="E21">
    <cfRule type="cellIs" dxfId="1814" priority="136" stopIfTrue="1" operator="lessThan">
      <formula>$D$21</formula>
    </cfRule>
    <cfRule type="cellIs" dxfId="1813" priority="135" stopIfTrue="1" operator="equal">
      <formula>$D$21</formula>
    </cfRule>
  </conditionalFormatting>
  <conditionalFormatting sqref="E22">
    <cfRule type="cellIs" dxfId="1812" priority="137" stopIfTrue="1" operator="equal">
      <formula>$D$22</formula>
    </cfRule>
    <cfRule type="cellIs" dxfId="1811" priority="138" stopIfTrue="1" operator="lessThan">
      <formula>$D$22</formula>
    </cfRule>
  </conditionalFormatting>
  <conditionalFormatting sqref="E23">
    <cfRule type="cellIs" dxfId="1810" priority="139" stopIfTrue="1" operator="equal">
      <formula>$D$23</formula>
    </cfRule>
    <cfRule type="cellIs" dxfId="1809" priority="140" stopIfTrue="1" operator="lessThan">
      <formula>$D$23</formula>
    </cfRule>
  </conditionalFormatting>
  <conditionalFormatting sqref="E24">
    <cfRule type="cellIs" dxfId="1808" priority="271" stopIfTrue="1" operator="equal">
      <formula>$D$24</formula>
    </cfRule>
    <cfRule type="cellIs" dxfId="1807" priority="272" stopIfTrue="1" operator="lessThan">
      <formula>$D$24</formula>
    </cfRule>
  </conditionalFormatting>
  <conditionalFormatting sqref="E25">
    <cfRule type="cellIs" dxfId="1806" priority="142" stopIfTrue="1" operator="lessThan">
      <formula>$D$25</formula>
    </cfRule>
    <cfRule type="cellIs" dxfId="1805" priority="141" stopIfTrue="1" operator="equal">
      <formula>$D$25</formula>
    </cfRule>
  </conditionalFormatting>
  <conditionalFormatting sqref="E26">
    <cfRule type="cellIs" dxfId="1804" priority="143" stopIfTrue="1" operator="equal">
      <formula>$D$26</formula>
    </cfRule>
    <cfRule type="cellIs" dxfId="1803" priority="144" stopIfTrue="1" operator="lessThan">
      <formula>$D$26</formula>
    </cfRule>
  </conditionalFormatting>
  <conditionalFormatting sqref="E27">
    <cfRule type="cellIs" dxfId="1802" priority="145" stopIfTrue="1" operator="equal">
      <formula>$D$27</formula>
    </cfRule>
    <cfRule type="cellIs" dxfId="1801" priority="146" stopIfTrue="1" operator="lessThan">
      <formula>$D$27</formula>
    </cfRule>
  </conditionalFormatting>
  <conditionalFormatting sqref="E28">
    <cfRule type="cellIs" dxfId="1800" priority="148" stopIfTrue="1" operator="lessThan">
      <formula>$D$28</formula>
    </cfRule>
    <cfRule type="cellIs" dxfId="1799" priority="147" stopIfTrue="1" operator="equal">
      <formula>$D$28</formula>
    </cfRule>
  </conditionalFormatting>
  <conditionalFormatting sqref="E29:I29 K29:P29">
    <cfRule type="cellIs" dxfId="1798" priority="286" stopIfTrue="1" operator="equal">
      <formula>0</formula>
    </cfRule>
  </conditionalFormatting>
  <conditionalFormatting sqref="F4">
    <cfRule type="cellIs" dxfId="1797" priority="17" stopIfTrue="1" operator="lessThan">
      <formula>$E$4</formula>
    </cfRule>
    <cfRule type="cellIs" dxfId="1796" priority="16" stopIfTrue="1" operator="equal">
      <formula>$E$4</formula>
    </cfRule>
  </conditionalFormatting>
  <conditionalFormatting sqref="F5">
    <cfRule type="cellIs" dxfId="1795" priority="281" stopIfTrue="1" operator="equal">
      <formula>$E$5</formula>
    </cfRule>
    <cfRule type="cellIs" dxfId="1794" priority="282" stopIfTrue="1" operator="lessThan">
      <formula>$E$5</formula>
    </cfRule>
  </conditionalFormatting>
  <conditionalFormatting sqref="F6">
    <cfRule type="cellIs" dxfId="1793" priority="27" stopIfTrue="1" operator="equal">
      <formula>$E$6</formula>
    </cfRule>
    <cfRule type="cellIs" dxfId="1792" priority="28" stopIfTrue="1" operator="lessThan">
      <formula>$E$6</formula>
    </cfRule>
  </conditionalFormatting>
  <conditionalFormatting sqref="F7">
    <cfRule type="cellIs" dxfId="1791" priority="42" stopIfTrue="1" operator="lessThan">
      <formula>$E$7</formula>
    </cfRule>
    <cfRule type="cellIs" dxfId="1790" priority="41" stopIfTrue="1" operator="equal">
      <formula>$E$7</formula>
    </cfRule>
  </conditionalFormatting>
  <conditionalFormatting sqref="F8">
    <cfRule type="cellIs" dxfId="1789" priority="53" stopIfTrue="1" operator="equal">
      <formula>$E$8</formula>
    </cfRule>
    <cfRule type="cellIs" dxfId="1788" priority="54" stopIfTrue="1" operator="lessThan">
      <formula>$E$8</formula>
    </cfRule>
  </conditionalFormatting>
  <conditionalFormatting sqref="F9">
    <cfRule type="cellIs" dxfId="1787" priority="67" stopIfTrue="1" operator="equal">
      <formula>$E$9</formula>
    </cfRule>
    <cfRule type="cellIs" dxfId="1786" priority="68" stopIfTrue="1" operator="lessThan">
      <formula>$E$9</formula>
    </cfRule>
  </conditionalFormatting>
  <conditionalFormatting sqref="F10">
    <cfRule type="cellIs" dxfId="1785" priority="81" stopIfTrue="1" operator="equal">
      <formula>$E$10</formula>
    </cfRule>
    <cfRule type="cellIs" dxfId="1784" priority="82" stopIfTrue="1" operator="lessThan">
      <formula>$E$10</formula>
    </cfRule>
  </conditionalFormatting>
  <conditionalFormatting sqref="F11">
    <cfRule type="cellIs" dxfId="1783" priority="96" stopIfTrue="1" operator="lessThan">
      <formula>$E$11</formula>
    </cfRule>
    <cfRule type="cellIs" dxfId="1782" priority="95" stopIfTrue="1" operator="equal">
      <formula>$E$11</formula>
    </cfRule>
  </conditionalFormatting>
  <conditionalFormatting sqref="F12">
    <cfRule type="cellIs" dxfId="1781" priority="110" stopIfTrue="1" operator="lessThan">
      <formula>$E$12</formula>
    </cfRule>
    <cfRule type="cellIs" dxfId="1780" priority="109" stopIfTrue="1" operator="equal">
      <formula>$E$12</formula>
    </cfRule>
  </conditionalFormatting>
  <conditionalFormatting sqref="F13">
    <cfRule type="cellIs" dxfId="1779" priority="149" stopIfTrue="1" operator="equal">
      <formula>$E$13</formula>
    </cfRule>
    <cfRule type="cellIs" dxfId="1778" priority="150" stopIfTrue="1" operator="lessThan">
      <formula>$E$13</formula>
    </cfRule>
  </conditionalFormatting>
  <conditionalFormatting sqref="F14">
    <cfRule type="cellIs" dxfId="1777" priority="151" stopIfTrue="1" operator="equal">
      <formula>$E$14</formula>
    </cfRule>
    <cfRule type="cellIs" dxfId="1776" priority="152" stopIfTrue="1" operator="lessThan">
      <formula>$E$14</formula>
    </cfRule>
  </conditionalFormatting>
  <conditionalFormatting sqref="F15">
    <cfRule type="cellIs" dxfId="1775" priority="153" stopIfTrue="1" operator="equal">
      <formula>$E$15</formula>
    </cfRule>
    <cfRule type="cellIs" dxfId="1774" priority="154" stopIfTrue="1" operator="lessThan">
      <formula>$E$15</formula>
    </cfRule>
  </conditionalFormatting>
  <conditionalFormatting sqref="F16">
    <cfRule type="cellIs" dxfId="1773" priority="156" stopIfTrue="1" operator="lessThan">
      <formula>$E$16</formula>
    </cfRule>
    <cfRule type="cellIs" dxfId="1772" priority="155" stopIfTrue="1" operator="equal">
      <formula>$E$16</formula>
    </cfRule>
  </conditionalFormatting>
  <conditionalFormatting sqref="F17">
    <cfRule type="cellIs" dxfId="1771" priority="158" stopIfTrue="1" operator="lessThan">
      <formula>$E$17</formula>
    </cfRule>
    <cfRule type="cellIs" dxfId="1770" priority="157" stopIfTrue="1" operator="equal">
      <formula>$E$17</formula>
    </cfRule>
  </conditionalFormatting>
  <conditionalFormatting sqref="F18">
    <cfRule type="cellIs" dxfId="1769" priority="160" stopIfTrue="1" operator="lessThan">
      <formula>$E$18</formula>
    </cfRule>
    <cfRule type="cellIs" dxfId="1768" priority="159" stopIfTrue="1" operator="equal">
      <formula>$E$18</formula>
    </cfRule>
  </conditionalFormatting>
  <conditionalFormatting sqref="F19">
    <cfRule type="cellIs" dxfId="1767" priority="162" stopIfTrue="1" operator="lessThan">
      <formula>$E$19</formula>
    </cfRule>
    <cfRule type="cellIs" dxfId="1766" priority="161" stopIfTrue="1" operator="equal">
      <formula>$E$19</formula>
    </cfRule>
  </conditionalFormatting>
  <conditionalFormatting sqref="F20">
    <cfRule type="cellIs" dxfId="1765" priority="164" stopIfTrue="1" operator="lessThan">
      <formula>$E$20</formula>
    </cfRule>
    <cfRule type="cellIs" dxfId="1764" priority="163" stopIfTrue="1" operator="equal">
      <formula>$E$20</formula>
    </cfRule>
  </conditionalFormatting>
  <conditionalFormatting sqref="F21">
    <cfRule type="cellIs" dxfId="1763" priority="165" stopIfTrue="1" operator="equal">
      <formula>$E$21</formula>
    </cfRule>
    <cfRule type="cellIs" dxfId="1762" priority="166" stopIfTrue="1" operator="lessThan">
      <formula>$E$21</formula>
    </cfRule>
  </conditionalFormatting>
  <conditionalFormatting sqref="F22">
    <cfRule type="cellIs" dxfId="1761" priority="167" stopIfTrue="1" operator="equal">
      <formula>$E$22</formula>
    </cfRule>
    <cfRule type="cellIs" dxfId="1760" priority="168" stopIfTrue="1" operator="lessThan">
      <formula>$E$22</formula>
    </cfRule>
  </conditionalFormatting>
  <conditionalFormatting sqref="F23">
    <cfRule type="cellIs" dxfId="1759" priority="169" stopIfTrue="1" operator="equal">
      <formula>$E$23</formula>
    </cfRule>
    <cfRule type="cellIs" dxfId="1758" priority="170" stopIfTrue="1" operator="lessThan">
      <formula>$E$23</formula>
    </cfRule>
  </conditionalFormatting>
  <conditionalFormatting sqref="F24">
    <cfRule type="cellIs" dxfId="1757" priority="274" stopIfTrue="1" operator="lessThan">
      <formula>$E$24</formula>
    </cfRule>
    <cfRule type="cellIs" dxfId="1756" priority="273" stopIfTrue="1" operator="equal">
      <formula>$E$24</formula>
    </cfRule>
  </conditionalFormatting>
  <conditionalFormatting sqref="F25">
    <cfRule type="cellIs" dxfId="1755" priority="172" stopIfTrue="1" operator="lessThan">
      <formula>$E$25</formula>
    </cfRule>
    <cfRule type="cellIs" dxfId="1754" priority="171" stopIfTrue="1" operator="equal">
      <formula>$E$25</formula>
    </cfRule>
  </conditionalFormatting>
  <conditionalFormatting sqref="F26">
    <cfRule type="cellIs" dxfId="1753" priority="173" stopIfTrue="1" operator="equal">
      <formula>$E$26</formula>
    </cfRule>
    <cfRule type="cellIs" dxfId="1752" priority="174" stopIfTrue="1" operator="lessThan">
      <formula>$E$26</formula>
    </cfRule>
  </conditionalFormatting>
  <conditionalFormatting sqref="F27">
    <cfRule type="cellIs" dxfId="1751" priority="176" stopIfTrue="1" operator="lessThan">
      <formula>$E$27</formula>
    </cfRule>
    <cfRule type="cellIs" dxfId="1750" priority="175" stopIfTrue="1" operator="equal">
      <formula>$E$27</formula>
    </cfRule>
  </conditionalFormatting>
  <conditionalFormatting sqref="F28">
    <cfRule type="cellIs" dxfId="1749" priority="177" stopIfTrue="1" operator="equal">
      <formula>$E$28</formula>
    </cfRule>
    <cfRule type="cellIs" dxfId="1748" priority="178" stopIfTrue="1" operator="lessThan">
      <formula>$E$28</formula>
    </cfRule>
  </conditionalFormatting>
  <conditionalFormatting sqref="G4">
    <cfRule type="cellIs" dxfId="1747" priority="13" stopIfTrue="1" operator="lessThan">
      <formula>$F$4</formula>
    </cfRule>
    <cfRule type="cellIs" dxfId="1746" priority="12" stopIfTrue="1" operator="equal">
      <formula>$F$4</formula>
    </cfRule>
  </conditionalFormatting>
  <conditionalFormatting sqref="G5">
    <cfRule type="cellIs" dxfId="1745" priority="20" stopIfTrue="1" operator="equal">
      <formula>$F$5</formula>
    </cfRule>
    <cfRule type="cellIs" dxfId="1744" priority="21" stopIfTrue="1" operator="lessThan">
      <formula>$F$5</formula>
    </cfRule>
  </conditionalFormatting>
  <conditionalFormatting sqref="G6">
    <cfRule type="cellIs" dxfId="1743" priority="29" stopIfTrue="1" operator="equal">
      <formula>$F$6</formula>
    </cfRule>
    <cfRule type="cellIs" dxfId="1742" priority="30" stopIfTrue="1" operator="lessThan">
      <formula>$F$6</formula>
    </cfRule>
  </conditionalFormatting>
  <conditionalFormatting sqref="G7">
    <cfRule type="cellIs" dxfId="1741" priority="43" stopIfTrue="1" operator="equal">
      <formula>$F$7</formula>
    </cfRule>
    <cfRule type="cellIs" dxfId="1740" priority="44" stopIfTrue="1" operator="lessThan">
      <formula>$F$7</formula>
    </cfRule>
  </conditionalFormatting>
  <conditionalFormatting sqref="G8">
    <cfRule type="cellIs" dxfId="1739" priority="56" stopIfTrue="1" operator="lessThan">
      <formula>$F$8</formula>
    </cfRule>
    <cfRule type="cellIs" dxfId="1738" priority="55" stopIfTrue="1" operator="equal">
      <formula>$F$8</formula>
    </cfRule>
  </conditionalFormatting>
  <conditionalFormatting sqref="G9">
    <cfRule type="cellIs" dxfId="1737" priority="70" stopIfTrue="1" operator="lessThan">
      <formula>$F$9</formula>
    </cfRule>
    <cfRule type="cellIs" dxfId="1736" priority="69" stopIfTrue="1" operator="equal">
      <formula>$F$9</formula>
    </cfRule>
  </conditionalFormatting>
  <conditionalFormatting sqref="G10">
    <cfRule type="cellIs" dxfId="1735" priority="84" stopIfTrue="1" operator="lessThan">
      <formula>$F$10</formula>
    </cfRule>
    <cfRule type="cellIs" dxfId="1734" priority="83" stopIfTrue="1" operator="equal">
      <formula>$F$10</formula>
    </cfRule>
  </conditionalFormatting>
  <conditionalFormatting sqref="G11">
    <cfRule type="cellIs" dxfId="1733" priority="97" stopIfTrue="1" operator="equal">
      <formula>$F$11</formula>
    </cfRule>
    <cfRule type="cellIs" dxfId="1732" priority="98" stopIfTrue="1" operator="lessThan">
      <formula>$F$11</formula>
    </cfRule>
  </conditionalFormatting>
  <conditionalFormatting sqref="G12">
    <cfRule type="cellIs" dxfId="1731" priority="112" stopIfTrue="1" operator="lessThan">
      <formula>$F$12</formula>
    </cfRule>
    <cfRule type="cellIs" dxfId="1730" priority="111" stopIfTrue="1" operator="equal">
      <formula>$F$12</formula>
    </cfRule>
  </conditionalFormatting>
  <conditionalFormatting sqref="G13">
    <cfRule type="cellIs" dxfId="1729" priority="180" stopIfTrue="1" operator="lessThan">
      <formula>$F$13</formula>
    </cfRule>
    <cfRule type="cellIs" dxfId="1728" priority="179" stopIfTrue="1" operator="equal">
      <formula>$F$13</formula>
    </cfRule>
  </conditionalFormatting>
  <conditionalFormatting sqref="G14">
    <cfRule type="cellIs" dxfId="1727" priority="181" stopIfTrue="1" operator="equal">
      <formula>$F$14</formula>
    </cfRule>
    <cfRule type="cellIs" dxfId="1726" priority="182" stopIfTrue="1" operator="lessThan">
      <formula>$F$14</formula>
    </cfRule>
  </conditionalFormatting>
  <conditionalFormatting sqref="G15">
    <cfRule type="cellIs" dxfId="1725" priority="183" stopIfTrue="1" operator="equal">
      <formula>$F$15</formula>
    </cfRule>
    <cfRule type="cellIs" dxfId="1724" priority="184" stopIfTrue="1" operator="lessThan">
      <formula>$F$15</formula>
    </cfRule>
  </conditionalFormatting>
  <conditionalFormatting sqref="G16">
    <cfRule type="cellIs" dxfId="1723" priority="186" stopIfTrue="1" operator="lessThan">
      <formula>$F$16</formula>
    </cfRule>
    <cfRule type="cellIs" dxfId="1722" priority="185" stopIfTrue="1" operator="equal">
      <formula>$F$16</formula>
    </cfRule>
  </conditionalFormatting>
  <conditionalFormatting sqref="G17">
    <cfRule type="cellIs" dxfId="1721" priority="187" stopIfTrue="1" operator="equal">
      <formula>$F$17</formula>
    </cfRule>
    <cfRule type="cellIs" dxfId="1720" priority="188" stopIfTrue="1" operator="lessThan">
      <formula>$F$17</formula>
    </cfRule>
  </conditionalFormatting>
  <conditionalFormatting sqref="G18">
    <cfRule type="cellIs" dxfId="1719" priority="189" stopIfTrue="1" operator="equal">
      <formula>$F$18</formula>
    </cfRule>
    <cfRule type="cellIs" dxfId="1718" priority="190" stopIfTrue="1" operator="lessThan">
      <formula>$F$18</formula>
    </cfRule>
  </conditionalFormatting>
  <conditionalFormatting sqref="G19">
    <cfRule type="cellIs" dxfId="1717" priority="191" stopIfTrue="1" operator="equal">
      <formula>$F$19</formula>
    </cfRule>
    <cfRule type="cellIs" dxfId="1716" priority="192" stopIfTrue="1" operator="lessThan">
      <formula>$F$19</formula>
    </cfRule>
  </conditionalFormatting>
  <conditionalFormatting sqref="G20">
    <cfRule type="cellIs" dxfId="1715" priority="194" stopIfTrue="1" operator="lessThan">
      <formula>$F$20</formula>
    </cfRule>
    <cfRule type="cellIs" dxfId="1714" priority="193" stopIfTrue="1" operator="equal">
      <formula>$F$20</formula>
    </cfRule>
  </conditionalFormatting>
  <conditionalFormatting sqref="G21">
    <cfRule type="cellIs" dxfId="1713" priority="196" stopIfTrue="1" operator="lessThan">
      <formula>$F$21</formula>
    </cfRule>
    <cfRule type="cellIs" dxfId="1712" priority="195" stopIfTrue="1" operator="equal">
      <formula>$F$21</formula>
    </cfRule>
  </conditionalFormatting>
  <conditionalFormatting sqref="G22">
    <cfRule type="cellIs" dxfId="1711" priority="197" stopIfTrue="1" operator="equal">
      <formula>$F$22</formula>
    </cfRule>
    <cfRule type="cellIs" dxfId="1710" priority="198" stopIfTrue="1" operator="lessThan">
      <formula>$F$22</formula>
    </cfRule>
  </conditionalFormatting>
  <conditionalFormatting sqref="G23">
    <cfRule type="cellIs" dxfId="1709" priority="199" stopIfTrue="1" operator="equal">
      <formula>$F$23</formula>
    </cfRule>
    <cfRule type="cellIs" dxfId="1708" priority="200" stopIfTrue="1" operator="lessThan">
      <formula>$F$23</formula>
    </cfRule>
  </conditionalFormatting>
  <conditionalFormatting sqref="G24">
    <cfRule type="cellIs" dxfId="1707" priority="276" stopIfTrue="1" operator="lessThan">
      <formula>$F$24</formula>
    </cfRule>
    <cfRule type="cellIs" dxfId="1706" priority="275" stopIfTrue="1" operator="equal">
      <formula>$F$24</formula>
    </cfRule>
  </conditionalFormatting>
  <conditionalFormatting sqref="G25">
    <cfRule type="cellIs" dxfId="1705" priority="202" stopIfTrue="1" operator="lessThan">
      <formula>$F$25</formula>
    </cfRule>
    <cfRule type="cellIs" dxfId="1704" priority="201" stopIfTrue="1" operator="equal">
      <formula>$F$25</formula>
    </cfRule>
  </conditionalFormatting>
  <conditionalFormatting sqref="G26">
    <cfRule type="cellIs" dxfId="1703" priority="204" stopIfTrue="1" operator="lessThan">
      <formula>$F$26</formula>
    </cfRule>
    <cfRule type="cellIs" dxfId="1702" priority="203" stopIfTrue="1" operator="equal">
      <formula>$F$26</formula>
    </cfRule>
  </conditionalFormatting>
  <conditionalFormatting sqref="G27">
    <cfRule type="cellIs" dxfId="1701" priority="205" stopIfTrue="1" operator="equal">
      <formula>$F$27</formula>
    </cfRule>
    <cfRule type="cellIs" dxfId="1700" priority="206" stopIfTrue="1" operator="lessThan">
      <formula>$F$27</formula>
    </cfRule>
  </conditionalFormatting>
  <conditionalFormatting sqref="G28">
    <cfRule type="cellIs" dxfId="1699" priority="207" stopIfTrue="1" operator="equal">
      <formula>$F$28</formula>
    </cfRule>
    <cfRule type="cellIs" dxfId="1698" priority="208" stopIfTrue="1" operator="lessThan">
      <formula>$F$28</formula>
    </cfRule>
  </conditionalFormatting>
  <conditionalFormatting sqref="H4">
    <cfRule type="cellIs" dxfId="1697" priority="285" stopIfTrue="1" operator="equal">
      <formula>$G$4</formula>
    </cfRule>
  </conditionalFormatting>
  <conditionalFormatting sqref="H5">
    <cfRule type="cellIs" dxfId="1696" priority="283" stopIfTrue="1" operator="equal">
      <formula>$G$5</formula>
    </cfRule>
    <cfRule type="cellIs" dxfId="1695" priority="284" stopIfTrue="1" operator="lessThan">
      <formula>$G$5</formula>
    </cfRule>
  </conditionalFormatting>
  <conditionalFormatting sqref="H6">
    <cfRule type="cellIs" dxfId="1694" priority="31" stopIfTrue="1" operator="equal">
      <formula>$G$6</formula>
    </cfRule>
    <cfRule type="cellIs" dxfId="1693" priority="32" stopIfTrue="1" operator="lessThan">
      <formula>$G$6</formula>
    </cfRule>
  </conditionalFormatting>
  <conditionalFormatting sqref="H7">
    <cfRule type="cellIs" dxfId="1692" priority="5" stopIfTrue="1" operator="lessThan">
      <formula>$G$7</formula>
    </cfRule>
    <cfRule type="cellIs" dxfId="1691" priority="4" stopIfTrue="1" operator="equal">
      <formula>$G$7</formula>
    </cfRule>
  </conditionalFormatting>
  <conditionalFormatting sqref="H8">
    <cfRule type="cellIs" dxfId="1690" priority="57" stopIfTrue="1" operator="equal">
      <formula>$G$8</formula>
    </cfRule>
    <cfRule type="cellIs" dxfId="1689" priority="58" stopIfTrue="1" operator="lessThan">
      <formula>$G$8</formula>
    </cfRule>
  </conditionalFormatting>
  <conditionalFormatting sqref="H9">
    <cfRule type="cellIs" dxfId="1688" priority="71" stopIfTrue="1" operator="equal">
      <formula>$G$9</formula>
    </cfRule>
    <cfRule type="cellIs" dxfId="1687" priority="72" stopIfTrue="1" operator="lessThan">
      <formula>$G$9</formula>
    </cfRule>
  </conditionalFormatting>
  <conditionalFormatting sqref="H10">
    <cfRule type="cellIs" dxfId="1686" priority="86" stopIfTrue="1" operator="lessThan">
      <formula>$G$10</formula>
    </cfRule>
    <cfRule type="cellIs" dxfId="1685" priority="85" stopIfTrue="1" operator="equal">
      <formula>$G$10</formula>
    </cfRule>
  </conditionalFormatting>
  <conditionalFormatting sqref="H11">
    <cfRule type="cellIs" dxfId="1684" priority="99" stopIfTrue="1" operator="equal">
      <formula>$G$11</formula>
    </cfRule>
    <cfRule type="cellIs" dxfId="1683" priority="100" stopIfTrue="1" operator="lessThan">
      <formula>$G$11</formula>
    </cfRule>
  </conditionalFormatting>
  <conditionalFormatting sqref="H12">
    <cfRule type="cellIs" dxfId="1682" priority="113" stopIfTrue="1" operator="equal">
      <formula>$G$12</formula>
    </cfRule>
    <cfRule type="cellIs" dxfId="1681" priority="114" stopIfTrue="1" operator="lessThan">
      <formula>$G$12</formula>
    </cfRule>
  </conditionalFormatting>
  <conditionalFormatting sqref="H13">
    <cfRule type="cellIs" dxfId="1680" priority="210" stopIfTrue="1" operator="lessThan">
      <formula>$G$13</formula>
    </cfRule>
    <cfRule type="cellIs" dxfId="1679" priority="209" stopIfTrue="1" operator="equal">
      <formula>$G$13</formula>
    </cfRule>
  </conditionalFormatting>
  <conditionalFormatting sqref="H14">
    <cfRule type="cellIs" dxfId="1678" priority="211" stopIfTrue="1" operator="equal">
      <formula>$G$14</formula>
    </cfRule>
    <cfRule type="cellIs" dxfId="1677" priority="212" stopIfTrue="1" operator="lessThan">
      <formula>$G$14</formula>
    </cfRule>
  </conditionalFormatting>
  <conditionalFormatting sqref="H15">
    <cfRule type="cellIs" dxfId="1676" priority="214" stopIfTrue="1" operator="lessThan">
      <formula>$G$15</formula>
    </cfRule>
    <cfRule type="cellIs" dxfId="1675" priority="213" stopIfTrue="1" operator="equal">
      <formula>$G$15</formula>
    </cfRule>
  </conditionalFormatting>
  <conditionalFormatting sqref="H16">
    <cfRule type="cellIs" dxfId="1674" priority="216" stopIfTrue="1" operator="lessThan">
      <formula>$G$16</formula>
    </cfRule>
    <cfRule type="cellIs" dxfId="1673" priority="215" stopIfTrue="1" operator="equal">
      <formula>$G$16</formula>
    </cfRule>
  </conditionalFormatting>
  <conditionalFormatting sqref="H17">
    <cfRule type="cellIs" dxfId="1672" priority="218" stopIfTrue="1" operator="lessThan">
      <formula>$G$17</formula>
    </cfRule>
    <cfRule type="cellIs" dxfId="1671" priority="217" stopIfTrue="1" operator="equal">
      <formula>$G$17</formula>
    </cfRule>
  </conditionalFormatting>
  <conditionalFormatting sqref="H18">
    <cfRule type="cellIs" dxfId="1670" priority="220" stopIfTrue="1" operator="lessThan">
      <formula>$G$18</formula>
    </cfRule>
    <cfRule type="cellIs" dxfId="1669" priority="219" stopIfTrue="1" operator="equal">
      <formula>$G$18</formula>
    </cfRule>
  </conditionalFormatting>
  <conditionalFormatting sqref="H19">
    <cfRule type="cellIs" dxfId="1668" priority="221" stopIfTrue="1" operator="equal">
      <formula>$G$19</formula>
    </cfRule>
    <cfRule type="cellIs" dxfId="1667" priority="222" stopIfTrue="1" operator="lessThan">
      <formula>$G$19</formula>
    </cfRule>
  </conditionalFormatting>
  <conditionalFormatting sqref="H20">
    <cfRule type="cellIs" dxfId="1666" priority="223" stopIfTrue="1" operator="equal">
      <formula>$G$20</formula>
    </cfRule>
    <cfRule type="cellIs" dxfId="1665" priority="224" stopIfTrue="1" operator="lessThan">
      <formula>$G$20</formula>
    </cfRule>
  </conditionalFormatting>
  <conditionalFormatting sqref="H21">
    <cfRule type="cellIs" dxfId="1664" priority="226" stopIfTrue="1" operator="lessThan">
      <formula>$G$21</formula>
    </cfRule>
    <cfRule type="cellIs" dxfId="1663" priority="225" stopIfTrue="1" operator="equal">
      <formula>$G$21</formula>
    </cfRule>
  </conditionalFormatting>
  <conditionalFormatting sqref="H22">
    <cfRule type="cellIs" dxfId="1662" priority="227" stopIfTrue="1" operator="equal">
      <formula>$G$22</formula>
    </cfRule>
    <cfRule type="cellIs" dxfId="1661" priority="228" stopIfTrue="1" operator="lessThan">
      <formula>$G$22</formula>
    </cfRule>
  </conditionalFormatting>
  <conditionalFormatting sqref="H23">
    <cfRule type="cellIs" dxfId="1660" priority="230" stopIfTrue="1" operator="lessThan">
      <formula>$G$23</formula>
    </cfRule>
    <cfRule type="cellIs" dxfId="1659" priority="229" stopIfTrue="1" operator="equal">
      <formula>$G$23</formula>
    </cfRule>
  </conditionalFormatting>
  <conditionalFormatting sqref="H24">
    <cfRule type="cellIs" dxfId="1658" priority="278" stopIfTrue="1" operator="lessThan">
      <formula>$G$24</formula>
    </cfRule>
    <cfRule type="cellIs" dxfId="1657" priority="277" stopIfTrue="1" operator="equal">
      <formula>$G$24</formula>
    </cfRule>
  </conditionalFormatting>
  <conditionalFormatting sqref="H25">
    <cfRule type="cellIs" dxfId="1656" priority="231" stopIfTrue="1" operator="equal">
      <formula>$G$25</formula>
    </cfRule>
    <cfRule type="cellIs" dxfId="1655" priority="232" stopIfTrue="1" operator="lessThan">
      <formula>$G$25</formula>
    </cfRule>
  </conditionalFormatting>
  <conditionalFormatting sqref="H26">
    <cfRule type="cellIs" dxfId="1654" priority="234" stopIfTrue="1" operator="lessThan">
      <formula>$G$26</formula>
    </cfRule>
    <cfRule type="cellIs" dxfId="1653" priority="233" stopIfTrue="1" operator="equal">
      <formula>$G$26</formula>
    </cfRule>
  </conditionalFormatting>
  <conditionalFormatting sqref="H27">
    <cfRule type="cellIs" dxfId="1652" priority="235" stopIfTrue="1" operator="equal">
      <formula>$G$27</formula>
    </cfRule>
    <cfRule type="cellIs" dxfId="1651" priority="236" stopIfTrue="1" operator="lessThan">
      <formula>$G$27</formula>
    </cfRule>
  </conditionalFormatting>
  <conditionalFormatting sqref="H28">
    <cfRule type="cellIs" dxfId="1650" priority="238" stopIfTrue="1" operator="lessThan">
      <formula>$G$28</formula>
    </cfRule>
    <cfRule type="cellIs" dxfId="1649" priority="237" stopIfTrue="1" operator="equal">
      <formula>$G$28</formula>
    </cfRule>
  </conditionalFormatting>
  <conditionalFormatting sqref="I4">
    <cfRule type="cellIs" dxfId="1648" priority="2" stopIfTrue="1" operator="lessThan">
      <formula>$H$4</formula>
    </cfRule>
    <cfRule type="cellIs" dxfId="1647" priority="3" stopIfTrue="1" operator="equal">
      <formula>$H$4</formula>
    </cfRule>
  </conditionalFormatting>
  <conditionalFormatting sqref="I5">
    <cfRule type="cellIs" dxfId="1646" priority="6" stopIfTrue="1" operator="equal">
      <formula>$H$5</formula>
    </cfRule>
    <cfRule type="cellIs" dxfId="1645" priority="7" stopIfTrue="1" operator="lessThan">
      <formula>$H$5</formula>
    </cfRule>
  </conditionalFormatting>
  <conditionalFormatting sqref="I6">
    <cfRule type="cellIs" dxfId="1644" priority="33" stopIfTrue="1" operator="equal">
      <formula>$H$6</formula>
    </cfRule>
    <cfRule type="cellIs" dxfId="1643" priority="34" stopIfTrue="1" operator="lessThan">
      <formula>$H$6</formula>
    </cfRule>
  </conditionalFormatting>
  <conditionalFormatting sqref="I7">
    <cfRule type="cellIs" dxfId="1642" priority="46" stopIfTrue="1" operator="lessThan">
      <formula>$H$7</formula>
    </cfRule>
    <cfRule type="cellIs" dxfId="1641" priority="45" stopIfTrue="1" operator="equal">
      <formula>$H$7</formula>
    </cfRule>
  </conditionalFormatting>
  <conditionalFormatting sqref="I8">
    <cfRule type="cellIs" dxfId="1640" priority="60" stopIfTrue="1" operator="lessThan">
      <formula>$H$8</formula>
    </cfRule>
    <cfRule type="cellIs" dxfId="1639" priority="59" stopIfTrue="1" operator="equal">
      <formula>$H$8</formula>
    </cfRule>
  </conditionalFormatting>
  <conditionalFormatting sqref="I9">
    <cfRule type="cellIs" dxfId="1638" priority="73" stopIfTrue="1" operator="equal">
      <formula>$H$9</formula>
    </cfRule>
    <cfRule type="cellIs" dxfId="1637" priority="74" stopIfTrue="1" operator="lessThan">
      <formula>$H$9</formula>
    </cfRule>
  </conditionalFormatting>
  <conditionalFormatting sqref="I10">
    <cfRule type="cellIs" dxfId="1636" priority="87" stopIfTrue="1" operator="equal">
      <formula>$H$10</formula>
    </cfRule>
    <cfRule type="cellIs" dxfId="1635" priority="88" stopIfTrue="1" operator="lessThan">
      <formula>$H$10</formula>
    </cfRule>
  </conditionalFormatting>
  <conditionalFormatting sqref="I11">
    <cfRule type="cellIs" dxfId="1634" priority="101" stopIfTrue="1" operator="equal">
      <formula>$H$11</formula>
    </cfRule>
    <cfRule type="cellIs" dxfId="1633" priority="102" stopIfTrue="1" operator="lessThan">
      <formula>$H$11</formula>
    </cfRule>
  </conditionalFormatting>
  <conditionalFormatting sqref="I12">
    <cfRule type="cellIs" dxfId="1632" priority="115" stopIfTrue="1" operator="equal">
      <formula>$H$12</formula>
    </cfRule>
    <cfRule type="cellIs" dxfId="1631" priority="116" stopIfTrue="1" operator="lessThan">
      <formula>$H$12</formula>
    </cfRule>
  </conditionalFormatting>
  <conditionalFormatting sqref="I13">
    <cfRule type="cellIs" dxfId="1630" priority="241" stopIfTrue="1" operator="equal">
      <formula>$H$13</formula>
    </cfRule>
    <cfRule type="cellIs" dxfId="1629" priority="242" stopIfTrue="1" operator="lessThan">
      <formula>$H$13</formula>
    </cfRule>
  </conditionalFormatting>
  <conditionalFormatting sqref="I14">
    <cfRule type="cellIs" dxfId="1628" priority="244" stopIfTrue="1" operator="lessThan">
      <formula>$H$14</formula>
    </cfRule>
    <cfRule type="cellIs" dxfId="1627" priority="243" stopIfTrue="1" operator="equal">
      <formula>$H$14</formula>
    </cfRule>
  </conditionalFormatting>
  <conditionalFormatting sqref="I15">
    <cfRule type="cellIs" dxfId="1626" priority="245" stopIfTrue="1" operator="equal">
      <formula>$H$15</formula>
    </cfRule>
    <cfRule type="cellIs" dxfId="1625" priority="246" stopIfTrue="1" operator="lessThan">
      <formula>$H$15</formula>
    </cfRule>
  </conditionalFormatting>
  <conditionalFormatting sqref="I16">
    <cfRule type="cellIs" dxfId="1624" priority="248" stopIfTrue="1" operator="lessThan">
      <formula>$H$16</formula>
    </cfRule>
    <cfRule type="cellIs" dxfId="1623" priority="247" stopIfTrue="1" operator="equal">
      <formula>$H$16</formula>
    </cfRule>
  </conditionalFormatting>
  <conditionalFormatting sqref="I17">
    <cfRule type="cellIs" dxfId="1622" priority="250" stopIfTrue="1" operator="lessThan">
      <formula>$H$17</formula>
    </cfRule>
    <cfRule type="cellIs" dxfId="1621" priority="249" stopIfTrue="1" operator="equal">
      <formula>$H$17</formula>
    </cfRule>
  </conditionalFormatting>
  <conditionalFormatting sqref="I18">
    <cfRule type="cellIs" dxfId="1620" priority="251" stopIfTrue="1" operator="equal">
      <formula>$H$18</formula>
    </cfRule>
    <cfRule type="cellIs" dxfId="1619" priority="252" stopIfTrue="1" operator="lessThan">
      <formula>$H$18</formula>
    </cfRule>
  </conditionalFormatting>
  <conditionalFormatting sqref="I19">
    <cfRule type="cellIs" dxfId="1618" priority="253" stopIfTrue="1" operator="equal">
      <formula>$H$19</formula>
    </cfRule>
    <cfRule type="cellIs" dxfId="1617" priority="254" stopIfTrue="1" operator="lessThan">
      <formula>$H$19</formula>
    </cfRule>
  </conditionalFormatting>
  <conditionalFormatting sqref="I20">
    <cfRule type="cellIs" dxfId="1616" priority="255" stopIfTrue="1" operator="equal">
      <formula>$H$20</formula>
    </cfRule>
    <cfRule type="cellIs" dxfId="1615" priority="256" stopIfTrue="1" operator="lessThan">
      <formula>$H$20</formula>
    </cfRule>
  </conditionalFormatting>
  <conditionalFormatting sqref="I21">
    <cfRule type="cellIs" dxfId="1614" priority="257" stopIfTrue="1" operator="equal">
      <formula>$H$21</formula>
    </cfRule>
    <cfRule type="cellIs" dxfId="1613" priority="258" stopIfTrue="1" operator="lessThan">
      <formula>$H$21</formula>
    </cfRule>
  </conditionalFormatting>
  <conditionalFormatting sqref="I22">
    <cfRule type="cellIs" dxfId="1612" priority="260" stopIfTrue="1" operator="lessThan">
      <formula>$H$22</formula>
    </cfRule>
    <cfRule type="cellIs" dxfId="1611" priority="259" stopIfTrue="1" operator="equal">
      <formula>$H$22</formula>
    </cfRule>
  </conditionalFormatting>
  <conditionalFormatting sqref="I23">
    <cfRule type="cellIs" dxfId="1610" priority="262" stopIfTrue="1" operator="lessThan">
      <formula>$H$23</formula>
    </cfRule>
    <cfRule type="cellIs" dxfId="1609" priority="261" stopIfTrue="1" operator="equal">
      <formula>$H$23</formula>
    </cfRule>
  </conditionalFormatting>
  <conditionalFormatting sqref="I24">
    <cfRule type="cellIs" dxfId="1608" priority="280" stopIfTrue="1" operator="lessThan">
      <formula>$H$24</formula>
    </cfRule>
    <cfRule type="cellIs" dxfId="1607" priority="279" stopIfTrue="1" operator="equal">
      <formula>$H$24</formula>
    </cfRule>
  </conditionalFormatting>
  <conditionalFormatting sqref="I25">
    <cfRule type="cellIs" dxfId="1606" priority="263" stopIfTrue="1" operator="equal">
      <formula>$H$25</formula>
    </cfRule>
    <cfRule type="cellIs" dxfId="1605" priority="264" stopIfTrue="1" operator="lessThan">
      <formula>$H$25</formula>
    </cfRule>
  </conditionalFormatting>
  <conditionalFormatting sqref="I26">
    <cfRule type="cellIs" dxfId="1604" priority="266" stopIfTrue="1" operator="lessThan">
      <formula>$H$26</formula>
    </cfRule>
    <cfRule type="cellIs" dxfId="1603" priority="265" stopIfTrue="1" operator="equal">
      <formula>$H$26</formula>
    </cfRule>
  </conditionalFormatting>
  <conditionalFormatting sqref="I27">
    <cfRule type="cellIs" dxfId="1602" priority="267" stopIfTrue="1" operator="equal">
      <formula>$H$27</formula>
    </cfRule>
    <cfRule type="cellIs" dxfId="1601" priority="268" stopIfTrue="1" operator="lessThan">
      <formula>$H$27</formula>
    </cfRule>
  </conditionalFormatting>
  <conditionalFormatting sqref="I28">
    <cfRule type="cellIs" dxfId="1600" priority="269" stopIfTrue="1" operator="equal">
      <formula>$H$28</formula>
    </cfRule>
    <cfRule type="cellIs" dxfId="1599" priority="270" stopIfTrue="1" operator="lessThan">
      <formula>$H$28</formula>
    </cfRule>
  </conditionalFormatting>
  <conditionalFormatting sqref="J4">
    <cfRule type="cellIs" dxfId="1598" priority="22" stopIfTrue="1" operator="equal">
      <formula>$I$4</formula>
    </cfRule>
  </conditionalFormatting>
  <conditionalFormatting sqref="J5">
    <cfRule type="cellIs" dxfId="1597" priority="9" stopIfTrue="1" operator="lessThan">
      <formula>$I$5</formula>
    </cfRule>
    <cfRule type="cellIs" dxfId="1596" priority="8" stopIfTrue="1" operator="equal">
      <formula>$I$5</formula>
    </cfRule>
  </conditionalFormatting>
  <conditionalFormatting sqref="J6">
    <cfRule type="cellIs" dxfId="1595" priority="35" stopIfTrue="1" operator="equal">
      <formula>$I$6</formula>
    </cfRule>
    <cfRule type="cellIs" dxfId="1594" priority="36" stopIfTrue="1" operator="lessThan">
      <formula>$I$6</formula>
    </cfRule>
  </conditionalFormatting>
  <conditionalFormatting sqref="J7">
    <cfRule type="cellIs" dxfId="1593" priority="47" stopIfTrue="1" operator="equal">
      <formula>$I$7</formula>
    </cfRule>
    <cfRule type="cellIs" dxfId="1592" priority="48" stopIfTrue="1" operator="lessThan">
      <formula>$I$7</formula>
    </cfRule>
  </conditionalFormatting>
  <conditionalFormatting sqref="J8">
    <cfRule type="cellIs" dxfId="1591" priority="62" stopIfTrue="1" operator="lessThan">
      <formula>$I$8</formula>
    </cfRule>
    <cfRule type="cellIs" dxfId="1590" priority="61" stopIfTrue="1" operator="equal">
      <formula>$I$8</formula>
    </cfRule>
  </conditionalFormatting>
  <conditionalFormatting sqref="J9">
    <cfRule type="cellIs" dxfId="1589" priority="76" stopIfTrue="1" operator="lessThan">
      <formula>$I$9</formula>
    </cfRule>
    <cfRule type="cellIs" dxfId="1588" priority="75" stopIfTrue="1" operator="equal">
      <formula>$I$9</formula>
    </cfRule>
  </conditionalFormatting>
  <conditionalFormatting sqref="J10">
    <cfRule type="cellIs" dxfId="1587" priority="90" stopIfTrue="1" operator="lessThan">
      <formula>$I$10</formula>
    </cfRule>
    <cfRule type="cellIs" dxfId="1586" priority="89" stopIfTrue="1" operator="equal">
      <formula>$I$10</formula>
    </cfRule>
  </conditionalFormatting>
  <conditionalFormatting sqref="J11">
    <cfRule type="cellIs" dxfId="1585" priority="103" stopIfTrue="1" operator="equal">
      <formula>$I$11</formula>
    </cfRule>
    <cfRule type="cellIs" dxfId="1584" priority="104" stopIfTrue="1" operator="lessThan">
      <formula>$I$11</formula>
    </cfRule>
  </conditionalFormatting>
  <conditionalFormatting sqref="J12">
    <cfRule type="cellIs" dxfId="1583" priority="118" stopIfTrue="1" operator="lessThan">
      <formula>$I$12</formula>
    </cfRule>
    <cfRule type="cellIs" dxfId="1582" priority="117" stopIfTrue="1" operator="equal">
      <formula>$I$12</formula>
    </cfRule>
  </conditionalFormatting>
  <conditionalFormatting sqref="J13">
    <cfRule type="cellIs" dxfId="1581" priority="287" stopIfTrue="1" operator="equal">
      <formula>$I$13</formula>
    </cfRule>
    <cfRule type="cellIs" dxfId="1580" priority="288" stopIfTrue="1" operator="lessThan">
      <formula>$I$13</formula>
    </cfRule>
  </conditionalFormatting>
  <conditionalFormatting sqref="J14">
    <cfRule type="cellIs" dxfId="1579" priority="289" stopIfTrue="1" operator="equal">
      <formula>$I$14</formula>
    </cfRule>
    <cfRule type="cellIs" dxfId="1578" priority="290" stopIfTrue="1" operator="lessThan">
      <formula>$I$14</formula>
    </cfRule>
  </conditionalFormatting>
  <conditionalFormatting sqref="J15">
    <cfRule type="cellIs" dxfId="1577" priority="292" stopIfTrue="1" operator="lessThan">
      <formula>$I$15</formula>
    </cfRule>
    <cfRule type="cellIs" dxfId="1576" priority="291" stopIfTrue="1" operator="equal">
      <formula>$I$15</formula>
    </cfRule>
  </conditionalFormatting>
  <conditionalFormatting sqref="J16">
    <cfRule type="cellIs" dxfId="1575" priority="293" stopIfTrue="1" operator="equal">
      <formula>$I$16</formula>
    </cfRule>
    <cfRule type="cellIs" dxfId="1574" priority="294" stopIfTrue="1" operator="lessThan">
      <formula>$I$16</formula>
    </cfRule>
  </conditionalFormatting>
  <conditionalFormatting sqref="J17">
    <cfRule type="cellIs" dxfId="1573" priority="296" stopIfTrue="1" operator="lessThan">
      <formula>$I$17</formula>
    </cfRule>
    <cfRule type="cellIs" dxfId="1572" priority="295" stopIfTrue="1" operator="equal">
      <formula>$I$17</formula>
    </cfRule>
  </conditionalFormatting>
  <conditionalFormatting sqref="J18">
    <cfRule type="cellIs" dxfId="1571" priority="297" stopIfTrue="1" operator="equal">
      <formula>$I$18</formula>
    </cfRule>
    <cfRule type="cellIs" dxfId="1570" priority="298" stopIfTrue="1" operator="lessThan">
      <formula>$I$18</formula>
    </cfRule>
  </conditionalFormatting>
  <conditionalFormatting sqref="J19">
    <cfRule type="cellIs" dxfId="1569" priority="300" stopIfTrue="1" operator="lessThan">
      <formula>$I$19</formula>
    </cfRule>
    <cfRule type="cellIs" dxfId="1568" priority="299" stopIfTrue="1" operator="equal">
      <formula>$I$19</formula>
    </cfRule>
  </conditionalFormatting>
  <conditionalFormatting sqref="J20">
    <cfRule type="cellIs" dxfId="1567" priority="302" stopIfTrue="1" operator="lessThan">
      <formula>$I$20</formula>
    </cfRule>
    <cfRule type="cellIs" dxfId="1566" priority="301" stopIfTrue="1" operator="equal">
      <formula>$I$20</formula>
    </cfRule>
  </conditionalFormatting>
  <conditionalFormatting sqref="J21">
    <cfRule type="cellIs" dxfId="1565" priority="303" stopIfTrue="1" operator="equal">
      <formula>$I$21</formula>
    </cfRule>
    <cfRule type="cellIs" dxfId="1564" priority="304" stopIfTrue="1" operator="lessThan">
      <formula>$I$21</formula>
    </cfRule>
  </conditionalFormatting>
  <conditionalFormatting sqref="J22">
    <cfRule type="cellIs" dxfId="1563" priority="306" stopIfTrue="1" operator="lessThan">
      <formula>$I$22</formula>
    </cfRule>
    <cfRule type="cellIs" dxfId="1562" priority="305" stopIfTrue="1" operator="equal">
      <formula>$I$22</formula>
    </cfRule>
  </conditionalFormatting>
  <conditionalFormatting sqref="J23">
    <cfRule type="cellIs" dxfId="1561" priority="308" stopIfTrue="1" operator="lessThan">
      <formula>$I$23</formula>
    </cfRule>
    <cfRule type="cellIs" dxfId="1560" priority="307" stopIfTrue="1" operator="equal">
      <formula>$I$23</formula>
    </cfRule>
  </conditionalFormatting>
  <conditionalFormatting sqref="J24">
    <cfRule type="cellIs" dxfId="1559" priority="310" stopIfTrue="1" operator="lessThan">
      <formula>$I$24</formula>
    </cfRule>
    <cfRule type="cellIs" dxfId="1558" priority="309" stopIfTrue="1" operator="equal">
      <formula>$I$24</formula>
    </cfRule>
  </conditionalFormatting>
  <conditionalFormatting sqref="J25">
    <cfRule type="cellIs" dxfId="1557" priority="312" stopIfTrue="1" operator="lessThan">
      <formula>$I$25</formula>
    </cfRule>
    <cfRule type="cellIs" dxfId="1556" priority="311" stopIfTrue="1" operator="equal">
      <formula>$I$25</formula>
    </cfRule>
  </conditionalFormatting>
  <conditionalFormatting sqref="J26">
    <cfRule type="cellIs" dxfId="1555" priority="314" stopIfTrue="1" operator="lessThan">
      <formula>$I$26</formula>
    </cfRule>
    <cfRule type="cellIs" dxfId="1554" priority="313" stopIfTrue="1" operator="equal">
      <formula>$I$26</formula>
    </cfRule>
  </conditionalFormatting>
  <conditionalFormatting sqref="J27">
    <cfRule type="cellIs" dxfId="1553" priority="316" stopIfTrue="1" operator="lessThan">
      <formula>$I$27</formula>
    </cfRule>
    <cfRule type="cellIs" dxfId="1552" priority="315" stopIfTrue="1" operator="equal">
      <formula>$I$27</formula>
    </cfRule>
  </conditionalFormatting>
  <conditionalFormatting sqref="J28">
    <cfRule type="cellIs" dxfId="1551" priority="319" stopIfTrue="1" operator="lessThan">
      <formula>$I$28</formula>
    </cfRule>
    <cfRule type="cellIs" dxfId="1550" priority="318" stopIfTrue="1" operator="equal">
      <formula>$I$28</formula>
    </cfRule>
  </conditionalFormatting>
  <conditionalFormatting sqref="J29">
    <cfRule type="cellIs" dxfId="1549" priority="320" stopIfTrue="1" operator="equal">
      <formula>$I$29</formula>
    </cfRule>
    <cfRule type="cellIs" dxfId="1548" priority="321" stopIfTrue="1" operator="lessThan">
      <formula>$I$29</formula>
    </cfRule>
  </conditionalFormatting>
  <conditionalFormatting sqref="K4">
    <cfRule type="cellIs" dxfId="1547" priority="23" stopIfTrue="1" operator="lessThan">
      <formula>$J$4</formula>
    </cfRule>
    <cfRule type="cellIs" dxfId="1546" priority="24" stopIfTrue="1" operator="equal">
      <formula>$J$4</formula>
    </cfRule>
  </conditionalFormatting>
  <conditionalFormatting sqref="K5">
    <cfRule type="cellIs" dxfId="1545" priority="11" stopIfTrue="1" operator="lessThan">
      <formula>$J$5</formula>
    </cfRule>
    <cfRule type="cellIs" dxfId="1544" priority="10" stopIfTrue="1" operator="equal">
      <formula>$J$5</formula>
    </cfRule>
  </conditionalFormatting>
  <conditionalFormatting sqref="K6">
    <cfRule type="cellIs" dxfId="1543" priority="38" stopIfTrue="1" operator="lessThan">
      <formula>$J$6</formula>
    </cfRule>
    <cfRule type="cellIs" dxfId="1542" priority="37" stopIfTrue="1" operator="equal">
      <formula>$J$6</formula>
    </cfRule>
  </conditionalFormatting>
  <conditionalFormatting sqref="K7">
    <cfRule type="cellIs" dxfId="1541" priority="50" stopIfTrue="1" operator="lessThan">
      <formula>$J$7</formula>
    </cfRule>
    <cfRule type="cellIs" dxfId="1540" priority="49" stopIfTrue="1" operator="equal">
      <formula>$J$7</formula>
    </cfRule>
  </conditionalFormatting>
  <conditionalFormatting sqref="K8">
    <cfRule type="cellIs" dxfId="1539" priority="64" stopIfTrue="1" operator="lessThan">
      <formula>$J$8</formula>
    </cfRule>
    <cfRule type="cellIs" dxfId="1538" priority="63" stopIfTrue="1" operator="equal">
      <formula>$J$8</formula>
    </cfRule>
  </conditionalFormatting>
  <conditionalFormatting sqref="K9">
    <cfRule type="cellIs" dxfId="1537" priority="78" stopIfTrue="1" operator="lessThan">
      <formula>$J$9</formula>
    </cfRule>
    <cfRule type="cellIs" dxfId="1536" priority="77" stopIfTrue="1" operator="equal">
      <formula>$J$9</formula>
    </cfRule>
  </conditionalFormatting>
  <conditionalFormatting sqref="K10">
    <cfRule type="cellIs" dxfId="1535" priority="92" stopIfTrue="1" operator="lessThan">
      <formula>$J$10</formula>
    </cfRule>
    <cfRule type="cellIs" dxfId="1534" priority="91" stopIfTrue="1" operator="equal">
      <formula>$J$10</formula>
    </cfRule>
  </conditionalFormatting>
  <conditionalFormatting sqref="K11">
    <cfRule type="cellIs" dxfId="1533" priority="106" stopIfTrue="1" operator="lessThan">
      <formula>$J$11</formula>
    </cfRule>
    <cfRule type="cellIs" dxfId="1532" priority="105" stopIfTrue="1" operator="equal">
      <formula>$J$11</formula>
    </cfRule>
  </conditionalFormatting>
  <conditionalFormatting sqref="K12">
    <cfRule type="cellIs" dxfId="1531" priority="119" stopIfTrue="1" operator="equal">
      <formula>$J$12</formula>
    </cfRule>
    <cfRule type="cellIs" dxfId="1530" priority="120" stopIfTrue="1" operator="lessThan">
      <formula>$J$12</formula>
    </cfRule>
  </conditionalFormatting>
  <conditionalFormatting sqref="K13">
    <cfRule type="cellIs" dxfId="1529" priority="323" stopIfTrue="1" operator="lessThan">
      <formula>$J$13</formula>
    </cfRule>
    <cfRule type="cellIs" dxfId="1528" priority="322" stopIfTrue="1" operator="equal">
      <formula>$J$13</formula>
    </cfRule>
  </conditionalFormatting>
  <conditionalFormatting sqref="K14">
    <cfRule type="cellIs" dxfId="1527" priority="325" stopIfTrue="1" operator="lessThan">
      <formula>$J$14</formula>
    </cfRule>
    <cfRule type="cellIs" dxfId="1526" priority="324" stopIfTrue="1" operator="equal">
      <formula>$J$14</formula>
    </cfRule>
  </conditionalFormatting>
  <conditionalFormatting sqref="K15">
    <cfRule type="cellIs" dxfId="1525" priority="326" stopIfTrue="1" operator="equal">
      <formula>$J$15</formula>
    </cfRule>
    <cfRule type="cellIs" dxfId="1524" priority="327" stopIfTrue="1" operator="lessThan">
      <formula>$J$15</formula>
    </cfRule>
  </conditionalFormatting>
  <conditionalFormatting sqref="K16">
    <cfRule type="cellIs" dxfId="1523" priority="328" stopIfTrue="1" operator="equal">
      <formula>$J$16</formula>
    </cfRule>
    <cfRule type="cellIs" dxfId="1522" priority="329" stopIfTrue="1" operator="lessThan">
      <formula>$J$16</formula>
    </cfRule>
  </conditionalFormatting>
  <conditionalFormatting sqref="K17">
    <cfRule type="cellIs" dxfId="1521" priority="330" stopIfTrue="1" operator="equal">
      <formula>$J$17</formula>
    </cfRule>
    <cfRule type="cellIs" dxfId="1520" priority="331" stopIfTrue="1" operator="lessThan">
      <formula>$J$17</formula>
    </cfRule>
  </conditionalFormatting>
  <conditionalFormatting sqref="K18">
    <cfRule type="cellIs" dxfId="1519" priority="332" stopIfTrue="1" operator="equal">
      <formula>$J$18</formula>
    </cfRule>
    <cfRule type="cellIs" dxfId="1518" priority="333" stopIfTrue="1" operator="lessThan">
      <formula>$J$18</formula>
    </cfRule>
  </conditionalFormatting>
  <conditionalFormatting sqref="K19">
    <cfRule type="cellIs" dxfId="1517" priority="334" stopIfTrue="1" operator="equal">
      <formula>$J$19</formula>
    </cfRule>
    <cfRule type="cellIs" dxfId="1516" priority="335" stopIfTrue="1" operator="lessThan">
      <formula>$J$19</formula>
    </cfRule>
  </conditionalFormatting>
  <conditionalFormatting sqref="K20">
    <cfRule type="cellIs" dxfId="1515" priority="336" stopIfTrue="1" operator="equal">
      <formula>$J$20</formula>
    </cfRule>
    <cfRule type="cellIs" dxfId="1514" priority="337" stopIfTrue="1" operator="lessThan">
      <formula>$J$20</formula>
    </cfRule>
  </conditionalFormatting>
  <conditionalFormatting sqref="K21">
    <cfRule type="cellIs" dxfId="1513" priority="338" stopIfTrue="1" operator="equal">
      <formula>$J$21</formula>
    </cfRule>
    <cfRule type="cellIs" dxfId="1512" priority="339" stopIfTrue="1" operator="lessThan">
      <formula>$J$21</formula>
    </cfRule>
  </conditionalFormatting>
  <conditionalFormatting sqref="K22">
    <cfRule type="cellIs" dxfId="1511" priority="340" stopIfTrue="1" operator="equal">
      <formula>$J$22</formula>
    </cfRule>
    <cfRule type="cellIs" dxfId="1510" priority="341" stopIfTrue="1" operator="lessThan">
      <formula>$J$22</formula>
    </cfRule>
  </conditionalFormatting>
  <conditionalFormatting sqref="K23">
    <cfRule type="cellIs" dxfId="1509" priority="343" stopIfTrue="1" operator="lessThan">
      <formula>$J$23</formula>
    </cfRule>
    <cfRule type="cellIs" dxfId="1508" priority="342" stopIfTrue="1" operator="equal">
      <formula>$J$23</formula>
    </cfRule>
  </conditionalFormatting>
  <conditionalFormatting sqref="K24">
    <cfRule type="cellIs" dxfId="1507" priority="344" stopIfTrue="1" operator="equal">
      <formula>$J$24</formula>
    </cfRule>
    <cfRule type="cellIs" dxfId="1506" priority="345" stopIfTrue="1" operator="lessThan">
      <formula>$J$24</formula>
    </cfRule>
  </conditionalFormatting>
  <conditionalFormatting sqref="K25">
    <cfRule type="cellIs" dxfId="1505" priority="346" stopIfTrue="1" operator="equal">
      <formula>$J$25</formula>
    </cfRule>
    <cfRule type="cellIs" dxfId="1504" priority="347" stopIfTrue="1" operator="lessThan">
      <formula>$J$25</formula>
    </cfRule>
  </conditionalFormatting>
  <conditionalFormatting sqref="K26">
    <cfRule type="cellIs" dxfId="1503" priority="348" stopIfTrue="1" operator="equal">
      <formula>$J$26</formula>
    </cfRule>
    <cfRule type="cellIs" dxfId="1502" priority="349" stopIfTrue="1" operator="lessThan">
      <formula>$J$26</formula>
    </cfRule>
  </conditionalFormatting>
  <conditionalFormatting sqref="K27">
    <cfRule type="cellIs" dxfId="1501" priority="350" stopIfTrue="1" operator="equal">
      <formula>$J$27</formula>
    </cfRule>
    <cfRule type="cellIs" dxfId="1500" priority="351" stopIfTrue="1" operator="lessThan">
      <formula>$J$27</formula>
    </cfRule>
  </conditionalFormatting>
  <conditionalFormatting sqref="K28">
    <cfRule type="cellIs" dxfId="1499" priority="352" stopIfTrue="1" operator="equal">
      <formula>$J$28</formula>
    </cfRule>
    <cfRule type="cellIs" dxfId="1498" priority="353" stopIfTrue="1" operator="lessThan">
      <formula>$J$28</formula>
    </cfRule>
  </conditionalFormatting>
  <conditionalFormatting sqref="L4">
    <cfRule type="cellIs" dxfId="1497" priority="354" stopIfTrue="1" operator="equal">
      <formula>$K$4</formula>
    </cfRule>
    <cfRule type="cellIs" dxfId="1496" priority="355" stopIfTrue="1" operator="lessThan">
      <formula>$K$4</formula>
    </cfRule>
  </conditionalFormatting>
  <conditionalFormatting sqref="L5">
    <cfRule type="cellIs" dxfId="1495" priority="356" stopIfTrue="1" operator="equal">
      <formula>$K$5</formula>
    </cfRule>
    <cfRule type="cellIs" dxfId="1494" priority="357" stopIfTrue="1" operator="lessThan">
      <formula>$K$5</formula>
    </cfRule>
  </conditionalFormatting>
  <conditionalFormatting sqref="L6">
    <cfRule type="cellIs" dxfId="1493" priority="358" stopIfTrue="1" operator="equal">
      <formula>$K$6</formula>
    </cfRule>
    <cfRule type="cellIs" dxfId="1492" priority="359" stopIfTrue="1" operator="lessThan">
      <formula>$K$6</formula>
    </cfRule>
  </conditionalFormatting>
  <conditionalFormatting sqref="L7">
    <cfRule type="cellIs" dxfId="1491" priority="360" stopIfTrue="1" operator="equal">
      <formula>$K$7</formula>
    </cfRule>
    <cfRule type="cellIs" dxfId="1490" priority="361" stopIfTrue="1" operator="lessThan">
      <formula>$K$7</formula>
    </cfRule>
  </conditionalFormatting>
  <conditionalFormatting sqref="L8">
    <cfRule type="cellIs" dxfId="1489" priority="363" stopIfTrue="1" operator="lessThan">
      <formula>$K$8</formula>
    </cfRule>
    <cfRule type="cellIs" dxfId="1488" priority="362" stopIfTrue="1" operator="equal">
      <formula>$K$8</formula>
    </cfRule>
  </conditionalFormatting>
  <conditionalFormatting sqref="L9">
    <cfRule type="cellIs" dxfId="1487" priority="365" stopIfTrue="1" operator="lessThan">
      <formula>$K$9</formula>
    </cfRule>
    <cfRule type="cellIs" dxfId="1486" priority="364" stopIfTrue="1" operator="equal">
      <formula>$K$9</formula>
    </cfRule>
  </conditionalFormatting>
  <conditionalFormatting sqref="L10">
    <cfRule type="cellIs" dxfId="1485" priority="366" stopIfTrue="1" operator="equal">
      <formula>$K$10</formula>
    </cfRule>
    <cfRule type="cellIs" dxfId="1484" priority="367" stopIfTrue="1" operator="lessThan">
      <formula>$K$10</formula>
    </cfRule>
  </conditionalFormatting>
  <conditionalFormatting sqref="L11">
    <cfRule type="cellIs" dxfId="1483" priority="368" stopIfTrue="1" operator="equal">
      <formula>$K$11</formula>
    </cfRule>
    <cfRule type="cellIs" dxfId="1482" priority="369" stopIfTrue="1" operator="lessThan">
      <formula>$K$11</formula>
    </cfRule>
  </conditionalFormatting>
  <conditionalFormatting sqref="L12">
    <cfRule type="cellIs" dxfId="1481" priority="370" stopIfTrue="1" operator="equal">
      <formula>$K$12</formula>
    </cfRule>
    <cfRule type="cellIs" dxfId="1480" priority="371" stopIfTrue="1" operator="lessThan">
      <formula>$K$12</formula>
    </cfRule>
  </conditionalFormatting>
  <conditionalFormatting sqref="L13">
    <cfRule type="cellIs" dxfId="1479" priority="372" stopIfTrue="1" operator="equal">
      <formula>$K$13</formula>
    </cfRule>
    <cfRule type="cellIs" dxfId="1478" priority="373" stopIfTrue="1" operator="lessThan">
      <formula>$K$13</formula>
    </cfRule>
  </conditionalFormatting>
  <conditionalFormatting sqref="L14">
    <cfRule type="cellIs" dxfId="1477" priority="374" stopIfTrue="1" operator="equal">
      <formula>$K$14</formula>
    </cfRule>
    <cfRule type="cellIs" dxfId="1476" priority="375" stopIfTrue="1" operator="lessThan">
      <formula>$K$14</formula>
    </cfRule>
  </conditionalFormatting>
  <conditionalFormatting sqref="L15">
    <cfRule type="cellIs" dxfId="1475" priority="376" stopIfTrue="1" operator="equal">
      <formula>$K$15</formula>
    </cfRule>
    <cfRule type="cellIs" dxfId="1474" priority="377" stopIfTrue="1" operator="lessThan">
      <formula>$K$15</formula>
    </cfRule>
  </conditionalFormatting>
  <conditionalFormatting sqref="L16">
    <cfRule type="cellIs" dxfId="1473" priority="378" stopIfTrue="1" operator="equal">
      <formula>$K$16</formula>
    </cfRule>
    <cfRule type="cellIs" dxfId="1472" priority="379" stopIfTrue="1" operator="lessThan">
      <formula>$K$16</formula>
    </cfRule>
  </conditionalFormatting>
  <conditionalFormatting sqref="L17">
    <cfRule type="cellIs" dxfId="1471" priority="380" stopIfTrue="1" operator="equal">
      <formula>$K$17</formula>
    </cfRule>
    <cfRule type="cellIs" dxfId="1470" priority="381" stopIfTrue="1" operator="lessThan">
      <formula>$K$17</formula>
    </cfRule>
  </conditionalFormatting>
  <conditionalFormatting sqref="L18">
    <cfRule type="cellIs" dxfId="1469" priority="383" stopIfTrue="1" operator="lessThan">
      <formula>$K$18</formula>
    </cfRule>
    <cfRule type="cellIs" dxfId="1468" priority="382" stopIfTrue="1" operator="equal">
      <formula>$K$18</formula>
    </cfRule>
  </conditionalFormatting>
  <conditionalFormatting sqref="L19">
    <cfRule type="cellIs" dxfId="1467" priority="385" stopIfTrue="1" operator="lessThan">
      <formula>$K$19</formula>
    </cfRule>
    <cfRule type="cellIs" dxfId="1466" priority="384" stopIfTrue="1" operator="equal">
      <formula>$K$19</formula>
    </cfRule>
  </conditionalFormatting>
  <conditionalFormatting sqref="L20">
    <cfRule type="cellIs" dxfId="1465" priority="386" stopIfTrue="1" operator="equal">
      <formula>$K$20</formula>
    </cfRule>
    <cfRule type="cellIs" dxfId="1464" priority="387" stopIfTrue="1" operator="lessThan">
      <formula>$K$20</formula>
    </cfRule>
  </conditionalFormatting>
  <conditionalFormatting sqref="L21">
    <cfRule type="cellIs" dxfId="1463" priority="388" stopIfTrue="1" operator="equal">
      <formula>$K$21</formula>
    </cfRule>
    <cfRule type="cellIs" dxfId="1462" priority="389" stopIfTrue="1" operator="lessThan">
      <formula>$K$21</formula>
    </cfRule>
  </conditionalFormatting>
  <conditionalFormatting sqref="L22">
    <cfRule type="cellIs" dxfId="1461" priority="390" stopIfTrue="1" operator="equal">
      <formula>$K$22</formula>
    </cfRule>
    <cfRule type="cellIs" dxfId="1460" priority="391" stopIfTrue="1" operator="lessThan">
      <formula>$K$22</formula>
    </cfRule>
  </conditionalFormatting>
  <conditionalFormatting sqref="L23">
    <cfRule type="cellIs" dxfId="1459" priority="392" stopIfTrue="1" operator="equal">
      <formula>$K$23</formula>
    </cfRule>
    <cfRule type="cellIs" dxfId="1458" priority="393" stopIfTrue="1" operator="lessThan">
      <formula>$K$23</formula>
    </cfRule>
  </conditionalFormatting>
  <conditionalFormatting sqref="L24">
    <cfRule type="cellIs" dxfId="1457" priority="394" stopIfTrue="1" operator="equal">
      <formula>$K$24</formula>
    </cfRule>
    <cfRule type="cellIs" dxfId="1456" priority="395" stopIfTrue="1" operator="lessThan">
      <formula>$K$24</formula>
    </cfRule>
  </conditionalFormatting>
  <conditionalFormatting sqref="L25">
    <cfRule type="cellIs" dxfId="1455" priority="396" stopIfTrue="1" operator="equal">
      <formula>$K$25</formula>
    </cfRule>
    <cfRule type="cellIs" dxfId="1454" priority="397" stopIfTrue="1" operator="lessThan">
      <formula>$K$25</formula>
    </cfRule>
  </conditionalFormatting>
  <conditionalFormatting sqref="L26">
    <cfRule type="cellIs" dxfId="1453" priority="398" stopIfTrue="1" operator="equal">
      <formula>$K$26</formula>
    </cfRule>
    <cfRule type="cellIs" dxfId="1452" priority="399" stopIfTrue="1" operator="lessThan">
      <formula>$K$26</formula>
    </cfRule>
  </conditionalFormatting>
  <conditionalFormatting sqref="L27">
    <cfRule type="cellIs" dxfId="1451" priority="400" stopIfTrue="1" operator="equal">
      <formula>$K$27</formula>
    </cfRule>
    <cfRule type="cellIs" dxfId="1450" priority="401" stopIfTrue="1" operator="lessThan">
      <formula>$K$27</formula>
    </cfRule>
  </conditionalFormatting>
  <conditionalFormatting sqref="L28">
    <cfRule type="cellIs" dxfId="1449" priority="403" stopIfTrue="1" operator="equal">
      <formula>$K$28</formula>
    </cfRule>
    <cfRule type="cellIs" dxfId="1448" priority="402" stopIfTrue="1" operator="lessThan">
      <formula>$K$28</formula>
    </cfRule>
  </conditionalFormatting>
  <conditionalFormatting sqref="M4">
    <cfRule type="cellIs" dxfId="1447" priority="405" stopIfTrue="1" operator="lessThan">
      <formula>$L$4</formula>
    </cfRule>
    <cfRule type="cellIs" dxfId="1446" priority="404" stopIfTrue="1" operator="equal">
      <formula>$L$4</formula>
    </cfRule>
  </conditionalFormatting>
  <conditionalFormatting sqref="M5">
    <cfRule type="cellIs" dxfId="1445" priority="406" stopIfTrue="1" operator="equal">
      <formula>$L$5</formula>
    </cfRule>
    <cfRule type="cellIs" dxfId="1444" priority="407" stopIfTrue="1" operator="lessThan">
      <formula>$L$5</formula>
    </cfRule>
  </conditionalFormatting>
  <conditionalFormatting sqref="M6">
    <cfRule type="cellIs" dxfId="1443" priority="408" stopIfTrue="1" operator="equal">
      <formula>$L$6</formula>
    </cfRule>
    <cfRule type="cellIs" dxfId="1442" priority="409" stopIfTrue="1" operator="lessThan">
      <formula>$L$6</formula>
    </cfRule>
  </conditionalFormatting>
  <conditionalFormatting sqref="M7">
    <cfRule type="cellIs" dxfId="1441" priority="410" stopIfTrue="1" operator="equal">
      <formula>$L$7</formula>
    </cfRule>
    <cfRule type="cellIs" dxfId="1440" priority="411" stopIfTrue="1" operator="lessThan">
      <formula>$L$7</formula>
    </cfRule>
  </conditionalFormatting>
  <conditionalFormatting sqref="M8">
    <cfRule type="cellIs" dxfId="1439" priority="412" stopIfTrue="1" operator="equal">
      <formula>$L$8</formula>
    </cfRule>
    <cfRule type="cellIs" dxfId="1438" priority="413" stopIfTrue="1" operator="lessThan">
      <formula>$L$8</formula>
    </cfRule>
  </conditionalFormatting>
  <conditionalFormatting sqref="M9">
    <cfRule type="cellIs" dxfId="1437" priority="414" stopIfTrue="1" operator="equal">
      <formula>$L$9</formula>
    </cfRule>
    <cfRule type="cellIs" dxfId="1436" priority="415" stopIfTrue="1" operator="lessThan">
      <formula>$L$9</formula>
    </cfRule>
  </conditionalFormatting>
  <conditionalFormatting sqref="M10">
    <cfRule type="cellIs" dxfId="1435" priority="416" stopIfTrue="1" operator="equal">
      <formula>$L$10</formula>
    </cfRule>
    <cfRule type="cellIs" dxfId="1434" priority="417" stopIfTrue="1" operator="lessThan">
      <formula>$L$10</formula>
    </cfRule>
  </conditionalFormatting>
  <conditionalFormatting sqref="M11">
    <cfRule type="cellIs" dxfId="1433" priority="438" stopIfTrue="1" operator="equal">
      <formula>$L$11</formula>
    </cfRule>
    <cfRule type="cellIs" dxfId="1432" priority="439" stopIfTrue="1" operator="lessThan">
      <formula>$L$11</formula>
    </cfRule>
  </conditionalFormatting>
  <conditionalFormatting sqref="M12">
    <cfRule type="cellIs" dxfId="1431" priority="418" stopIfTrue="1" operator="equal">
      <formula>$L$12</formula>
    </cfRule>
    <cfRule type="cellIs" dxfId="1430" priority="419" stopIfTrue="1" operator="lessThan">
      <formula>$L$12</formula>
    </cfRule>
  </conditionalFormatting>
  <conditionalFormatting sqref="M13">
    <cfRule type="cellIs" dxfId="1429" priority="420" stopIfTrue="1" operator="equal">
      <formula>$L$13</formula>
    </cfRule>
    <cfRule type="cellIs" dxfId="1428" priority="421" stopIfTrue="1" operator="lessThan">
      <formula>$L$13</formula>
    </cfRule>
  </conditionalFormatting>
  <conditionalFormatting sqref="M14">
    <cfRule type="cellIs" dxfId="1427" priority="423" stopIfTrue="1" operator="lessThan">
      <formula>$L$14</formula>
    </cfRule>
    <cfRule type="cellIs" dxfId="1426" priority="422" stopIfTrue="1" operator="equal">
      <formula>$L$14</formula>
    </cfRule>
  </conditionalFormatting>
  <conditionalFormatting sqref="M15">
    <cfRule type="cellIs" dxfId="1425" priority="424" stopIfTrue="1" operator="equal">
      <formula>$L$15</formula>
    </cfRule>
    <cfRule type="cellIs" dxfId="1424" priority="425" stopIfTrue="1" operator="lessThan">
      <formula>$L$15</formula>
    </cfRule>
  </conditionalFormatting>
  <conditionalFormatting sqref="M16">
    <cfRule type="cellIs" dxfId="1423" priority="426" stopIfTrue="1" operator="equal">
      <formula>$L$16</formula>
    </cfRule>
    <cfRule type="cellIs" dxfId="1422" priority="427" stopIfTrue="1" operator="lessThan">
      <formula>$L$16</formula>
    </cfRule>
  </conditionalFormatting>
  <conditionalFormatting sqref="M17">
    <cfRule type="cellIs" dxfId="1421" priority="428" stopIfTrue="1" operator="equal">
      <formula>$L$17</formula>
    </cfRule>
    <cfRule type="cellIs" dxfId="1420" priority="429" stopIfTrue="1" operator="lessThan">
      <formula>$L$17</formula>
    </cfRule>
  </conditionalFormatting>
  <conditionalFormatting sqref="M18">
    <cfRule type="cellIs" dxfId="1419" priority="430" stopIfTrue="1" operator="equal">
      <formula>$L$18</formula>
    </cfRule>
    <cfRule type="cellIs" dxfId="1418" priority="431" stopIfTrue="1" operator="lessThan">
      <formula>$L$18</formula>
    </cfRule>
  </conditionalFormatting>
  <conditionalFormatting sqref="M19">
    <cfRule type="cellIs" dxfId="1417" priority="432" stopIfTrue="1" operator="equal">
      <formula>$L$19</formula>
    </cfRule>
    <cfRule type="cellIs" dxfId="1416" priority="433" stopIfTrue="1" operator="lessThan">
      <formula>$L$19</formula>
    </cfRule>
  </conditionalFormatting>
  <conditionalFormatting sqref="M20">
    <cfRule type="cellIs" dxfId="1415" priority="434" stopIfTrue="1" operator="equal">
      <formula>$L$20</formula>
    </cfRule>
    <cfRule type="cellIs" dxfId="1414" priority="435" stopIfTrue="1" operator="lessThan">
      <formula>$L$20</formula>
    </cfRule>
  </conditionalFormatting>
  <conditionalFormatting sqref="M21">
    <cfRule type="cellIs" dxfId="1413" priority="436" stopIfTrue="1" operator="equal">
      <formula>$L$21</formula>
    </cfRule>
    <cfRule type="cellIs" dxfId="1412" priority="437" stopIfTrue="1" operator="lessThan">
      <formula>$L$21</formula>
    </cfRule>
  </conditionalFormatting>
  <conditionalFormatting sqref="M22">
    <cfRule type="cellIs" dxfId="1411" priority="440" stopIfTrue="1" operator="equal">
      <formula>$L$22</formula>
    </cfRule>
    <cfRule type="cellIs" dxfId="1410" priority="441" stopIfTrue="1" operator="lessThan">
      <formula>$L$22</formula>
    </cfRule>
  </conditionalFormatting>
  <conditionalFormatting sqref="M23">
    <cfRule type="cellIs" dxfId="1409" priority="443" stopIfTrue="1" operator="lessThan">
      <formula>$L$23</formula>
    </cfRule>
    <cfRule type="cellIs" dxfId="1408" priority="442" stopIfTrue="1" operator="equal">
      <formula>$L$23</formula>
    </cfRule>
  </conditionalFormatting>
  <conditionalFormatting sqref="M24">
    <cfRule type="cellIs" dxfId="1407" priority="445" stopIfTrue="1" operator="lessThan">
      <formula>$L$24</formula>
    </cfRule>
    <cfRule type="cellIs" dxfId="1406" priority="444" stopIfTrue="1" operator="equal">
      <formula>$L$24</formula>
    </cfRule>
  </conditionalFormatting>
  <conditionalFormatting sqref="M25">
    <cfRule type="cellIs" dxfId="1405" priority="446" stopIfTrue="1" operator="equal">
      <formula>$L$25</formula>
    </cfRule>
    <cfRule type="cellIs" dxfId="1404" priority="447" stopIfTrue="1" operator="lessThan">
      <formula>$L$25</formula>
    </cfRule>
  </conditionalFormatting>
  <conditionalFormatting sqref="M26">
    <cfRule type="cellIs" dxfId="1403" priority="448" stopIfTrue="1" operator="equal">
      <formula>$L$26</formula>
    </cfRule>
    <cfRule type="cellIs" dxfId="1402" priority="449" stopIfTrue="1" operator="lessThan">
      <formula>$L$26</formula>
    </cfRule>
  </conditionalFormatting>
  <conditionalFormatting sqref="M27">
    <cfRule type="cellIs" dxfId="1401" priority="450" stopIfTrue="1" operator="equal">
      <formula>$L$27</formula>
    </cfRule>
    <cfRule type="cellIs" dxfId="1400" priority="451" stopIfTrue="1" operator="lessThan">
      <formula>$L$27</formula>
    </cfRule>
  </conditionalFormatting>
  <conditionalFormatting sqref="M28">
    <cfRule type="cellIs" dxfId="1399" priority="452" stopIfTrue="1" operator="equal">
      <formula>$L$28</formula>
    </cfRule>
    <cfRule type="cellIs" dxfId="1398" priority="453" stopIfTrue="1" operator="lessThan">
      <formula>$L$28</formula>
    </cfRule>
  </conditionalFormatting>
  <conditionalFormatting sqref="N4">
    <cfRule type="cellIs" dxfId="1397" priority="454" stopIfTrue="1" operator="lessThan">
      <formula>$M$4</formula>
    </cfRule>
    <cfRule type="cellIs" dxfId="1396" priority="455" stopIfTrue="1" operator="equal">
      <formula>$M$4</formula>
    </cfRule>
  </conditionalFormatting>
  <conditionalFormatting sqref="N5">
    <cfRule type="cellIs" dxfId="1395" priority="456" stopIfTrue="1" operator="equal">
      <formula>$M$5</formula>
    </cfRule>
    <cfRule type="cellIs" dxfId="1394" priority="457" stopIfTrue="1" operator="lessThan">
      <formula>$M$5</formula>
    </cfRule>
  </conditionalFormatting>
  <conditionalFormatting sqref="N6">
    <cfRule type="cellIs" dxfId="1393" priority="458" stopIfTrue="1" operator="equal">
      <formula>$M$6</formula>
    </cfRule>
    <cfRule type="cellIs" dxfId="1392" priority="459" stopIfTrue="1" operator="lessThan">
      <formula>$M$6</formula>
    </cfRule>
  </conditionalFormatting>
  <conditionalFormatting sqref="N7">
    <cfRule type="cellIs" dxfId="1391" priority="460" stopIfTrue="1" operator="equal">
      <formula>$M$7</formula>
    </cfRule>
    <cfRule type="cellIs" dxfId="1390" priority="461" stopIfTrue="1" operator="lessThan">
      <formula>$M$7</formula>
    </cfRule>
  </conditionalFormatting>
  <conditionalFormatting sqref="N8">
    <cfRule type="cellIs" dxfId="1389" priority="463" stopIfTrue="1" operator="lessThan">
      <formula>$M$8</formula>
    </cfRule>
    <cfRule type="cellIs" dxfId="1388" priority="462" stopIfTrue="1" operator="equal">
      <formula>$M$8</formula>
    </cfRule>
  </conditionalFormatting>
  <conditionalFormatting sqref="N9">
    <cfRule type="cellIs" dxfId="1387" priority="464" stopIfTrue="1" operator="equal">
      <formula>$M$9</formula>
    </cfRule>
    <cfRule type="cellIs" dxfId="1386" priority="465" stopIfTrue="1" operator="lessThan">
      <formula>$M$9</formula>
    </cfRule>
  </conditionalFormatting>
  <conditionalFormatting sqref="N10">
    <cfRule type="cellIs" dxfId="1385" priority="466" stopIfTrue="1" operator="equal">
      <formula>$M$10</formula>
    </cfRule>
    <cfRule type="cellIs" dxfId="1384" priority="467" stopIfTrue="1" operator="lessThan">
      <formula>$M$10</formula>
    </cfRule>
  </conditionalFormatting>
  <conditionalFormatting sqref="N11">
    <cfRule type="cellIs" dxfId="1383" priority="468" stopIfTrue="1" operator="equal">
      <formula>$M$11</formula>
    </cfRule>
    <cfRule type="cellIs" dxfId="1382" priority="469" stopIfTrue="1" operator="lessThan">
      <formula>$M$11</formula>
    </cfRule>
  </conditionalFormatting>
  <conditionalFormatting sqref="N12">
    <cfRule type="cellIs" dxfId="1381" priority="470" stopIfTrue="1" operator="equal">
      <formula>$M$12</formula>
    </cfRule>
    <cfRule type="cellIs" dxfId="1380" priority="471" stopIfTrue="1" operator="lessThan">
      <formula>$M$12</formula>
    </cfRule>
  </conditionalFormatting>
  <conditionalFormatting sqref="N13">
    <cfRule type="cellIs" dxfId="1379" priority="472" stopIfTrue="1" operator="equal">
      <formula>$M$13</formula>
    </cfRule>
    <cfRule type="cellIs" dxfId="1378" priority="473" stopIfTrue="1" operator="lessThan">
      <formula>$M$13</formula>
    </cfRule>
  </conditionalFormatting>
  <conditionalFormatting sqref="N14">
    <cfRule type="cellIs" dxfId="1377" priority="474" stopIfTrue="1" operator="equal">
      <formula>$M$14</formula>
    </cfRule>
    <cfRule type="cellIs" dxfId="1376" priority="475" stopIfTrue="1" operator="lessThan">
      <formula>$M$14</formula>
    </cfRule>
  </conditionalFormatting>
  <conditionalFormatting sqref="N15">
    <cfRule type="cellIs" dxfId="1375" priority="476" stopIfTrue="1" operator="equal">
      <formula>$M$15</formula>
    </cfRule>
    <cfRule type="cellIs" dxfId="1374" priority="477" stopIfTrue="1" operator="lessThan">
      <formula>$M$15</formula>
    </cfRule>
  </conditionalFormatting>
  <conditionalFormatting sqref="N16">
    <cfRule type="cellIs" dxfId="1373" priority="478" stopIfTrue="1" operator="equal">
      <formula>$M$16</formula>
    </cfRule>
    <cfRule type="cellIs" dxfId="1372" priority="479" stopIfTrue="1" operator="lessThan">
      <formula>$M$16</formula>
    </cfRule>
  </conditionalFormatting>
  <conditionalFormatting sqref="N17">
    <cfRule type="cellIs" dxfId="1371" priority="480" stopIfTrue="1" operator="equal">
      <formula>$M$17</formula>
    </cfRule>
    <cfRule type="cellIs" dxfId="1370" priority="481" stopIfTrue="1" operator="lessThan">
      <formula>$M$17</formula>
    </cfRule>
  </conditionalFormatting>
  <conditionalFormatting sqref="N18">
    <cfRule type="cellIs" dxfId="1369" priority="483" stopIfTrue="1" operator="lessThan">
      <formula>$M$18</formula>
    </cfRule>
    <cfRule type="cellIs" dxfId="1368" priority="482" stopIfTrue="1" operator="equal">
      <formula>$M$18</formula>
    </cfRule>
  </conditionalFormatting>
  <conditionalFormatting sqref="N19">
    <cfRule type="cellIs" dxfId="1367" priority="485" stopIfTrue="1" operator="lessThan">
      <formula>$M$19</formula>
    </cfRule>
    <cfRule type="cellIs" dxfId="1366" priority="484" stopIfTrue="1" operator="equal">
      <formula>$M$19</formula>
    </cfRule>
  </conditionalFormatting>
  <conditionalFormatting sqref="N20">
    <cfRule type="cellIs" dxfId="1365" priority="486" stopIfTrue="1" operator="equal">
      <formula>$M$20</formula>
    </cfRule>
    <cfRule type="cellIs" dxfId="1364" priority="487" stopIfTrue="1" operator="lessThan">
      <formula>$M$20</formula>
    </cfRule>
  </conditionalFormatting>
  <conditionalFormatting sqref="N21">
    <cfRule type="cellIs" dxfId="1363" priority="488" stopIfTrue="1" operator="equal">
      <formula>$M$21</formula>
    </cfRule>
    <cfRule type="cellIs" dxfId="1362" priority="489" stopIfTrue="1" operator="lessThan">
      <formula>$M$21</formula>
    </cfRule>
  </conditionalFormatting>
  <conditionalFormatting sqref="N22">
    <cfRule type="cellIs" dxfId="1361" priority="490" stopIfTrue="1" operator="equal">
      <formula>$M$22</formula>
    </cfRule>
    <cfRule type="cellIs" dxfId="1360" priority="491" stopIfTrue="1" operator="lessThan">
      <formula>$M$22</formula>
    </cfRule>
  </conditionalFormatting>
  <conditionalFormatting sqref="N23">
    <cfRule type="cellIs" dxfId="1359" priority="492" stopIfTrue="1" operator="equal">
      <formula>$M$23</formula>
    </cfRule>
    <cfRule type="cellIs" dxfId="1358" priority="493" stopIfTrue="1" operator="lessThan">
      <formula>$M$23</formula>
    </cfRule>
  </conditionalFormatting>
  <conditionalFormatting sqref="N24">
    <cfRule type="cellIs" dxfId="1357" priority="494" stopIfTrue="1" operator="equal">
      <formula>$M$24</formula>
    </cfRule>
    <cfRule type="cellIs" dxfId="1356" priority="495" stopIfTrue="1" operator="lessThan">
      <formula>$M$24</formula>
    </cfRule>
  </conditionalFormatting>
  <conditionalFormatting sqref="N25">
    <cfRule type="cellIs" dxfId="1355" priority="496" stopIfTrue="1" operator="equal">
      <formula>$M$25</formula>
    </cfRule>
    <cfRule type="cellIs" dxfId="1354" priority="497" stopIfTrue="1" operator="lessThan">
      <formula>$M$25</formula>
    </cfRule>
  </conditionalFormatting>
  <conditionalFormatting sqref="N26">
    <cfRule type="cellIs" dxfId="1353" priority="498" stopIfTrue="1" operator="equal">
      <formula>$M$26</formula>
    </cfRule>
    <cfRule type="cellIs" dxfId="1352" priority="499" stopIfTrue="1" operator="lessThan">
      <formula>$M$26</formula>
    </cfRule>
  </conditionalFormatting>
  <conditionalFormatting sqref="N27">
    <cfRule type="cellIs" dxfId="1351" priority="500" stopIfTrue="1" operator="equal">
      <formula>$M$27</formula>
    </cfRule>
    <cfRule type="cellIs" dxfId="1350" priority="501" stopIfTrue="1" operator="lessThan">
      <formula>$M$27</formula>
    </cfRule>
  </conditionalFormatting>
  <conditionalFormatting sqref="N28">
    <cfRule type="cellIs" dxfId="1349" priority="503" stopIfTrue="1" operator="lessThan">
      <formula>$M$28</formula>
    </cfRule>
    <cfRule type="cellIs" dxfId="1348" priority="502" stopIfTrue="1" operator="equal">
      <formula>$M$28</formula>
    </cfRule>
  </conditionalFormatting>
  <conditionalFormatting sqref="O4">
    <cfRule type="cellIs" dxfId="1347" priority="504" stopIfTrue="1" operator="equal">
      <formula>$N$4</formula>
    </cfRule>
    <cfRule type="cellIs" dxfId="1346" priority="505" stopIfTrue="1" operator="lessThan">
      <formula>$N$4</formula>
    </cfRule>
  </conditionalFormatting>
  <conditionalFormatting sqref="O5">
    <cfRule type="cellIs" dxfId="1345" priority="506" stopIfTrue="1" operator="equal">
      <formula>$N$5</formula>
    </cfRule>
    <cfRule type="cellIs" dxfId="1344" priority="507" stopIfTrue="1" operator="lessThan">
      <formula>$N$5</formula>
    </cfRule>
  </conditionalFormatting>
  <conditionalFormatting sqref="O6">
    <cfRule type="cellIs" dxfId="1343" priority="508" stopIfTrue="1" operator="equal">
      <formula>$N$6</formula>
    </cfRule>
    <cfRule type="cellIs" dxfId="1342" priority="509" stopIfTrue="1" operator="lessThan">
      <formula>$N$6</formula>
    </cfRule>
  </conditionalFormatting>
  <conditionalFormatting sqref="O7">
    <cfRule type="cellIs" dxfId="1341" priority="510" stopIfTrue="1" operator="equal">
      <formula>$N$7</formula>
    </cfRule>
    <cfRule type="cellIs" dxfId="1340" priority="511" stopIfTrue="1" operator="lessThan">
      <formula>$N$7</formula>
    </cfRule>
  </conditionalFormatting>
  <conditionalFormatting sqref="O8">
    <cfRule type="cellIs" dxfId="1339" priority="512" stopIfTrue="1" operator="equal">
      <formula>$N$8</formula>
    </cfRule>
    <cfRule type="cellIs" dxfId="1338" priority="513" stopIfTrue="1" operator="lessThan">
      <formula>$N$8</formula>
    </cfRule>
  </conditionalFormatting>
  <conditionalFormatting sqref="O9">
    <cfRule type="cellIs" dxfId="1337" priority="514" stopIfTrue="1" operator="equal">
      <formula>$N$9</formula>
    </cfRule>
    <cfRule type="cellIs" dxfId="1336" priority="515" stopIfTrue="1" operator="lessThan">
      <formula>$N$9</formula>
    </cfRule>
  </conditionalFormatting>
  <conditionalFormatting sqref="O10">
    <cfRule type="cellIs" dxfId="1335" priority="516" stopIfTrue="1" operator="equal">
      <formula>$N$10</formula>
    </cfRule>
    <cfRule type="cellIs" dxfId="1334" priority="517" stopIfTrue="1" operator="lessThan">
      <formula>$N$10</formula>
    </cfRule>
  </conditionalFormatting>
  <conditionalFormatting sqref="O11">
    <cfRule type="cellIs" dxfId="1333" priority="518" stopIfTrue="1" operator="equal">
      <formula>$N$11</formula>
    </cfRule>
    <cfRule type="cellIs" dxfId="1332" priority="519" stopIfTrue="1" operator="lessThan">
      <formula>$N$11</formula>
    </cfRule>
  </conditionalFormatting>
  <conditionalFormatting sqref="O12">
    <cfRule type="cellIs" dxfId="1331" priority="520" stopIfTrue="1" operator="equal">
      <formula>$N$12</formula>
    </cfRule>
    <cfRule type="cellIs" dxfId="1330" priority="521" stopIfTrue="1" operator="lessThan">
      <formula>$N$12</formula>
    </cfRule>
  </conditionalFormatting>
  <conditionalFormatting sqref="O13">
    <cfRule type="cellIs" dxfId="1329" priority="523" stopIfTrue="1" operator="lessThan">
      <formula>$N$13</formula>
    </cfRule>
    <cfRule type="cellIs" dxfId="1328" priority="522" stopIfTrue="1" operator="equal">
      <formula>$N$13</formula>
    </cfRule>
  </conditionalFormatting>
  <conditionalFormatting sqref="O14">
    <cfRule type="cellIs" dxfId="1327" priority="525" stopIfTrue="1" operator="lessThan">
      <formula>$N$14</formula>
    </cfRule>
    <cfRule type="cellIs" dxfId="1326" priority="524" stopIfTrue="1" operator="equal">
      <formula>$N$14</formula>
    </cfRule>
  </conditionalFormatting>
  <conditionalFormatting sqref="O15">
    <cfRule type="cellIs" dxfId="1325" priority="526" stopIfTrue="1" operator="equal">
      <formula>$N$15</formula>
    </cfRule>
    <cfRule type="cellIs" dxfId="1324" priority="527" stopIfTrue="1" operator="lessThan">
      <formula>$N$15</formula>
    </cfRule>
  </conditionalFormatting>
  <conditionalFormatting sqref="O16">
    <cfRule type="cellIs" dxfId="1323" priority="528" stopIfTrue="1" operator="equal">
      <formula>$N$16</formula>
    </cfRule>
    <cfRule type="cellIs" dxfId="1322" priority="529" stopIfTrue="1" operator="lessThan">
      <formula>$N$16</formula>
    </cfRule>
  </conditionalFormatting>
  <conditionalFormatting sqref="O17">
    <cfRule type="cellIs" dxfId="1321" priority="530" stopIfTrue="1" operator="equal">
      <formula>$N$17</formula>
    </cfRule>
    <cfRule type="cellIs" dxfId="1320" priority="531" stopIfTrue="1" operator="lessThan">
      <formula>$N$17</formula>
    </cfRule>
  </conditionalFormatting>
  <conditionalFormatting sqref="O18">
    <cfRule type="cellIs" dxfId="1319" priority="532" stopIfTrue="1" operator="equal">
      <formula>$N$18</formula>
    </cfRule>
    <cfRule type="cellIs" dxfId="1318" priority="533" stopIfTrue="1" operator="lessThan">
      <formula>$N$18</formula>
    </cfRule>
  </conditionalFormatting>
  <conditionalFormatting sqref="O19">
    <cfRule type="cellIs" dxfId="1317" priority="534" stopIfTrue="1" operator="equal">
      <formula>$N$19</formula>
    </cfRule>
    <cfRule type="cellIs" dxfId="1316" priority="535" stopIfTrue="1" operator="lessThan">
      <formula>$N$19</formula>
    </cfRule>
  </conditionalFormatting>
  <conditionalFormatting sqref="O20">
    <cfRule type="cellIs" dxfId="1315" priority="536" stopIfTrue="1" operator="equal">
      <formula>$N$20</formula>
    </cfRule>
    <cfRule type="cellIs" dxfId="1314" priority="537" stopIfTrue="1" operator="lessThan">
      <formula>$N$20</formula>
    </cfRule>
  </conditionalFormatting>
  <conditionalFormatting sqref="O21">
    <cfRule type="cellIs" dxfId="1313" priority="538" stopIfTrue="1" operator="equal">
      <formula>$N$21</formula>
    </cfRule>
    <cfRule type="cellIs" dxfId="1312" priority="539" stopIfTrue="1" operator="lessThan">
      <formula>$N$21</formula>
    </cfRule>
  </conditionalFormatting>
  <conditionalFormatting sqref="O22">
    <cfRule type="cellIs" dxfId="1311" priority="540" stopIfTrue="1" operator="equal">
      <formula>$N$22</formula>
    </cfRule>
    <cfRule type="cellIs" dxfId="1310" priority="541" stopIfTrue="1" operator="lessThan">
      <formula>$N$22</formula>
    </cfRule>
  </conditionalFormatting>
  <conditionalFormatting sqref="O23">
    <cfRule type="cellIs" dxfId="1309" priority="543" stopIfTrue="1" operator="lessThan">
      <formula>$N$23</formula>
    </cfRule>
    <cfRule type="cellIs" dxfId="1308" priority="542" stopIfTrue="1" operator="equal">
      <formula>$N$23</formula>
    </cfRule>
  </conditionalFormatting>
  <conditionalFormatting sqref="O24">
    <cfRule type="cellIs" dxfId="1307" priority="545" stopIfTrue="1" operator="lessThan">
      <formula>$N$24</formula>
    </cfRule>
    <cfRule type="cellIs" dxfId="1306" priority="544" stopIfTrue="1" operator="equal">
      <formula>$N$24</formula>
    </cfRule>
  </conditionalFormatting>
  <conditionalFormatting sqref="O25">
    <cfRule type="cellIs" dxfId="1305" priority="546" stopIfTrue="1" operator="equal">
      <formula>$N$25</formula>
    </cfRule>
    <cfRule type="cellIs" dxfId="1304" priority="547" stopIfTrue="1" operator="lessThan">
      <formula>$N$25</formula>
    </cfRule>
  </conditionalFormatting>
  <conditionalFormatting sqref="O26">
    <cfRule type="cellIs" dxfId="1303" priority="548" stopIfTrue="1" operator="equal">
      <formula>$N$26</formula>
    </cfRule>
    <cfRule type="cellIs" dxfId="1302" priority="549" stopIfTrue="1" operator="lessThan">
      <formula>$N$26</formula>
    </cfRule>
  </conditionalFormatting>
  <conditionalFormatting sqref="O27">
    <cfRule type="cellIs" dxfId="1301" priority="550" stopIfTrue="1" operator="equal">
      <formula>$N$27</formula>
    </cfRule>
    <cfRule type="cellIs" dxfId="1300" priority="551" stopIfTrue="1" operator="lessThan">
      <formula>$N$27</formula>
    </cfRule>
  </conditionalFormatting>
  <conditionalFormatting sqref="O28">
    <cfRule type="cellIs" dxfId="1299" priority="552" stopIfTrue="1" operator="equal">
      <formula>$N$28</formula>
    </cfRule>
    <cfRule type="cellIs" dxfId="1298" priority="553" stopIfTrue="1" operator="lessThan">
      <formula>$N$28</formula>
    </cfRule>
  </conditionalFormatting>
  <conditionalFormatting sqref="P4">
    <cfRule type="cellIs" dxfId="1297" priority="554" stopIfTrue="1" operator="equal">
      <formula>$O$4</formula>
    </cfRule>
    <cfRule type="cellIs" dxfId="1296" priority="555" stopIfTrue="1" operator="lessThan">
      <formula>$O$4</formula>
    </cfRule>
  </conditionalFormatting>
  <conditionalFormatting sqref="P5">
    <cfRule type="cellIs" dxfId="1295" priority="556" stopIfTrue="1" operator="equal">
      <formula>$O$5</formula>
    </cfRule>
    <cfRule type="cellIs" dxfId="1294" priority="557" stopIfTrue="1" operator="lessThan">
      <formula>$O$5</formula>
    </cfRule>
  </conditionalFormatting>
  <conditionalFormatting sqref="P6">
    <cfRule type="cellIs" dxfId="1293" priority="558" stopIfTrue="1" operator="equal">
      <formula>$O$6</formula>
    </cfRule>
    <cfRule type="cellIs" dxfId="1292" priority="559" stopIfTrue="1" operator="lessThan">
      <formula>$O$6</formula>
    </cfRule>
  </conditionalFormatting>
  <conditionalFormatting sqref="P7">
    <cfRule type="cellIs" dxfId="1291" priority="560" stopIfTrue="1" operator="equal">
      <formula>$O$7</formula>
    </cfRule>
    <cfRule type="cellIs" dxfId="1290" priority="561" stopIfTrue="1" operator="lessThan">
      <formula>$O$7</formula>
    </cfRule>
  </conditionalFormatting>
  <conditionalFormatting sqref="P8">
    <cfRule type="cellIs" dxfId="1289" priority="563" stopIfTrue="1" operator="lessThan">
      <formula>$O$8</formula>
    </cfRule>
    <cfRule type="cellIs" dxfId="1288" priority="562" stopIfTrue="1" operator="equal">
      <formula>$O$8</formula>
    </cfRule>
  </conditionalFormatting>
  <conditionalFormatting sqref="P9">
    <cfRule type="cellIs" dxfId="1287" priority="565" stopIfTrue="1" operator="lessThan">
      <formula>$O$9</formula>
    </cfRule>
    <cfRule type="cellIs" dxfId="1286" priority="564" stopIfTrue="1" operator="equal">
      <formula>$O$9</formula>
    </cfRule>
  </conditionalFormatting>
  <conditionalFormatting sqref="P10">
    <cfRule type="cellIs" dxfId="1285" priority="566" stopIfTrue="1" operator="equal">
      <formula>$O$10</formula>
    </cfRule>
    <cfRule type="cellIs" dxfId="1284" priority="567" stopIfTrue="1" operator="lessThan">
      <formula>$O$10</formula>
    </cfRule>
  </conditionalFormatting>
  <conditionalFormatting sqref="P11">
    <cfRule type="cellIs" dxfId="1283" priority="568" stopIfTrue="1" operator="equal">
      <formula>$O$11</formula>
    </cfRule>
    <cfRule type="cellIs" dxfId="1282" priority="569" stopIfTrue="1" operator="lessThan">
      <formula>$O$11</formula>
    </cfRule>
  </conditionalFormatting>
  <conditionalFormatting sqref="P12">
    <cfRule type="cellIs" dxfId="1281" priority="570" stopIfTrue="1" operator="equal">
      <formula>$O$12</formula>
    </cfRule>
    <cfRule type="cellIs" dxfId="1280" priority="571" stopIfTrue="1" operator="lessThan">
      <formula>$O$12</formula>
    </cfRule>
  </conditionalFormatting>
  <conditionalFormatting sqref="P13">
    <cfRule type="cellIs" dxfId="1279" priority="572" stopIfTrue="1" operator="equal">
      <formula>$O$13</formula>
    </cfRule>
    <cfRule type="cellIs" dxfId="1278" priority="573" stopIfTrue="1" operator="lessThan">
      <formula>$O$13</formula>
    </cfRule>
  </conditionalFormatting>
  <conditionalFormatting sqref="P14">
    <cfRule type="cellIs" dxfId="1277" priority="574" stopIfTrue="1" operator="equal">
      <formula>$O$14</formula>
    </cfRule>
    <cfRule type="cellIs" dxfId="1276" priority="575" stopIfTrue="1" operator="lessThan">
      <formula>$O$14</formula>
    </cfRule>
  </conditionalFormatting>
  <conditionalFormatting sqref="P15">
    <cfRule type="cellIs" dxfId="1275" priority="576" stopIfTrue="1" operator="equal">
      <formula>$O$15</formula>
    </cfRule>
    <cfRule type="cellIs" dxfId="1274" priority="577" stopIfTrue="1" operator="lessThan">
      <formula>$O$15</formula>
    </cfRule>
  </conditionalFormatting>
  <conditionalFormatting sqref="P16">
    <cfRule type="cellIs" dxfId="1273" priority="578" stopIfTrue="1" operator="equal">
      <formula>$O$16</formula>
    </cfRule>
    <cfRule type="cellIs" dxfId="1272" priority="579" stopIfTrue="1" operator="lessThan">
      <formula>$O$16</formula>
    </cfRule>
  </conditionalFormatting>
  <conditionalFormatting sqref="P17">
    <cfRule type="cellIs" dxfId="1271" priority="580" stopIfTrue="1" operator="equal">
      <formula>$O$17</formula>
    </cfRule>
    <cfRule type="cellIs" dxfId="1270" priority="581" stopIfTrue="1" operator="lessThan">
      <formula>$O$17</formula>
    </cfRule>
  </conditionalFormatting>
  <conditionalFormatting sqref="P18">
    <cfRule type="cellIs" dxfId="1269" priority="583" stopIfTrue="1" operator="lessThan">
      <formula>$O$18</formula>
    </cfRule>
    <cfRule type="cellIs" dxfId="1268" priority="582" stopIfTrue="1" operator="equal">
      <formula>$O$18</formula>
    </cfRule>
  </conditionalFormatting>
  <conditionalFormatting sqref="P19">
    <cfRule type="cellIs" dxfId="1267" priority="584" stopIfTrue="1" operator="equal">
      <formula>$O$19</formula>
    </cfRule>
    <cfRule type="cellIs" dxfId="1266" priority="585" stopIfTrue="1" operator="lessThan">
      <formula>$O$19</formula>
    </cfRule>
  </conditionalFormatting>
  <conditionalFormatting sqref="P20">
    <cfRule type="cellIs" dxfId="1265" priority="586" stopIfTrue="1" operator="equal">
      <formula>$O$20</formula>
    </cfRule>
    <cfRule type="cellIs" dxfId="1264" priority="587" stopIfTrue="1" operator="lessThan">
      <formula>$O$20</formula>
    </cfRule>
  </conditionalFormatting>
  <conditionalFormatting sqref="P21">
    <cfRule type="cellIs" dxfId="1263" priority="588" stopIfTrue="1" operator="equal">
      <formula>$O$21</formula>
    </cfRule>
    <cfRule type="cellIs" dxfId="1262" priority="589" stopIfTrue="1" operator="lessThan">
      <formula>$O$21</formula>
    </cfRule>
  </conditionalFormatting>
  <conditionalFormatting sqref="P22">
    <cfRule type="cellIs" dxfId="1261" priority="590" stopIfTrue="1" operator="equal">
      <formula>$O$22</formula>
    </cfRule>
    <cfRule type="cellIs" dxfId="1260" priority="591" stopIfTrue="1" operator="lessThan">
      <formula>$O$22</formula>
    </cfRule>
  </conditionalFormatting>
  <conditionalFormatting sqref="P23">
    <cfRule type="cellIs" dxfId="1259" priority="592" stopIfTrue="1" operator="equal">
      <formula>$O$23</formula>
    </cfRule>
    <cfRule type="cellIs" dxfId="1258" priority="593" stopIfTrue="1" operator="lessThan">
      <formula>$O$23</formula>
    </cfRule>
  </conditionalFormatting>
  <conditionalFormatting sqref="P24">
    <cfRule type="cellIs" dxfId="1257" priority="594" stopIfTrue="1" operator="equal">
      <formula>$O$24</formula>
    </cfRule>
    <cfRule type="cellIs" dxfId="1256" priority="595" stopIfTrue="1" operator="lessThan">
      <formula>$O$24</formula>
    </cfRule>
  </conditionalFormatting>
  <conditionalFormatting sqref="P25">
    <cfRule type="cellIs" dxfId="1255" priority="596" stopIfTrue="1" operator="equal">
      <formula>$O$25</formula>
    </cfRule>
    <cfRule type="cellIs" dxfId="1254" priority="597" stopIfTrue="1" operator="lessThan">
      <formula>$O$25</formula>
    </cfRule>
  </conditionalFormatting>
  <conditionalFormatting sqref="P26">
    <cfRule type="cellIs" dxfId="1253" priority="598" stopIfTrue="1" operator="equal">
      <formula>$O$26</formula>
    </cfRule>
    <cfRule type="cellIs" dxfId="1252" priority="599" stopIfTrue="1" operator="lessThan">
      <formula>$O$26</formula>
    </cfRule>
  </conditionalFormatting>
  <conditionalFormatting sqref="P27">
    <cfRule type="cellIs" dxfId="1251" priority="600" stopIfTrue="1" operator="equal">
      <formula>$O$27</formula>
    </cfRule>
    <cfRule type="cellIs" dxfId="1250" priority="601" stopIfTrue="1" operator="lessThan">
      <formula>$O$27</formula>
    </cfRule>
  </conditionalFormatting>
  <conditionalFormatting sqref="P28">
    <cfRule type="cellIs" dxfId="1249" priority="603" stopIfTrue="1" operator="lessThan">
      <formula>$O$28</formula>
    </cfRule>
    <cfRule type="cellIs" dxfId="1248" priority="602" stopIfTrue="1" operator="equal">
      <formula>$O$28</formula>
    </cfRule>
  </conditionalFormatting>
  <conditionalFormatting sqref="V4:AH23">
    <cfRule type="cellIs" dxfId="1247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41"/>
  <sheetViews>
    <sheetView zoomScaleNormal="100" zoomScaleSheetLayoutView="100" workbookViewId="0">
      <selection activeCell="F2" sqref="F2"/>
    </sheetView>
  </sheetViews>
  <sheetFormatPr defaultRowHeight="14.5" x14ac:dyDescent="0.35"/>
  <cols>
    <col min="1" max="1" width="8.54296875" style="1" customWidth="1"/>
    <col min="2" max="2" width="14.81640625" customWidth="1"/>
    <col min="3" max="3" width="12.90625" customWidth="1"/>
    <col min="4" max="15" width="10.1796875" customWidth="1"/>
    <col min="16" max="16" width="9.81640625" bestFit="1" customWidth="1"/>
    <col min="17" max="17" width="11.1796875" bestFit="1" customWidth="1"/>
    <col min="18" max="18" width="9.26953125" bestFit="1" customWidth="1"/>
    <col min="19" max="19" width="3.54296875" customWidth="1"/>
  </cols>
  <sheetData>
    <row r="1" spans="1:33" ht="15" thickBot="1" x14ac:dyDescent="0.4"/>
    <row r="2" spans="1:33" s="1" customFormat="1" ht="21" customHeight="1" thickBot="1" x14ac:dyDescent="0.55000000000000004">
      <c r="A2" s="112">
        <v>1856</v>
      </c>
      <c r="B2" s="2"/>
      <c r="C2" s="2"/>
      <c r="D2" s="3">
        <f>'1850'!D2</f>
        <v>46022</v>
      </c>
      <c r="E2" s="3">
        <f>'1850'!E2</f>
        <v>46055</v>
      </c>
      <c r="F2" s="3">
        <f>'1850'!F2</f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25</v>
      </c>
      <c r="R2" s="1" t="s">
        <v>26</v>
      </c>
      <c r="S2" s="1" t="s">
        <v>27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</row>
    <row r="3" spans="1:33" s="1" customFormat="1" ht="15" thickBot="1" x14ac:dyDescent="0.4">
      <c r="A3" s="4" t="s">
        <v>2</v>
      </c>
      <c r="B3" s="5"/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</row>
    <row r="4" spans="1:33" ht="15" thickBot="1" x14ac:dyDescent="0.4">
      <c r="A4" s="371">
        <v>1</v>
      </c>
      <c r="B4" s="6" t="s">
        <v>244</v>
      </c>
      <c r="C4" s="312">
        <v>241345680</v>
      </c>
      <c r="D4" s="76">
        <v>146.869</v>
      </c>
      <c r="E4" s="7">
        <v>158.773</v>
      </c>
      <c r="F4" s="7">
        <v>167.28800000000001</v>
      </c>
      <c r="G4" s="7"/>
      <c r="H4" s="7"/>
      <c r="I4" s="7"/>
      <c r="J4" s="7"/>
      <c r="K4" s="7"/>
      <c r="L4" s="7"/>
      <c r="M4" s="8"/>
      <c r="N4" s="7"/>
      <c r="O4" s="7"/>
      <c r="P4" s="7"/>
      <c r="Q4" s="32">
        <f>P4-D4</f>
        <v>-146.869</v>
      </c>
      <c r="R4" s="9"/>
      <c r="U4" s="1">
        <v>1</v>
      </c>
      <c r="V4" s="144">
        <f t="shared" ref="V4:AG4" si="0">E4-D4</f>
        <v>11.903999999999996</v>
      </c>
      <c r="W4" s="144">
        <f t="shared" si="0"/>
        <v>8.5150000000000148</v>
      </c>
      <c r="X4" s="144">
        <f t="shared" si="0"/>
        <v>-167.28800000000001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</row>
    <row r="5" spans="1:33" x14ac:dyDescent="0.35">
      <c r="A5" s="371"/>
      <c r="B5" s="10" t="s">
        <v>245</v>
      </c>
      <c r="C5" s="313">
        <v>71869912</v>
      </c>
      <c r="D5" s="77">
        <v>72.936999999999998</v>
      </c>
      <c r="E5" s="11">
        <v>80.614000000000004</v>
      </c>
      <c r="F5" s="11">
        <v>85.210999999999999</v>
      </c>
      <c r="G5" s="11"/>
      <c r="H5" s="11"/>
      <c r="I5" s="11"/>
      <c r="J5" s="11"/>
      <c r="K5" s="11"/>
      <c r="L5" s="11"/>
      <c r="M5" s="12"/>
      <c r="N5" s="11"/>
      <c r="O5" s="11"/>
      <c r="P5" s="11"/>
      <c r="R5" s="9">
        <f>P5-D5</f>
        <v>-72.936999999999998</v>
      </c>
      <c r="U5" s="1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</row>
    <row r="6" spans="1:33" x14ac:dyDescent="0.35">
      <c r="A6" s="372">
        <v>2</v>
      </c>
      <c r="B6" s="10" t="s">
        <v>244</v>
      </c>
      <c r="C6" s="313">
        <v>241345675</v>
      </c>
      <c r="D6" s="77">
        <v>64.721000000000004</v>
      </c>
      <c r="E6" s="11">
        <v>69.341999999999999</v>
      </c>
      <c r="F6" s="11">
        <v>73.131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32">
        <f>P6-D6</f>
        <v>-64.721000000000004</v>
      </c>
      <c r="R6" s="9"/>
      <c r="U6" s="1">
        <v>2</v>
      </c>
      <c r="V6" s="146">
        <f t="shared" ref="V6:AG6" si="1">E6-D6</f>
        <v>4.6209999999999951</v>
      </c>
      <c r="W6" s="146">
        <f t="shared" si="1"/>
        <v>3.7890000000000015</v>
      </c>
      <c r="X6" s="146">
        <f t="shared" si="1"/>
        <v>-73.131</v>
      </c>
      <c r="Y6" s="146">
        <f t="shared" si="1"/>
        <v>0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</row>
    <row r="7" spans="1:33" x14ac:dyDescent="0.35">
      <c r="A7" s="372"/>
      <c r="B7" s="10" t="s">
        <v>245</v>
      </c>
      <c r="C7" s="313">
        <v>71869914</v>
      </c>
      <c r="D7" s="77">
        <v>19.777000000000001</v>
      </c>
      <c r="E7" s="11">
        <v>21.939</v>
      </c>
      <c r="F7" s="11">
        <v>23.175000000000001</v>
      </c>
      <c r="G7" s="11"/>
      <c r="H7" s="11"/>
      <c r="I7" s="11"/>
      <c r="J7" s="11"/>
      <c r="K7" s="11"/>
      <c r="L7" s="11"/>
      <c r="M7" s="11"/>
      <c r="N7" s="11"/>
      <c r="O7" s="11"/>
      <c r="P7" s="11"/>
      <c r="R7" s="9">
        <f>P7-D7</f>
        <v>-19.777000000000001</v>
      </c>
      <c r="U7" s="1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</row>
    <row r="8" spans="1:33" x14ac:dyDescent="0.35">
      <c r="A8" s="372">
        <v>3</v>
      </c>
      <c r="B8" s="10" t="s">
        <v>244</v>
      </c>
      <c r="C8" s="313">
        <v>241345682</v>
      </c>
      <c r="D8" s="77">
        <v>43.377000000000002</v>
      </c>
      <c r="E8" s="11">
        <v>47.408999999999999</v>
      </c>
      <c r="F8" s="11">
        <v>50.085999999999999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32">
        <f>P8-D8</f>
        <v>-43.377000000000002</v>
      </c>
      <c r="R8" s="9"/>
      <c r="U8" s="1">
        <v>3</v>
      </c>
      <c r="V8" s="146">
        <f t="shared" ref="V8:AG8" si="2">E8-D8</f>
        <v>4.0319999999999965</v>
      </c>
      <c r="W8" s="146">
        <f t="shared" si="2"/>
        <v>2.6769999999999996</v>
      </c>
      <c r="X8" s="146">
        <f t="shared" si="2"/>
        <v>-50.085999999999999</v>
      </c>
      <c r="Y8" s="146">
        <f t="shared" si="2"/>
        <v>0</v>
      </c>
      <c r="Z8" s="146">
        <f t="shared" si="2"/>
        <v>0</v>
      </c>
      <c r="AA8" s="146">
        <f t="shared" si="2"/>
        <v>0</v>
      </c>
      <c r="AB8" s="146">
        <f t="shared" si="2"/>
        <v>0</v>
      </c>
      <c r="AC8" s="146">
        <f t="shared" si="2"/>
        <v>0</v>
      </c>
      <c r="AD8" s="146">
        <f t="shared" si="2"/>
        <v>0</v>
      </c>
      <c r="AE8" s="146">
        <f t="shared" si="2"/>
        <v>0</v>
      </c>
      <c r="AF8" s="146">
        <f t="shared" si="2"/>
        <v>0</v>
      </c>
      <c r="AG8" s="146">
        <f t="shared" si="2"/>
        <v>0</v>
      </c>
    </row>
    <row r="9" spans="1:33" x14ac:dyDescent="0.35">
      <c r="A9" s="372"/>
      <c r="B9" s="10" t="s">
        <v>245</v>
      </c>
      <c r="C9" s="313">
        <v>71869911</v>
      </c>
      <c r="D9" s="77">
        <v>47.966999999999999</v>
      </c>
      <c r="E9" s="11">
        <v>55.646000000000001</v>
      </c>
      <c r="F9" s="11">
        <v>59.515999999999998</v>
      </c>
      <c r="G9" s="11"/>
      <c r="H9" s="11"/>
      <c r="I9" s="11"/>
      <c r="J9" s="11"/>
      <c r="K9" s="11"/>
      <c r="L9" s="11"/>
      <c r="M9" s="11"/>
      <c r="N9" s="11"/>
      <c r="O9" s="11"/>
      <c r="P9" s="11"/>
      <c r="R9" s="9">
        <f>P9-D9</f>
        <v>-47.966999999999999</v>
      </c>
      <c r="U9" s="1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</row>
    <row r="10" spans="1:33" x14ac:dyDescent="0.35">
      <c r="A10" s="372">
        <v>4</v>
      </c>
      <c r="B10" s="10" t="s">
        <v>244</v>
      </c>
      <c r="C10" s="313">
        <v>241345678</v>
      </c>
      <c r="D10" s="77">
        <v>107.32</v>
      </c>
      <c r="E10" s="11">
        <v>116.312</v>
      </c>
      <c r="F10" s="11">
        <v>122.837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32">
        <f>P10-D10</f>
        <v>-107.32</v>
      </c>
      <c r="R10" s="9"/>
      <c r="U10" s="1">
        <v>4</v>
      </c>
      <c r="V10" s="146">
        <f t="shared" ref="V10:AG10" si="3">E10-D10</f>
        <v>8.9920000000000044</v>
      </c>
      <c r="W10" s="146">
        <f t="shared" si="3"/>
        <v>6.5250000000000057</v>
      </c>
      <c r="X10" s="146">
        <f t="shared" si="3"/>
        <v>-122.837</v>
      </c>
      <c r="Y10" s="146">
        <f t="shared" si="3"/>
        <v>0</v>
      </c>
      <c r="Z10" s="146">
        <f t="shared" si="3"/>
        <v>0</v>
      </c>
      <c r="AA10" s="146">
        <f t="shared" si="3"/>
        <v>0</v>
      </c>
      <c r="AB10" s="146">
        <f t="shared" si="3"/>
        <v>0</v>
      </c>
      <c r="AC10" s="146">
        <f t="shared" si="3"/>
        <v>0</v>
      </c>
      <c r="AD10" s="146">
        <f t="shared" si="3"/>
        <v>0</v>
      </c>
      <c r="AE10" s="146">
        <f t="shared" si="3"/>
        <v>0</v>
      </c>
      <c r="AF10" s="146">
        <f t="shared" si="3"/>
        <v>0</v>
      </c>
      <c r="AG10" s="146">
        <f t="shared" si="3"/>
        <v>0</v>
      </c>
    </row>
    <row r="11" spans="1:33" x14ac:dyDescent="0.35">
      <c r="A11" s="372"/>
      <c r="B11" s="10" t="s">
        <v>245</v>
      </c>
      <c r="C11" s="313">
        <v>71869913</v>
      </c>
      <c r="D11" s="77">
        <v>49.029000000000003</v>
      </c>
      <c r="E11" s="256">
        <v>52.405999999999999</v>
      </c>
      <c r="F11" s="11">
        <v>54.164999999999999</v>
      </c>
      <c r="G11" s="11"/>
      <c r="H11" s="11"/>
      <c r="I11" s="11"/>
      <c r="J11" s="11"/>
      <c r="K11" s="11"/>
      <c r="L11" s="11"/>
      <c r="M11" s="11"/>
      <c r="N11" s="252"/>
      <c r="O11" s="252"/>
      <c r="P11" s="252"/>
      <c r="R11" s="9">
        <f>P11-D11</f>
        <v>-49.029000000000003</v>
      </c>
      <c r="U11" s="1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</row>
    <row r="12" spans="1:33" x14ac:dyDescent="0.35">
      <c r="A12" s="372">
        <v>5</v>
      </c>
      <c r="B12" s="10" t="s">
        <v>244</v>
      </c>
      <c r="C12" s="313">
        <v>241345684</v>
      </c>
      <c r="D12" s="77">
        <v>30.992000000000001</v>
      </c>
      <c r="E12" s="11">
        <v>31.446999999999999</v>
      </c>
      <c r="F12" s="11">
        <v>32.448999999999998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32">
        <f>P12-D12</f>
        <v>-30.992000000000001</v>
      </c>
      <c r="R12" s="9"/>
      <c r="U12" s="1">
        <v>5</v>
      </c>
      <c r="V12" s="146">
        <f t="shared" ref="V12:AG12" si="4">E12-D12</f>
        <v>0.45499999999999829</v>
      </c>
      <c r="W12" s="146">
        <f t="shared" si="4"/>
        <v>1.0019999999999989</v>
      </c>
      <c r="X12" s="146">
        <f t="shared" si="4"/>
        <v>-32.448999999999998</v>
      </c>
      <c r="Y12" s="146">
        <f t="shared" si="4"/>
        <v>0</v>
      </c>
      <c r="Z12" s="146">
        <f t="shared" si="4"/>
        <v>0</v>
      </c>
      <c r="AA12" s="146">
        <f t="shared" si="4"/>
        <v>0</v>
      </c>
      <c r="AB12" s="146">
        <f t="shared" si="4"/>
        <v>0</v>
      </c>
      <c r="AC12" s="146">
        <f t="shared" si="4"/>
        <v>0</v>
      </c>
      <c r="AD12" s="146">
        <f t="shared" si="4"/>
        <v>0</v>
      </c>
      <c r="AE12" s="146">
        <f t="shared" si="4"/>
        <v>0</v>
      </c>
      <c r="AF12" s="146">
        <f t="shared" si="4"/>
        <v>0</v>
      </c>
      <c r="AG12" s="146">
        <f t="shared" si="4"/>
        <v>0</v>
      </c>
    </row>
    <row r="13" spans="1:33" x14ac:dyDescent="0.35">
      <c r="A13" s="372"/>
      <c r="B13" s="10" t="s">
        <v>245</v>
      </c>
      <c r="C13" s="313">
        <v>71869909</v>
      </c>
      <c r="D13" s="77">
        <v>16.123000000000001</v>
      </c>
      <c r="E13" s="11">
        <v>16.762</v>
      </c>
      <c r="F13" s="11">
        <v>17.033000000000001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R13" s="9">
        <f>P13-D13</f>
        <v>-16.123000000000001</v>
      </c>
      <c r="U13" s="1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</row>
    <row r="14" spans="1:33" x14ac:dyDescent="0.35">
      <c r="A14" s="372">
        <v>6</v>
      </c>
      <c r="B14" s="10" t="s">
        <v>244</v>
      </c>
      <c r="C14" s="313">
        <v>241345681</v>
      </c>
      <c r="D14" s="77">
        <v>63.375</v>
      </c>
      <c r="E14" s="11">
        <v>68.763999999999996</v>
      </c>
      <c r="F14" s="11">
        <v>73.521000000000001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32">
        <f>P14-D14</f>
        <v>-63.375</v>
      </c>
      <c r="R14" s="9"/>
      <c r="U14" s="1">
        <v>6</v>
      </c>
      <c r="V14" s="146">
        <f t="shared" ref="V14:AG14" si="5">E14-D14</f>
        <v>5.3889999999999958</v>
      </c>
      <c r="W14" s="146">
        <f t="shared" si="5"/>
        <v>4.757000000000005</v>
      </c>
      <c r="X14" s="146">
        <f t="shared" si="5"/>
        <v>-73.521000000000001</v>
      </c>
      <c r="Y14" s="146">
        <f t="shared" si="5"/>
        <v>0</v>
      </c>
      <c r="Z14" s="146">
        <f t="shared" si="5"/>
        <v>0</v>
      </c>
      <c r="AA14" s="146">
        <f t="shared" si="5"/>
        <v>0</v>
      </c>
      <c r="AB14" s="146">
        <f t="shared" si="5"/>
        <v>0</v>
      </c>
      <c r="AC14" s="146">
        <f t="shared" si="5"/>
        <v>0</v>
      </c>
      <c r="AD14" s="146">
        <f t="shared" si="5"/>
        <v>0</v>
      </c>
      <c r="AE14" s="146">
        <f t="shared" si="5"/>
        <v>0</v>
      </c>
      <c r="AF14" s="146">
        <f t="shared" si="5"/>
        <v>0</v>
      </c>
      <c r="AG14" s="146">
        <f t="shared" si="5"/>
        <v>0</v>
      </c>
    </row>
    <row r="15" spans="1:33" x14ac:dyDescent="0.35">
      <c r="A15" s="372"/>
      <c r="B15" s="10" t="s">
        <v>245</v>
      </c>
      <c r="C15" s="313">
        <v>71869918</v>
      </c>
      <c r="D15" s="77">
        <v>36.256999999999998</v>
      </c>
      <c r="E15" s="11">
        <v>39.701000000000001</v>
      </c>
      <c r="F15" s="11">
        <v>41.726999999999997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R15" s="9">
        <f>P15-D15</f>
        <v>-36.256999999999998</v>
      </c>
      <c r="U15" s="1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</row>
    <row r="16" spans="1:33" x14ac:dyDescent="0.35">
      <c r="A16" s="372">
        <v>7</v>
      </c>
      <c r="B16" s="10" t="s">
        <v>244</v>
      </c>
      <c r="C16" s="313">
        <v>241345676</v>
      </c>
      <c r="D16" s="77">
        <v>72.197999999999993</v>
      </c>
      <c r="E16" s="11">
        <v>78.441999999999993</v>
      </c>
      <c r="F16" s="11">
        <v>80.150999999999996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32">
        <f>P16-D16</f>
        <v>-72.197999999999993</v>
      </c>
      <c r="R16" s="9"/>
      <c r="U16" s="1">
        <v>7</v>
      </c>
      <c r="V16" s="146">
        <f t="shared" ref="V16:AG16" si="6">E16-D16</f>
        <v>6.2439999999999998</v>
      </c>
      <c r="W16" s="146">
        <f t="shared" si="6"/>
        <v>1.7090000000000032</v>
      </c>
      <c r="X16" s="146">
        <f t="shared" si="6"/>
        <v>-80.150999999999996</v>
      </c>
      <c r="Y16" s="146">
        <f t="shared" si="6"/>
        <v>0</v>
      </c>
      <c r="Z16" s="146">
        <f t="shared" si="6"/>
        <v>0</v>
      </c>
      <c r="AA16" s="146">
        <f t="shared" si="6"/>
        <v>0</v>
      </c>
      <c r="AB16" s="146">
        <f t="shared" si="6"/>
        <v>0</v>
      </c>
      <c r="AC16" s="146">
        <f t="shared" si="6"/>
        <v>0</v>
      </c>
      <c r="AD16" s="146">
        <f t="shared" si="6"/>
        <v>0</v>
      </c>
      <c r="AE16" s="146">
        <f t="shared" si="6"/>
        <v>0</v>
      </c>
      <c r="AF16" s="146">
        <f t="shared" si="6"/>
        <v>0</v>
      </c>
      <c r="AG16" s="146">
        <f t="shared" si="6"/>
        <v>0</v>
      </c>
    </row>
    <row r="17" spans="1:33" x14ac:dyDescent="0.35">
      <c r="A17" s="372"/>
      <c r="B17" s="10" t="s">
        <v>245</v>
      </c>
      <c r="C17" s="313">
        <v>71869916</v>
      </c>
      <c r="D17" s="77">
        <v>38.493000000000002</v>
      </c>
      <c r="E17" s="11">
        <v>43.723999999999997</v>
      </c>
      <c r="F17" s="11">
        <v>46.749000000000002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R17" s="9">
        <f>P17-D17</f>
        <v>-38.493000000000002</v>
      </c>
      <c r="U17" s="1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</row>
    <row r="18" spans="1:33" x14ac:dyDescent="0.35">
      <c r="A18" s="372">
        <v>8</v>
      </c>
      <c r="B18" s="10" t="s">
        <v>244</v>
      </c>
      <c r="C18" s="313">
        <v>241345679</v>
      </c>
      <c r="D18" s="77">
        <v>138.29400000000001</v>
      </c>
      <c r="E18" s="11">
        <v>150.00299999999999</v>
      </c>
      <c r="F18" s="11">
        <v>161.75899999999999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32">
        <f>P18-D18</f>
        <v>-138.29400000000001</v>
      </c>
      <c r="R18" s="9"/>
      <c r="U18" s="1">
        <v>8</v>
      </c>
      <c r="V18" s="146">
        <f t="shared" ref="V18:AG18" si="7">E18-D18</f>
        <v>11.708999999999975</v>
      </c>
      <c r="W18" s="146">
        <f t="shared" si="7"/>
        <v>11.756</v>
      </c>
      <c r="X18" s="146">
        <f t="shared" si="7"/>
        <v>-161.75899999999999</v>
      </c>
      <c r="Y18" s="146">
        <f t="shared" si="7"/>
        <v>0</v>
      </c>
      <c r="Z18" s="146">
        <f t="shared" si="7"/>
        <v>0</v>
      </c>
      <c r="AA18" s="146">
        <f t="shared" si="7"/>
        <v>0</v>
      </c>
      <c r="AB18" s="146">
        <f t="shared" si="7"/>
        <v>0</v>
      </c>
      <c r="AC18" s="146">
        <f t="shared" si="7"/>
        <v>0</v>
      </c>
      <c r="AD18" s="146">
        <f t="shared" si="7"/>
        <v>0</v>
      </c>
      <c r="AE18" s="146">
        <f t="shared" si="7"/>
        <v>0</v>
      </c>
      <c r="AF18" s="146">
        <f t="shared" si="7"/>
        <v>0</v>
      </c>
      <c r="AG18" s="146">
        <f t="shared" si="7"/>
        <v>0</v>
      </c>
    </row>
    <row r="19" spans="1:33" x14ac:dyDescent="0.35">
      <c r="A19" s="372"/>
      <c r="B19" s="10" t="s">
        <v>245</v>
      </c>
      <c r="C19" s="313">
        <v>71869910</v>
      </c>
      <c r="D19" s="77">
        <v>40.786000000000001</v>
      </c>
      <c r="E19" s="11">
        <v>46.908000000000001</v>
      </c>
      <c r="F19" s="11">
        <v>50.741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R19" s="9">
        <f>P19-D19</f>
        <v>-40.786000000000001</v>
      </c>
      <c r="U19" s="1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</row>
    <row r="20" spans="1:33" x14ac:dyDescent="0.35">
      <c r="A20" s="372">
        <v>9</v>
      </c>
      <c r="B20" s="10" t="s">
        <v>244</v>
      </c>
      <c r="C20" s="313">
        <v>241345705</v>
      </c>
      <c r="D20" s="77">
        <v>75.885000000000005</v>
      </c>
      <c r="E20" s="11">
        <v>83.331999999999994</v>
      </c>
      <c r="F20" s="11">
        <v>89.396000000000001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32">
        <f>P20-D20</f>
        <v>-75.885000000000005</v>
      </c>
      <c r="R20" s="9"/>
      <c r="U20" s="1">
        <v>9</v>
      </c>
      <c r="V20" s="146">
        <f t="shared" ref="V20:AG20" si="8">E20-D20</f>
        <v>7.4469999999999885</v>
      </c>
      <c r="W20" s="146">
        <f t="shared" si="8"/>
        <v>6.0640000000000072</v>
      </c>
      <c r="X20" s="146">
        <f t="shared" si="8"/>
        <v>-89.396000000000001</v>
      </c>
      <c r="Y20" s="146">
        <f t="shared" si="8"/>
        <v>0</v>
      </c>
      <c r="Z20" s="146">
        <f t="shared" si="8"/>
        <v>0</v>
      </c>
      <c r="AA20" s="146">
        <f t="shared" si="8"/>
        <v>0</v>
      </c>
      <c r="AB20" s="146">
        <f t="shared" si="8"/>
        <v>0</v>
      </c>
      <c r="AC20" s="146">
        <f t="shared" si="8"/>
        <v>0</v>
      </c>
      <c r="AD20" s="146">
        <f t="shared" si="8"/>
        <v>0</v>
      </c>
      <c r="AE20" s="146">
        <f t="shared" si="8"/>
        <v>0</v>
      </c>
      <c r="AF20" s="146">
        <f t="shared" si="8"/>
        <v>0</v>
      </c>
      <c r="AG20" s="146">
        <f t="shared" si="8"/>
        <v>0</v>
      </c>
    </row>
    <row r="21" spans="1:33" x14ac:dyDescent="0.35">
      <c r="A21" s="372"/>
      <c r="B21" s="10" t="s">
        <v>245</v>
      </c>
      <c r="C21" s="313">
        <v>71869917</v>
      </c>
      <c r="D21" s="77">
        <v>36.893000000000001</v>
      </c>
      <c r="E21" s="11">
        <v>41.59</v>
      </c>
      <c r="F21" s="11">
        <v>44.078000000000003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R21" s="9">
        <f>P21-D21</f>
        <v>-36.893000000000001</v>
      </c>
      <c r="U21" s="1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</row>
    <row r="22" spans="1:33" x14ac:dyDescent="0.35">
      <c r="A22" s="372">
        <v>10</v>
      </c>
      <c r="B22" s="10" t="s">
        <v>244</v>
      </c>
      <c r="C22" s="313">
        <v>241345652</v>
      </c>
      <c r="D22" s="77">
        <v>83.114999999999995</v>
      </c>
      <c r="E22" s="11">
        <v>88.534000000000006</v>
      </c>
      <c r="F22" s="11">
        <v>92.908000000000001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32">
        <f>P22-D22</f>
        <v>-83.114999999999995</v>
      </c>
      <c r="R22" s="9"/>
      <c r="U22" s="1">
        <v>10</v>
      </c>
      <c r="V22" s="146">
        <f t="shared" ref="V22:AG22" si="9">E22-D22</f>
        <v>5.4190000000000111</v>
      </c>
      <c r="W22" s="146">
        <f t="shared" si="9"/>
        <v>4.3739999999999952</v>
      </c>
      <c r="X22" s="146">
        <f t="shared" si="9"/>
        <v>-92.908000000000001</v>
      </c>
      <c r="Y22" s="146">
        <f t="shared" si="9"/>
        <v>0</v>
      </c>
      <c r="Z22" s="146">
        <f t="shared" si="9"/>
        <v>0</v>
      </c>
      <c r="AA22" s="146">
        <f t="shared" si="9"/>
        <v>0</v>
      </c>
      <c r="AB22" s="146">
        <f t="shared" si="9"/>
        <v>0</v>
      </c>
      <c r="AC22" s="146">
        <f t="shared" si="9"/>
        <v>0</v>
      </c>
      <c r="AD22" s="146">
        <f t="shared" si="9"/>
        <v>0</v>
      </c>
      <c r="AE22" s="146">
        <f t="shared" si="9"/>
        <v>0</v>
      </c>
      <c r="AF22" s="146">
        <f t="shared" si="9"/>
        <v>0</v>
      </c>
      <c r="AG22" s="146">
        <f t="shared" si="9"/>
        <v>0</v>
      </c>
    </row>
    <row r="23" spans="1:33" x14ac:dyDescent="0.35">
      <c r="A23" s="372"/>
      <c r="B23" s="10" t="s">
        <v>245</v>
      </c>
      <c r="C23" s="313">
        <v>71869915</v>
      </c>
      <c r="D23" s="77">
        <v>41.863</v>
      </c>
      <c r="E23" s="11">
        <v>47.064</v>
      </c>
      <c r="F23" s="11">
        <v>50.265000000000001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31"/>
      <c r="R23" s="97">
        <f>P23-D23</f>
        <v>-41.863</v>
      </c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</row>
    <row r="24" spans="1:33" x14ac:dyDescent="0.35">
      <c r="A24" s="113"/>
      <c r="B24" s="10"/>
      <c r="C24" s="313"/>
      <c r="D24" s="78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-826.14600000000007</v>
      </c>
      <c r="R24" s="9">
        <f>SUM(R4:R23)</f>
        <v>-400.12499999999994</v>
      </c>
    </row>
    <row r="25" spans="1:33" x14ac:dyDescent="0.35">
      <c r="A25" s="113" t="s">
        <v>15</v>
      </c>
      <c r="B25" s="10" t="s">
        <v>254</v>
      </c>
      <c r="C25" s="313">
        <v>2480481656</v>
      </c>
      <c r="D25" s="78">
        <v>3806</v>
      </c>
      <c r="E25" s="15">
        <v>4086</v>
      </c>
      <c r="F25" s="15">
        <v>4262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R25" s="9"/>
      <c r="S25" s="16">
        <f>P25-D25</f>
        <v>-3806</v>
      </c>
    </row>
    <row r="26" spans="1:33" ht="15" thickBot="1" x14ac:dyDescent="0.4">
      <c r="A26" s="113"/>
      <c r="B26" s="282" t="s">
        <v>247</v>
      </c>
      <c r="C26" s="317">
        <v>240826420</v>
      </c>
      <c r="D26" s="79">
        <v>911.4</v>
      </c>
      <c r="E26" s="18">
        <v>986.7</v>
      </c>
      <c r="F26" s="18">
        <v>1049.5999999999999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32">
        <f>P26-D26</f>
        <v>-911.4</v>
      </c>
      <c r="R26" s="9"/>
    </row>
    <row r="27" spans="1:33" x14ac:dyDescent="0.35">
      <c r="A27" s="119"/>
      <c r="B27" s="205" t="s">
        <v>268</v>
      </c>
      <c r="C27" s="313">
        <v>70465265</v>
      </c>
      <c r="D27" s="80">
        <v>1026.43</v>
      </c>
      <c r="E27" s="19">
        <v>1075.6099999999999</v>
      </c>
      <c r="F27" s="19">
        <v>1103.08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R27" s="9">
        <f>P27-D27</f>
        <v>-1026.43</v>
      </c>
      <c r="S27" t="s">
        <v>78</v>
      </c>
    </row>
    <row r="28" spans="1:33" ht="15" thickBot="1" x14ac:dyDescent="0.4">
      <c r="A28" s="4"/>
      <c r="B28" s="26" t="s">
        <v>16</v>
      </c>
      <c r="C28" s="318"/>
      <c r="D28" s="81">
        <v>6961</v>
      </c>
      <c r="E28" s="21">
        <v>7274</v>
      </c>
      <c r="F28" s="21">
        <v>7446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R28" s="16">
        <f>P28-D28</f>
        <v>-6961</v>
      </c>
      <c r="S28" t="s">
        <v>79</v>
      </c>
    </row>
    <row r="29" spans="1:33" ht="15" thickBot="1" x14ac:dyDescent="0.4">
      <c r="A29" s="121" t="str">
        <f>'1854'!A29</f>
        <v xml:space="preserve">Fakturační vodoměr:      </v>
      </c>
      <c r="B29" s="22"/>
      <c r="C29" s="310">
        <f>'1854'!C29</f>
        <v>42012114941</v>
      </c>
      <c r="D29" s="23">
        <f>'1854'!D29</f>
        <v>211</v>
      </c>
      <c r="E29" s="23">
        <f>'1854'!E29</f>
        <v>537.6</v>
      </c>
      <c r="F29" s="23">
        <f>'1854'!F29</f>
        <v>814.4</v>
      </c>
      <c r="G29" s="23">
        <f>'1854'!G29</f>
        <v>0</v>
      </c>
      <c r="H29" s="23">
        <f>'1854'!H29</f>
        <v>0</v>
      </c>
      <c r="I29" s="23">
        <f>'1854'!I29</f>
        <v>0</v>
      </c>
      <c r="J29" s="23">
        <f>'1854'!J29</f>
        <v>0</v>
      </c>
      <c r="K29" s="23">
        <f>'1854'!K29</f>
        <v>0</v>
      </c>
      <c r="L29" s="23">
        <f>'1854'!L29</f>
        <v>0</v>
      </c>
      <c r="M29" s="23">
        <f>'1854'!M29</f>
        <v>0</v>
      </c>
      <c r="N29" s="23">
        <f>'1854'!N29</f>
        <v>0</v>
      </c>
      <c r="O29" s="23">
        <f>'1854'!O29</f>
        <v>0</v>
      </c>
      <c r="P29" s="23">
        <f>'1854'!P29</f>
        <v>0</v>
      </c>
      <c r="Q29">
        <f>'1854'!Q29</f>
        <v>-211</v>
      </c>
      <c r="R29" s="9"/>
    </row>
    <row r="32" spans="1:33" x14ac:dyDescent="0.35">
      <c r="E32" t="s">
        <v>126</v>
      </c>
      <c r="H32" s="172" t="s">
        <v>127</v>
      </c>
      <c r="I32" s="1" t="s">
        <v>79</v>
      </c>
      <c r="K32" t="s">
        <v>135</v>
      </c>
      <c r="N32" s="1" t="s">
        <v>79</v>
      </c>
    </row>
    <row r="33" spans="3:14" x14ac:dyDescent="0.35">
      <c r="D33" t="s">
        <v>129</v>
      </c>
      <c r="E33" s="160">
        <v>43984</v>
      </c>
      <c r="F33" s="84" t="s">
        <v>115</v>
      </c>
      <c r="G33" s="84"/>
      <c r="H33" s="167"/>
      <c r="I33" s="108"/>
      <c r="K33" s="177">
        <v>44095</v>
      </c>
      <c r="L33" s="84" t="s">
        <v>115</v>
      </c>
      <c r="M33" s="84"/>
      <c r="N33" s="84"/>
    </row>
    <row r="34" spans="3:14" x14ac:dyDescent="0.35">
      <c r="E34" s="168"/>
      <c r="F34" s="169"/>
      <c r="G34" s="169" t="s">
        <v>128</v>
      </c>
      <c r="H34" s="171" t="s">
        <v>78</v>
      </c>
      <c r="I34" s="170" t="s">
        <v>79</v>
      </c>
      <c r="L34" s="1"/>
      <c r="M34" s="169" t="s">
        <v>128</v>
      </c>
      <c r="N34" s="170" t="s">
        <v>79</v>
      </c>
    </row>
    <row r="35" spans="3:14" x14ac:dyDescent="0.35">
      <c r="D35" t="s">
        <v>130</v>
      </c>
      <c r="E35" s="160">
        <v>43986</v>
      </c>
      <c r="F35" s="84" t="s">
        <v>116</v>
      </c>
      <c r="G35" s="84"/>
      <c r="H35" s="167"/>
      <c r="I35" s="108"/>
      <c r="K35" s="177">
        <v>44095</v>
      </c>
      <c r="L35" s="84" t="s">
        <v>116</v>
      </c>
      <c r="M35" s="84"/>
      <c r="N35" s="84"/>
    </row>
    <row r="37" spans="3:14" x14ac:dyDescent="0.35">
      <c r="E37" t="s">
        <v>212</v>
      </c>
    </row>
    <row r="39" spans="3:14" x14ac:dyDescent="0.35">
      <c r="C39" t="s">
        <v>125</v>
      </c>
    </row>
    <row r="40" spans="3:14" x14ac:dyDescent="0.35">
      <c r="C40" s="380">
        <v>45415</v>
      </c>
      <c r="D40" s="84" t="s">
        <v>115</v>
      </c>
      <c r="E40" s="384">
        <v>72371793</v>
      </c>
      <c r="F40" s="384"/>
      <c r="G40" s="106"/>
    </row>
    <row r="41" spans="3:14" x14ac:dyDescent="0.35">
      <c r="C41" s="380"/>
      <c r="D41" s="84" t="s">
        <v>116</v>
      </c>
      <c r="E41" s="384">
        <v>2480481656</v>
      </c>
      <c r="F41" s="384"/>
      <c r="G41" s="106"/>
    </row>
  </sheetData>
  <sheetProtection selectLockedCells="1" selectUnlockedCells="1"/>
  <mergeCells count="13">
    <mergeCell ref="C40:C41"/>
    <mergeCell ref="E40:F40"/>
    <mergeCell ref="E41:F41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E4">
    <cfRule type="cellIs" dxfId="1246" priority="14" stopIfTrue="1" operator="lessThan">
      <formula>$D$4</formula>
    </cfRule>
    <cfRule type="cellIs" dxfId="1245" priority="15" stopIfTrue="1" operator="equal">
      <formula>$D$4</formula>
    </cfRule>
  </conditionalFormatting>
  <conditionalFormatting sqref="E5">
    <cfRule type="cellIs" dxfId="1244" priority="19" stopIfTrue="1" operator="lessThan">
      <formula>$D$5</formula>
    </cfRule>
    <cfRule type="cellIs" dxfId="1243" priority="18" stopIfTrue="1" operator="equal">
      <formula>$D$5</formula>
    </cfRule>
  </conditionalFormatting>
  <conditionalFormatting sqref="E6">
    <cfRule type="cellIs" dxfId="1242" priority="25" stopIfTrue="1" operator="equal">
      <formula>$D$6</formula>
    </cfRule>
    <cfRule type="cellIs" dxfId="1241" priority="26" stopIfTrue="1" operator="lessThan">
      <formula>$D$6</formula>
    </cfRule>
  </conditionalFormatting>
  <conditionalFormatting sqref="E7">
    <cfRule type="cellIs" dxfId="1240" priority="40" stopIfTrue="1" operator="lessThan">
      <formula>$D$7</formula>
    </cfRule>
    <cfRule type="cellIs" dxfId="1239" priority="39" stopIfTrue="1" operator="equal">
      <formula>$D$7</formula>
    </cfRule>
  </conditionalFormatting>
  <conditionalFormatting sqref="E8">
    <cfRule type="cellIs" dxfId="1238" priority="52" stopIfTrue="1" operator="lessThan">
      <formula>$D$8</formula>
    </cfRule>
    <cfRule type="cellIs" dxfId="1237" priority="51" stopIfTrue="1" operator="equal">
      <formula>$D$8</formula>
    </cfRule>
  </conditionalFormatting>
  <conditionalFormatting sqref="E9">
    <cfRule type="cellIs" dxfId="1236" priority="66" stopIfTrue="1" operator="lessThan">
      <formula>$D$9</formula>
    </cfRule>
    <cfRule type="cellIs" dxfId="1235" priority="65" stopIfTrue="1" operator="equal">
      <formula>$D$9</formula>
    </cfRule>
  </conditionalFormatting>
  <conditionalFormatting sqref="E10">
    <cfRule type="cellIs" dxfId="1234" priority="79" stopIfTrue="1" operator="equal">
      <formula>$D$10</formula>
    </cfRule>
    <cfRule type="cellIs" dxfId="1233" priority="80" stopIfTrue="1" operator="lessThan">
      <formula>$D$10</formula>
    </cfRule>
  </conditionalFormatting>
  <conditionalFormatting sqref="E11">
    <cfRule type="cellIs" dxfId="1232" priority="94" stopIfTrue="1" operator="lessThan">
      <formula>$D$11</formula>
    </cfRule>
    <cfRule type="cellIs" dxfId="1231" priority="93" stopIfTrue="1" operator="equal">
      <formula>$D$11</formula>
    </cfRule>
  </conditionalFormatting>
  <conditionalFormatting sqref="E12">
    <cfRule type="cellIs" dxfId="1230" priority="108" stopIfTrue="1" operator="lessThan">
      <formula>$D$12</formula>
    </cfRule>
    <cfRule type="cellIs" dxfId="1229" priority="107" stopIfTrue="1" operator="equal">
      <formula>$D$12</formula>
    </cfRule>
  </conditionalFormatting>
  <conditionalFormatting sqref="E13">
    <cfRule type="cellIs" dxfId="1228" priority="240" stopIfTrue="1" operator="lessThan">
      <formula>$D$13</formula>
    </cfRule>
    <cfRule type="cellIs" dxfId="1227" priority="239" stopIfTrue="1" operator="equal">
      <formula>$D$13</formula>
    </cfRule>
  </conditionalFormatting>
  <conditionalFormatting sqref="E14">
    <cfRule type="cellIs" dxfId="1226" priority="122" stopIfTrue="1" operator="lessThan">
      <formula>$D$14</formula>
    </cfRule>
    <cfRule type="cellIs" dxfId="1225" priority="121" stopIfTrue="1" operator="equal">
      <formula>$D$14</formula>
    </cfRule>
  </conditionalFormatting>
  <conditionalFormatting sqref="E15">
    <cfRule type="cellIs" dxfId="1224" priority="123" stopIfTrue="1" operator="equal">
      <formula>$D$15</formula>
    </cfRule>
    <cfRule type="cellIs" dxfId="1223" priority="124" stopIfTrue="1" operator="lessThan">
      <formula>$D$15</formula>
    </cfRule>
  </conditionalFormatting>
  <conditionalFormatting sqref="E16">
    <cfRule type="cellIs" dxfId="1222" priority="126" stopIfTrue="1" operator="lessThan">
      <formula>$D$16</formula>
    </cfRule>
    <cfRule type="cellIs" dxfId="1221" priority="125" stopIfTrue="1" operator="equal">
      <formula>$D$16</formula>
    </cfRule>
  </conditionalFormatting>
  <conditionalFormatting sqref="E17">
    <cfRule type="cellIs" dxfId="1220" priority="128" stopIfTrue="1" operator="lessThan">
      <formula>$D$17</formula>
    </cfRule>
    <cfRule type="cellIs" dxfId="1219" priority="127" stopIfTrue="1" operator="equal">
      <formula>$D$17</formula>
    </cfRule>
  </conditionalFormatting>
  <conditionalFormatting sqref="E18">
    <cfRule type="cellIs" dxfId="1218" priority="130" stopIfTrue="1" operator="lessThan">
      <formula>$D$18</formula>
    </cfRule>
    <cfRule type="cellIs" dxfId="1217" priority="129" stopIfTrue="1" operator="equal">
      <formula>$D$18</formula>
    </cfRule>
  </conditionalFormatting>
  <conditionalFormatting sqref="E19">
    <cfRule type="cellIs" dxfId="1216" priority="132" stopIfTrue="1" operator="lessThan">
      <formula>$D$19</formula>
    </cfRule>
    <cfRule type="cellIs" dxfId="1215" priority="131" stopIfTrue="1" operator="equal">
      <formula>$D$19</formula>
    </cfRule>
  </conditionalFormatting>
  <conditionalFormatting sqref="E20">
    <cfRule type="cellIs" dxfId="1214" priority="134" stopIfTrue="1" operator="lessThan">
      <formula>$D$20</formula>
    </cfRule>
    <cfRule type="cellIs" dxfId="1213" priority="133" stopIfTrue="1" operator="equal">
      <formula>$D$20</formula>
    </cfRule>
  </conditionalFormatting>
  <conditionalFormatting sqref="E21">
    <cfRule type="cellIs" dxfId="1212" priority="136" stopIfTrue="1" operator="lessThan">
      <formula>$D$21</formula>
    </cfRule>
    <cfRule type="cellIs" dxfId="1211" priority="135" stopIfTrue="1" operator="equal">
      <formula>$D$21</formula>
    </cfRule>
  </conditionalFormatting>
  <conditionalFormatting sqref="E22">
    <cfRule type="cellIs" dxfId="1210" priority="137" stopIfTrue="1" operator="equal">
      <formula>$D$22</formula>
    </cfRule>
    <cfRule type="cellIs" dxfId="1209" priority="138" stopIfTrue="1" operator="lessThan">
      <formula>$D$22</formula>
    </cfRule>
  </conditionalFormatting>
  <conditionalFormatting sqref="E23">
    <cfRule type="cellIs" dxfId="1208" priority="139" stopIfTrue="1" operator="equal">
      <formula>$D$23</formula>
    </cfRule>
    <cfRule type="cellIs" dxfId="1207" priority="140" stopIfTrue="1" operator="lessThan">
      <formula>$D$23</formula>
    </cfRule>
  </conditionalFormatting>
  <conditionalFormatting sqref="E24">
    <cfRule type="cellIs" dxfId="1206" priority="271" stopIfTrue="1" operator="equal">
      <formula>$D$24</formula>
    </cfRule>
    <cfRule type="cellIs" dxfId="1205" priority="272" stopIfTrue="1" operator="lessThan">
      <formula>$D$24</formula>
    </cfRule>
  </conditionalFormatting>
  <conditionalFormatting sqref="E25">
    <cfRule type="cellIs" dxfId="1204" priority="142" stopIfTrue="1" operator="lessThan">
      <formula>$D$25</formula>
    </cfRule>
    <cfRule type="cellIs" dxfId="1203" priority="141" stopIfTrue="1" operator="equal">
      <formula>$D$25</formula>
    </cfRule>
  </conditionalFormatting>
  <conditionalFormatting sqref="E26">
    <cfRule type="cellIs" dxfId="1202" priority="143" stopIfTrue="1" operator="equal">
      <formula>$D$26</formula>
    </cfRule>
    <cfRule type="cellIs" dxfId="1201" priority="144" stopIfTrue="1" operator="lessThan">
      <formula>$D$26</formula>
    </cfRule>
  </conditionalFormatting>
  <conditionalFormatting sqref="E27">
    <cfRule type="cellIs" dxfId="1200" priority="145" stopIfTrue="1" operator="equal">
      <formula>$D$27</formula>
    </cfRule>
    <cfRule type="cellIs" dxfId="1199" priority="146" stopIfTrue="1" operator="lessThan">
      <formula>$D$27</formula>
    </cfRule>
  </conditionalFormatting>
  <conditionalFormatting sqref="E28">
    <cfRule type="cellIs" dxfId="1198" priority="148" stopIfTrue="1" operator="lessThan">
      <formula>$D$28</formula>
    </cfRule>
    <cfRule type="cellIs" dxfId="1197" priority="147" stopIfTrue="1" operator="equal">
      <formula>$D$28</formula>
    </cfRule>
  </conditionalFormatting>
  <conditionalFormatting sqref="E29:I29 K29:P29">
    <cfRule type="cellIs" dxfId="1196" priority="286" stopIfTrue="1" operator="equal">
      <formula>0</formula>
    </cfRule>
  </conditionalFormatting>
  <conditionalFormatting sqref="F4">
    <cfRule type="cellIs" dxfId="1195" priority="17" stopIfTrue="1" operator="lessThan">
      <formula>$E$4</formula>
    </cfRule>
    <cfRule type="cellIs" dxfId="1194" priority="16" stopIfTrue="1" operator="equal">
      <formula>$E$4</formula>
    </cfRule>
  </conditionalFormatting>
  <conditionalFormatting sqref="F5">
    <cfRule type="cellIs" dxfId="1193" priority="281" stopIfTrue="1" operator="equal">
      <formula>$E$5</formula>
    </cfRule>
    <cfRule type="cellIs" dxfId="1192" priority="282" stopIfTrue="1" operator="lessThan">
      <formula>$E$5</formula>
    </cfRule>
  </conditionalFormatting>
  <conditionalFormatting sqref="F6">
    <cfRule type="cellIs" dxfId="1191" priority="27" stopIfTrue="1" operator="equal">
      <formula>$E$6</formula>
    </cfRule>
    <cfRule type="cellIs" dxfId="1190" priority="28" stopIfTrue="1" operator="lessThan">
      <formula>$E$6</formula>
    </cfRule>
  </conditionalFormatting>
  <conditionalFormatting sqref="F7">
    <cfRule type="cellIs" dxfId="1189" priority="42" stopIfTrue="1" operator="lessThan">
      <formula>$E$7</formula>
    </cfRule>
    <cfRule type="cellIs" dxfId="1188" priority="41" stopIfTrue="1" operator="equal">
      <formula>$E$7</formula>
    </cfRule>
  </conditionalFormatting>
  <conditionalFormatting sqref="F8">
    <cfRule type="cellIs" dxfId="1187" priority="53" stopIfTrue="1" operator="equal">
      <formula>$E$8</formula>
    </cfRule>
    <cfRule type="cellIs" dxfId="1186" priority="54" stopIfTrue="1" operator="lessThan">
      <formula>$E$8</formula>
    </cfRule>
  </conditionalFormatting>
  <conditionalFormatting sqref="F9">
    <cfRule type="cellIs" dxfId="1185" priority="67" stopIfTrue="1" operator="equal">
      <formula>$E$9</formula>
    </cfRule>
    <cfRule type="cellIs" dxfId="1184" priority="68" stopIfTrue="1" operator="lessThan">
      <formula>$E$9</formula>
    </cfRule>
  </conditionalFormatting>
  <conditionalFormatting sqref="F10">
    <cfRule type="cellIs" dxfId="1183" priority="81" stopIfTrue="1" operator="equal">
      <formula>$E$10</formula>
    </cfRule>
    <cfRule type="cellIs" dxfId="1182" priority="82" stopIfTrue="1" operator="lessThan">
      <formula>$E$10</formula>
    </cfRule>
  </conditionalFormatting>
  <conditionalFormatting sqref="F11">
    <cfRule type="cellIs" dxfId="1181" priority="96" stopIfTrue="1" operator="lessThan">
      <formula>$E$11</formula>
    </cfRule>
    <cfRule type="cellIs" dxfId="1180" priority="95" stopIfTrue="1" operator="equal">
      <formula>$E$11</formula>
    </cfRule>
  </conditionalFormatting>
  <conditionalFormatting sqref="F12">
    <cfRule type="cellIs" dxfId="1179" priority="110" stopIfTrue="1" operator="lessThan">
      <formula>$E$12</formula>
    </cfRule>
    <cfRule type="cellIs" dxfId="1178" priority="109" stopIfTrue="1" operator="equal">
      <formula>$E$12</formula>
    </cfRule>
  </conditionalFormatting>
  <conditionalFormatting sqref="F13">
    <cfRule type="cellIs" dxfId="1177" priority="149" stopIfTrue="1" operator="equal">
      <formula>$E$13</formula>
    </cfRule>
    <cfRule type="cellIs" dxfId="1176" priority="150" stopIfTrue="1" operator="lessThan">
      <formula>$E$13</formula>
    </cfRule>
  </conditionalFormatting>
  <conditionalFormatting sqref="F14">
    <cfRule type="cellIs" dxfId="1175" priority="151" stopIfTrue="1" operator="equal">
      <formula>$E$14</formula>
    </cfRule>
    <cfRule type="cellIs" dxfId="1174" priority="152" stopIfTrue="1" operator="lessThan">
      <formula>$E$14</formula>
    </cfRule>
  </conditionalFormatting>
  <conditionalFormatting sqref="F15">
    <cfRule type="cellIs" dxfId="1173" priority="153" stopIfTrue="1" operator="equal">
      <formula>$E$15</formula>
    </cfRule>
    <cfRule type="cellIs" dxfId="1172" priority="154" stopIfTrue="1" operator="lessThan">
      <formula>$E$15</formula>
    </cfRule>
  </conditionalFormatting>
  <conditionalFormatting sqref="F16">
    <cfRule type="cellIs" dxfId="1171" priority="156" stopIfTrue="1" operator="lessThan">
      <formula>$E$16</formula>
    </cfRule>
    <cfRule type="cellIs" dxfId="1170" priority="155" stopIfTrue="1" operator="equal">
      <formula>$E$16</formula>
    </cfRule>
  </conditionalFormatting>
  <conditionalFormatting sqref="F17">
    <cfRule type="cellIs" dxfId="1169" priority="158" stopIfTrue="1" operator="lessThan">
      <formula>$E$17</formula>
    </cfRule>
    <cfRule type="cellIs" dxfId="1168" priority="157" stopIfTrue="1" operator="equal">
      <formula>$E$17</formula>
    </cfRule>
  </conditionalFormatting>
  <conditionalFormatting sqref="F18">
    <cfRule type="cellIs" dxfId="1167" priority="160" stopIfTrue="1" operator="lessThan">
      <formula>$E$18</formula>
    </cfRule>
    <cfRule type="cellIs" dxfId="1166" priority="159" stopIfTrue="1" operator="equal">
      <formula>$E$18</formula>
    </cfRule>
  </conditionalFormatting>
  <conditionalFormatting sqref="F19">
    <cfRule type="cellIs" dxfId="1165" priority="162" stopIfTrue="1" operator="lessThan">
      <formula>$E$19</formula>
    </cfRule>
    <cfRule type="cellIs" dxfId="1164" priority="161" stopIfTrue="1" operator="equal">
      <formula>$E$19</formula>
    </cfRule>
  </conditionalFormatting>
  <conditionalFormatting sqref="F20">
    <cfRule type="cellIs" dxfId="1163" priority="164" stopIfTrue="1" operator="lessThan">
      <formula>$E$20</formula>
    </cfRule>
    <cfRule type="cellIs" dxfId="1162" priority="163" stopIfTrue="1" operator="equal">
      <formula>$E$20</formula>
    </cfRule>
  </conditionalFormatting>
  <conditionalFormatting sqref="F21">
    <cfRule type="cellIs" dxfId="1161" priority="165" stopIfTrue="1" operator="equal">
      <formula>$E$21</formula>
    </cfRule>
    <cfRule type="cellIs" dxfId="1160" priority="166" stopIfTrue="1" operator="lessThan">
      <formula>$E$21</formula>
    </cfRule>
  </conditionalFormatting>
  <conditionalFormatting sqref="F22">
    <cfRule type="cellIs" dxfId="1159" priority="167" stopIfTrue="1" operator="equal">
      <formula>$E$22</formula>
    </cfRule>
    <cfRule type="cellIs" dxfId="1158" priority="168" stopIfTrue="1" operator="lessThan">
      <formula>$E$22</formula>
    </cfRule>
  </conditionalFormatting>
  <conditionalFormatting sqref="F23">
    <cfRule type="cellIs" dxfId="1157" priority="169" stopIfTrue="1" operator="equal">
      <formula>$E$23</formula>
    </cfRule>
    <cfRule type="cellIs" dxfId="1156" priority="170" stopIfTrue="1" operator="lessThan">
      <formula>$E$23</formula>
    </cfRule>
  </conditionalFormatting>
  <conditionalFormatting sqref="F24">
    <cfRule type="cellIs" dxfId="1155" priority="274" stopIfTrue="1" operator="lessThan">
      <formula>$E$24</formula>
    </cfRule>
    <cfRule type="cellIs" dxfId="1154" priority="273" stopIfTrue="1" operator="equal">
      <formula>$E$24</formula>
    </cfRule>
  </conditionalFormatting>
  <conditionalFormatting sqref="F25">
    <cfRule type="cellIs" dxfId="1153" priority="172" stopIfTrue="1" operator="lessThan">
      <formula>$E$25</formula>
    </cfRule>
    <cfRule type="cellIs" dxfId="1152" priority="171" stopIfTrue="1" operator="equal">
      <formula>$E$25</formula>
    </cfRule>
  </conditionalFormatting>
  <conditionalFormatting sqref="F26">
    <cfRule type="cellIs" dxfId="1151" priority="173" stopIfTrue="1" operator="equal">
      <formula>$E$26</formula>
    </cfRule>
    <cfRule type="cellIs" dxfId="1150" priority="174" stopIfTrue="1" operator="lessThan">
      <formula>$E$26</formula>
    </cfRule>
  </conditionalFormatting>
  <conditionalFormatting sqref="F27">
    <cfRule type="cellIs" dxfId="1149" priority="176" stopIfTrue="1" operator="lessThan">
      <formula>$E$27</formula>
    </cfRule>
    <cfRule type="cellIs" dxfId="1148" priority="175" stopIfTrue="1" operator="equal">
      <formula>$E$27</formula>
    </cfRule>
  </conditionalFormatting>
  <conditionalFormatting sqref="F28">
    <cfRule type="cellIs" dxfId="1147" priority="177" stopIfTrue="1" operator="equal">
      <formula>$E$28</formula>
    </cfRule>
    <cfRule type="cellIs" dxfId="1146" priority="178" stopIfTrue="1" operator="lessThan">
      <formula>$E$28</formula>
    </cfRule>
  </conditionalFormatting>
  <conditionalFormatting sqref="G4">
    <cfRule type="cellIs" dxfId="1145" priority="13" stopIfTrue="1" operator="lessThan">
      <formula>$F$4</formula>
    </cfRule>
    <cfRule type="cellIs" dxfId="1144" priority="12" stopIfTrue="1" operator="equal">
      <formula>$F$4</formula>
    </cfRule>
  </conditionalFormatting>
  <conditionalFormatting sqref="G5">
    <cfRule type="cellIs" dxfId="1143" priority="20" stopIfTrue="1" operator="equal">
      <formula>$F$5</formula>
    </cfRule>
    <cfRule type="cellIs" dxfId="1142" priority="21" stopIfTrue="1" operator="lessThan">
      <formula>$F$5</formula>
    </cfRule>
  </conditionalFormatting>
  <conditionalFormatting sqref="G6">
    <cfRule type="cellIs" dxfId="1141" priority="29" stopIfTrue="1" operator="equal">
      <formula>$F$6</formula>
    </cfRule>
    <cfRule type="cellIs" dxfId="1140" priority="30" stopIfTrue="1" operator="lessThan">
      <formula>$F$6</formula>
    </cfRule>
  </conditionalFormatting>
  <conditionalFormatting sqref="G7">
    <cfRule type="cellIs" dxfId="1139" priority="43" stopIfTrue="1" operator="equal">
      <formula>$F$7</formula>
    </cfRule>
    <cfRule type="cellIs" dxfId="1138" priority="44" stopIfTrue="1" operator="lessThan">
      <formula>$F$7</formula>
    </cfRule>
  </conditionalFormatting>
  <conditionalFormatting sqref="G8">
    <cfRule type="cellIs" dxfId="1137" priority="56" stopIfTrue="1" operator="lessThan">
      <formula>$F$8</formula>
    </cfRule>
    <cfRule type="cellIs" dxfId="1136" priority="55" stopIfTrue="1" operator="equal">
      <formula>$F$8</formula>
    </cfRule>
  </conditionalFormatting>
  <conditionalFormatting sqref="G9">
    <cfRule type="cellIs" dxfId="1135" priority="70" stopIfTrue="1" operator="lessThan">
      <formula>$F$9</formula>
    </cfRule>
    <cfRule type="cellIs" dxfId="1134" priority="69" stopIfTrue="1" operator="equal">
      <formula>$F$9</formula>
    </cfRule>
  </conditionalFormatting>
  <conditionalFormatting sqref="G10">
    <cfRule type="cellIs" dxfId="1133" priority="84" stopIfTrue="1" operator="lessThan">
      <formula>$F$10</formula>
    </cfRule>
    <cfRule type="cellIs" dxfId="1132" priority="83" stopIfTrue="1" operator="equal">
      <formula>$F$10</formula>
    </cfRule>
  </conditionalFormatting>
  <conditionalFormatting sqref="G11">
    <cfRule type="cellIs" dxfId="1131" priority="97" stopIfTrue="1" operator="equal">
      <formula>$F$11</formula>
    </cfRule>
    <cfRule type="cellIs" dxfId="1130" priority="98" stopIfTrue="1" operator="lessThan">
      <formula>$F$11</formula>
    </cfRule>
  </conditionalFormatting>
  <conditionalFormatting sqref="G12">
    <cfRule type="cellIs" dxfId="1129" priority="112" stopIfTrue="1" operator="lessThan">
      <formula>$F$12</formula>
    </cfRule>
    <cfRule type="cellIs" dxfId="1128" priority="111" stopIfTrue="1" operator="equal">
      <formula>$F$12</formula>
    </cfRule>
  </conditionalFormatting>
  <conditionalFormatting sqref="G13">
    <cfRule type="cellIs" dxfId="1127" priority="180" stopIfTrue="1" operator="lessThan">
      <formula>$F$13</formula>
    </cfRule>
    <cfRule type="cellIs" dxfId="1126" priority="179" stopIfTrue="1" operator="equal">
      <formula>$F$13</formula>
    </cfRule>
  </conditionalFormatting>
  <conditionalFormatting sqref="G14">
    <cfRule type="cellIs" dxfId="1125" priority="181" stopIfTrue="1" operator="equal">
      <formula>$F$14</formula>
    </cfRule>
    <cfRule type="cellIs" dxfId="1124" priority="182" stopIfTrue="1" operator="lessThan">
      <formula>$F$14</formula>
    </cfRule>
  </conditionalFormatting>
  <conditionalFormatting sqref="G15">
    <cfRule type="cellIs" dxfId="1123" priority="183" stopIfTrue="1" operator="equal">
      <formula>$F$15</formula>
    </cfRule>
    <cfRule type="cellIs" dxfId="1122" priority="184" stopIfTrue="1" operator="lessThan">
      <formula>$F$15</formula>
    </cfRule>
  </conditionalFormatting>
  <conditionalFormatting sqref="G16">
    <cfRule type="cellIs" dxfId="1121" priority="186" stopIfTrue="1" operator="lessThan">
      <formula>$F$16</formula>
    </cfRule>
    <cfRule type="cellIs" dxfId="1120" priority="185" stopIfTrue="1" operator="equal">
      <formula>$F$16</formula>
    </cfRule>
  </conditionalFormatting>
  <conditionalFormatting sqref="G17">
    <cfRule type="cellIs" dxfId="1119" priority="187" stopIfTrue="1" operator="equal">
      <formula>$F$17</formula>
    </cfRule>
    <cfRule type="cellIs" dxfId="1118" priority="188" stopIfTrue="1" operator="lessThan">
      <formula>$F$17</formula>
    </cfRule>
  </conditionalFormatting>
  <conditionalFormatting sqref="G18">
    <cfRule type="cellIs" dxfId="1117" priority="189" stopIfTrue="1" operator="equal">
      <formula>$F$18</formula>
    </cfRule>
    <cfRule type="cellIs" dxfId="1116" priority="190" stopIfTrue="1" operator="lessThan">
      <formula>$F$18</formula>
    </cfRule>
  </conditionalFormatting>
  <conditionalFormatting sqref="G19">
    <cfRule type="cellIs" dxfId="1115" priority="191" stopIfTrue="1" operator="equal">
      <formula>$F$19</formula>
    </cfRule>
    <cfRule type="cellIs" dxfId="1114" priority="192" stopIfTrue="1" operator="lessThan">
      <formula>$F$19</formula>
    </cfRule>
  </conditionalFormatting>
  <conditionalFormatting sqref="G20">
    <cfRule type="cellIs" dxfId="1113" priority="194" stopIfTrue="1" operator="lessThan">
      <formula>$F$20</formula>
    </cfRule>
    <cfRule type="cellIs" dxfId="1112" priority="193" stopIfTrue="1" operator="equal">
      <formula>$F$20</formula>
    </cfRule>
  </conditionalFormatting>
  <conditionalFormatting sqref="G21">
    <cfRule type="cellIs" dxfId="1111" priority="196" stopIfTrue="1" operator="lessThan">
      <formula>$F$21</formula>
    </cfRule>
    <cfRule type="cellIs" dxfId="1110" priority="195" stopIfTrue="1" operator="equal">
      <formula>$F$21</formula>
    </cfRule>
  </conditionalFormatting>
  <conditionalFormatting sqref="G22">
    <cfRule type="cellIs" dxfId="1109" priority="197" stopIfTrue="1" operator="equal">
      <formula>$F$22</formula>
    </cfRule>
    <cfRule type="cellIs" dxfId="1108" priority="198" stopIfTrue="1" operator="lessThan">
      <formula>$F$22</formula>
    </cfRule>
  </conditionalFormatting>
  <conditionalFormatting sqref="G23">
    <cfRule type="cellIs" dxfId="1107" priority="199" stopIfTrue="1" operator="equal">
      <formula>$F$23</formula>
    </cfRule>
    <cfRule type="cellIs" dxfId="1106" priority="200" stopIfTrue="1" operator="lessThan">
      <formula>$F$23</formula>
    </cfRule>
  </conditionalFormatting>
  <conditionalFormatting sqref="G24">
    <cfRule type="cellIs" dxfId="1105" priority="276" stopIfTrue="1" operator="lessThan">
      <formula>$F$24</formula>
    </cfRule>
    <cfRule type="cellIs" dxfId="1104" priority="275" stopIfTrue="1" operator="equal">
      <formula>$F$24</formula>
    </cfRule>
  </conditionalFormatting>
  <conditionalFormatting sqref="G25">
    <cfRule type="cellIs" dxfId="1103" priority="202" stopIfTrue="1" operator="lessThan">
      <formula>$F$25</formula>
    </cfRule>
    <cfRule type="cellIs" dxfId="1102" priority="201" stopIfTrue="1" operator="equal">
      <formula>$F$25</formula>
    </cfRule>
  </conditionalFormatting>
  <conditionalFormatting sqref="G26">
    <cfRule type="cellIs" dxfId="1101" priority="204" stopIfTrue="1" operator="lessThan">
      <formula>$F$26</formula>
    </cfRule>
    <cfRule type="cellIs" dxfId="1100" priority="203" stopIfTrue="1" operator="equal">
      <formula>$F$26</formula>
    </cfRule>
  </conditionalFormatting>
  <conditionalFormatting sqref="G27">
    <cfRule type="cellIs" dxfId="1099" priority="205" stopIfTrue="1" operator="equal">
      <formula>$F$27</formula>
    </cfRule>
    <cfRule type="cellIs" dxfId="1098" priority="206" stopIfTrue="1" operator="lessThan">
      <formula>$F$27</formula>
    </cfRule>
  </conditionalFormatting>
  <conditionalFormatting sqref="G28">
    <cfRule type="cellIs" dxfId="1097" priority="207" stopIfTrue="1" operator="equal">
      <formula>$F$28</formula>
    </cfRule>
    <cfRule type="cellIs" dxfId="1096" priority="208" stopIfTrue="1" operator="lessThan">
      <formula>$F$28</formula>
    </cfRule>
  </conditionalFormatting>
  <conditionalFormatting sqref="H4">
    <cfRule type="cellIs" dxfId="1095" priority="285" stopIfTrue="1" operator="equal">
      <formula>$G$4</formula>
    </cfRule>
  </conditionalFormatting>
  <conditionalFormatting sqref="H5">
    <cfRule type="cellIs" dxfId="1094" priority="283" stopIfTrue="1" operator="equal">
      <formula>$G$5</formula>
    </cfRule>
    <cfRule type="cellIs" dxfId="1093" priority="284" stopIfTrue="1" operator="lessThan">
      <formula>$G$5</formula>
    </cfRule>
  </conditionalFormatting>
  <conditionalFormatting sqref="H6">
    <cfRule type="cellIs" dxfId="1092" priority="31" stopIfTrue="1" operator="equal">
      <formula>$G$6</formula>
    </cfRule>
    <cfRule type="cellIs" dxfId="1091" priority="32" stopIfTrue="1" operator="lessThan">
      <formula>$G$6</formula>
    </cfRule>
  </conditionalFormatting>
  <conditionalFormatting sqref="H7">
    <cfRule type="cellIs" dxfId="1090" priority="5" stopIfTrue="1" operator="lessThan">
      <formula>$G$7</formula>
    </cfRule>
    <cfRule type="cellIs" dxfId="1089" priority="4" stopIfTrue="1" operator="equal">
      <formula>$G$7</formula>
    </cfRule>
  </conditionalFormatting>
  <conditionalFormatting sqref="H8">
    <cfRule type="cellIs" dxfId="1088" priority="57" stopIfTrue="1" operator="equal">
      <formula>$G$8</formula>
    </cfRule>
    <cfRule type="cellIs" dxfId="1087" priority="58" stopIfTrue="1" operator="lessThan">
      <formula>$G$8</formula>
    </cfRule>
  </conditionalFormatting>
  <conditionalFormatting sqref="H9">
    <cfRule type="cellIs" dxfId="1086" priority="71" stopIfTrue="1" operator="equal">
      <formula>$G$9</formula>
    </cfRule>
    <cfRule type="cellIs" dxfId="1085" priority="72" stopIfTrue="1" operator="lessThan">
      <formula>$G$9</formula>
    </cfRule>
  </conditionalFormatting>
  <conditionalFormatting sqref="H10">
    <cfRule type="cellIs" dxfId="1084" priority="86" stopIfTrue="1" operator="lessThan">
      <formula>$G$10</formula>
    </cfRule>
    <cfRule type="cellIs" dxfId="1083" priority="85" stopIfTrue="1" operator="equal">
      <formula>$G$10</formula>
    </cfRule>
  </conditionalFormatting>
  <conditionalFormatting sqref="H11">
    <cfRule type="cellIs" dxfId="1082" priority="99" stopIfTrue="1" operator="equal">
      <formula>$G$11</formula>
    </cfRule>
    <cfRule type="cellIs" dxfId="1081" priority="100" stopIfTrue="1" operator="lessThan">
      <formula>$G$11</formula>
    </cfRule>
  </conditionalFormatting>
  <conditionalFormatting sqref="H12">
    <cfRule type="cellIs" dxfId="1080" priority="113" stopIfTrue="1" operator="equal">
      <formula>$G$12</formula>
    </cfRule>
    <cfRule type="cellIs" dxfId="1079" priority="114" stopIfTrue="1" operator="lessThan">
      <formula>$G$12</formula>
    </cfRule>
  </conditionalFormatting>
  <conditionalFormatting sqref="H13">
    <cfRule type="cellIs" dxfId="1078" priority="210" stopIfTrue="1" operator="lessThan">
      <formula>$G$13</formula>
    </cfRule>
    <cfRule type="cellIs" dxfId="1077" priority="209" stopIfTrue="1" operator="equal">
      <formula>$G$13</formula>
    </cfRule>
  </conditionalFormatting>
  <conditionalFormatting sqref="H14">
    <cfRule type="cellIs" dxfId="1076" priority="211" stopIfTrue="1" operator="equal">
      <formula>$G$14</formula>
    </cfRule>
    <cfRule type="cellIs" dxfId="1075" priority="212" stopIfTrue="1" operator="lessThan">
      <formula>$G$14</formula>
    </cfRule>
  </conditionalFormatting>
  <conditionalFormatting sqref="H15">
    <cfRule type="cellIs" dxfId="1074" priority="214" stopIfTrue="1" operator="lessThan">
      <formula>$G$15</formula>
    </cfRule>
    <cfRule type="cellIs" dxfId="1073" priority="213" stopIfTrue="1" operator="equal">
      <formula>$G$15</formula>
    </cfRule>
  </conditionalFormatting>
  <conditionalFormatting sqref="H16">
    <cfRule type="cellIs" dxfId="1072" priority="216" stopIfTrue="1" operator="lessThan">
      <formula>$G$16</formula>
    </cfRule>
    <cfRule type="cellIs" dxfId="1071" priority="215" stopIfTrue="1" operator="equal">
      <formula>$G$16</formula>
    </cfRule>
  </conditionalFormatting>
  <conditionalFormatting sqref="H17">
    <cfRule type="cellIs" dxfId="1070" priority="218" stopIfTrue="1" operator="lessThan">
      <formula>$G$17</formula>
    </cfRule>
    <cfRule type="cellIs" dxfId="1069" priority="217" stopIfTrue="1" operator="equal">
      <formula>$G$17</formula>
    </cfRule>
  </conditionalFormatting>
  <conditionalFormatting sqref="H18">
    <cfRule type="cellIs" dxfId="1068" priority="220" stopIfTrue="1" operator="lessThan">
      <formula>$G$18</formula>
    </cfRule>
    <cfRule type="cellIs" dxfId="1067" priority="219" stopIfTrue="1" operator="equal">
      <formula>$G$18</formula>
    </cfRule>
  </conditionalFormatting>
  <conditionalFormatting sqref="H19">
    <cfRule type="cellIs" dxfId="1066" priority="221" stopIfTrue="1" operator="equal">
      <formula>$G$19</formula>
    </cfRule>
    <cfRule type="cellIs" dxfId="1065" priority="222" stopIfTrue="1" operator="lessThan">
      <formula>$G$19</formula>
    </cfRule>
  </conditionalFormatting>
  <conditionalFormatting sqref="H20">
    <cfRule type="cellIs" dxfId="1064" priority="223" stopIfTrue="1" operator="equal">
      <formula>$G$20</formula>
    </cfRule>
    <cfRule type="cellIs" dxfId="1063" priority="224" stopIfTrue="1" operator="lessThan">
      <formula>$G$20</formula>
    </cfRule>
  </conditionalFormatting>
  <conditionalFormatting sqref="H21">
    <cfRule type="cellIs" dxfId="1062" priority="226" stopIfTrue="1" operator="lessThan">
      <formula>$G$21</formula>
    </cfRule>
    <cfRule type="cellIs" dxfId="1061" priority="225" stopIfTrue="1" operator="equal">
      <formula>$G$21</formula>
    </cfRule>
  </conditionalFormatting>
  <conditionalFormatting sqref="H22">
    <cfRule type="cellIs" dxfId="1060" priority="227" stopIfTrue="1" operator="equal">
      <formula>$G$22</formula>
    </cfRule>
    <cfRule type="cellIs" dxfId="1059" priority="228" stopIfTrue="1" operator="lessThan">
      <formula>$G$22</formula>
    </cfRule>
  </conditionalFormatting>
  <conditionalFormatting sqref="H23">
    <cfRule type="cellIs" dxfId="1058" priority="230" stopIfTrue="1" operator="lessThan">
      <formula>$G$23</formula>
    </cfRule>
    <cfRule type="cellIs" dxfId="1057" priority="229" stopIfTrue="1" operator="equal">
      <formula>$G$23</formula>
    </cfRule>
  </conditionalFormatting>
  <conditionalFormatting sqref="H24">
    <cfRule type="cellIs" dxfId="1056" priority="278" stopIfTrue="1" operator="lessThan">
      <formula>$G$24</formula>
    </cfRule>
    <cfRule type="cellIs" dxfId="1055" priority="277" stopIfTrue="1" operator="equal">
      <formula>$G$24</formula>
    </cfRule>
  </conditionalFormatting>
  <conditionalFormatting sqref="H25">
    <cfRule type="cellIs" dxfId="1054" priority="231" stopIfTrue="1" operator="equal">
      <formula>$G$25</formula>
    </cfRule>
    <cfRule type="cellIs" dxfId="1053" priority="232" stopIfTrue="1" operator="lessThan">
      <formula>$G$25</formula>
    </cfRule>
  </conditionalFormatting>
  <conditionalFormatting sqref="H26">
    <cfRule type="cellIs" dxfId="1052" priority="234" stopIfTrue="1" operator="lessThan">
      <formula>$G$26</formula>
    </cfRule>
    <cfRule type="cellIs" dxfId="1051" priority="233" stopIfTrue="1" operator="equal">
      <formula>$G$26</formula>
    </cfRule>
  </conditionalFormatting>
  <conditionalFormatting sqref="H27">
    <cfRule type="cellIs" dxfId="1050" priority="235" stopIfTrue="1" operator="equal">
      <formula>$G$27</formula>
    </cfRule>
    <cfRule type="cellIs" dxfId="1049" priority="236" stopIfTrue="1" operator="lessThan">
      <formula>$G$27</formula>
    </cfRule>
  </conditionalFormatting>
  <conditionalFormatting sqref="H28">
    <cfRule type="cellIs" dxfId="1048" priority="238" stopIfTrue="1" operator="lessThan">
      <formula>$G$28</formula>
    </cfRule>
    <cfRule type="cellIs" dxfId="1047" priority="237" stopIfTrue="1" operator="equal">
      <formula>$G$28</formula>
    </cfRule>
  </conditionalFormatting>
  <conditionalFormatting sqref="I4">
    <cfRule type="cellIs" dxfId="1046" priority="2" stopIfTrue="1" operator="lessThan">
      <formula>$H$4</formula>
    </cfRule>
    <cfRule type="cellIs" dxfId="1045" priority="3" stopIfTrue="1" operator="equal">
      <formula>$H$4</formula>
    </cfRule>
  </conditionalFormatting>
  <conditionalFormatting sqref="I5">
    <cfRule type="cellIs" dxfId="1044" priority="6" stopIfTrue="1" operator="equal">
      <formula>$H$5</formula>
    </cfRule>
    <cfRule type="cellIs" dxfId="1043" priority="7" stopIfTrue="1" operator="lessThan">
      <formula>$H$5</formula>
    </cfRule>
  </conditionalFormatting>
  <conditionalFormatting sqref="I6">
    <cfRule type="cellIs" dxfId="1042" priority="33" stopIfTrue="1" operator="equal">
      <formula>$H$6</formula>
    </cfRule>
    <cfRule type="cellIs" dxfId="1041" priority="34" stopIfTrue="1" operator="lessThan">
      <formula>$H$6</formula>
    </cfRule>
  </conditionalFormatting>
  <conditionalFormatting sqref="I7">
    <cfRule type="cellIs" dxfId="1040" priority="46" stopIfTrue="1" operator="lessThan">
      <formula>$H$7</formula>
    </cfRule>
    <cfRule type="cellIs" dxfId="1039" priority="45" stopIfTrue="1" operator="equal">
      <formula>$H$7</formula>
    </cfRule>
  </conditionalFormatting>
  <conditionalFormatting sqref="I8">
    <cfRule type="cellIs" dxfId="1038" priority="60" stopIfTrue="1" operator="lessThan">
      <formula>$H$8</formula>
    </cfRule>
    <cfRule type="cellIs" dxfId="1037" priority="59" stopIfTrue="1" operator="equal">
      <formula>$H$8</formula>
    </cfRule>
  </conditionalFormatting>
  <conditionalFormatting sqref="I9">
    <cfRule type="cellIs" dxfId="1036" priority="73" stopIfTrue="1" operator="equal">
      <formula>$H$9</formula>
    </cfRule>
    <cfRule type="cellIs" dxfId="1035" priority="74" stopIfTrue="1" operator="lessThan">
      <formula>$H$9</formula>
    </cfRule>
  </conditionalFormatting>
  <conditionalFormatting sqref="I10">
    <cfRule type="cellIs" dxfId="1034" priority="87" stopIfTrue="1" operator="equal">
      <formula>$H$10</formula>
    </cfRule>
    <cfRule type="cellIs" dxfId="1033" priority="88" stopIfTrue="1" operator="lessThan">
      <formula>$H$10</formula>
    </cfRule>
  </conditionalFormatting>
  <conditionalFormatting sqref="I11">
    <cfRule type="cellIs" dxfId="1032" priority="101" stopIfTrue="1" operator="equal">
      <formula>$H$11</formula>
    </cfRule>
    <cfRule type="cellIs" dxfId="1031" priority="102" stopIfTrue="1" operator="lessThan">
      <formula>$H$11</formula>
    </cfRule>
  </conditionalFormatting>
  <conditionalFormatting sqref="I12">
    <cfRule type="cellIs" dxfId="1030" priority="115" stopIfTrue="1" operator="equal">
      <formula>$H$12</formula>
    </cfRule>
    <cfRule type="cellIs" dxfId="1029" priority="116" stopIfTrue="1" operator="lessThan">
      <formula>$H$12</formula>
    </cfRule>
  </conditionalFormatting>
  <conditionalFormatting sqref="I13">
    <cfRule type="cellIs" dxfId="1028" priority="241" stopIfTrue="1" operator="equal">
      <formula>$H$13</formula>
    </cfRule>
    <cfRule type="cellIs" dxfId="1027" priority="242" stopIfTrue="1" operator="lessThan">
      <formula>$H$13</formula>
    </cfRule>
  </conditionalFormatting>
  <conditionalFormatting sqref="I14">
    <cfRule type="cellIs" dxfId="1026" priority="244" stopIfTrue="1" operator="lessThan">
      <formula>$H$14</formula>
    </cfRule>
    <cfRule type="cellIs" dxfId="1025" priority="243" stopIfTrue="1" operator="equal">
      <formula>$H$14</formula>
    </cfRule>
  </conditionalFormatting>
  <conditionalFormatting sqref="I15">
    <cfRule type="cellIs" dxfId="1024" priority="245" stopIfTrue="1" operator="equal">
      <formula>$H$15</formula>
    </cfRule>
    <cfRule type="cellIs" dxfId="1023" priority="246" stopIfTrue="1" operator="lessThan">
      <formula>$H$15</formula>
    </cfRule>
  </conditionalFormatting>
  <conditionalFormatting sqref="I16">
    <cfRule type="cellIs" dxfId="1022" priority="248" stopIfTrue="1" operator="lessThan">
      <formula>$H$16</formula>
    </cfRule>
    <cfRule type="cellIs" dxfId="1021" priority="247" stopIfTrue="1" operator="equal">
      <formula>$H$16</formula>
    </cfRule>
  </conditionalFormatting>
  <conditionalFormatting sqref="I17">
    <cfRule type="cellIs" dxfId="1020" priority="250" stopIfTrue="1" operator="lessThan">
      <formula>$H$17</formula>
    </cfRule>
    <cfRule type="cellIs" dxfId="1019" priority="249" stopIfTrue="1" operator="equal">
      <formula>$H$17</formula>
    </cfRule>
  </conditionalFormatting>
  <conditionalFormatting sqref="I18">
    <cfRule type="cellIs" dxfId="1018" priority="251" stopIfTrue="1" operator="equal">
      <formula>$H$18</formula>
    </cfRule>
    <cfRule type="cellIs" dxfId="1017" priority="252" stopIfTrue="1" operator="lessThan">
      <formula>$H$18</formula>
    </cfRule>
  </conditionalFormatting>
  <conditionalFormatting sqref="I19">
    <cfRule type="cellIs" dxfId="1016" priority="253" stopIfTrue="1" operator="equal">
      <formula>$H$19</formula>
    </cfRule>
    <cfRule type="cellIs" dxfId="1015" priority="254" stopIfTrue="1" operator="lessThan">
      <formula>$H$19</formula>
    </cfRule>
  </conditionalFormatting>
  <conditionalFormatting sqref="I20">
    <cfRule type="cellIs" dxfId="1014" priority="255" stopIfTrue="1" operator="equal">
      <formula>$H$20</formula>
    </cfRule>
    <cfRule type="cellIs" dxfId="1013" priority="256" stopIfTrue="1" operator="lessThan">
      <formula>$H$20</formula>
    </cfRule>
  </conditionalFormatting>
  <conditionalFormatting sqref="I21">
    <cfRule type="cellIs" dxfId="1012" priority="257" stopIfTrue="1" operator="equal">
      <formula>$H$21</formula>
    </cfRule>
    <cfRule type="cellIs" dxfId="1011" priority="258" stopIfTrue="1" operator="lessThan">
      <formula>$H$21</formula>
    </cfRule>
  </conditionalFormatting>
  <conditionalFormatting sqref="I22">
    <cfRule type="cellIs" dxfId="1010" priority="260" stopIfTrue="1" operator="lessThan">
      <formula>$H$22</formula>
    </cfRule>
    <cfRule type="cellIs" dxfId="1009" priority="259" stopIfTrue="1" operator="equal">
      <formula>$H$22</formula>
    </cfRule>
  </conditionalFormatting>
  <conditionalFormatting sqref="I23">
    <cfRule type="cellIs" dxfId="1008" priority="262" stopIfTrue="1" operator="lessThan">
      <formula>$H$23</formula>
    </cfRule>
    <cfRule type="cellIs" dxfId="1007" priority="261" stopIfTrue="1" operator="equal">
      <formula>$H$23</formula>
    </cfRule>
  </conditionalFormatting>
  <conditionalFormatting sqref="I24">
    <cfRule type="cellIs" dxfId="1006" priority="280" stopIfTrue="1" operator="lessThan">
      <formula>$H$24</formula>
    </cfRule>
    <cfRule type="cellIs" dxfId="1005" priority="279" stopIfTrue="1" operator="equal">
      <formula>$H$24</formula>
    </cfRule>
  </conditionalFormatting>
  <conditionalFormatting sqref="I25">
    <cfRule type="cellIs" dxfId="1004" priority="263" stopIfTrue="1" operator="equal">
      <formula>$H$25</formula>
    </cfRule>
    <cfRule type="cellIs" dxfId="1003" priority="264" stopIfTrue="1" operator="lessThan">
      <formula>$H$25</formula>
    </cfRule>
  </conditionalFormatting>
  <conditionalFormatting sqref="I26">
    <cfRule type="cellIs" dxfId="1002" priority="266" stopIfTrue="1" operator="lessThan">
      <formula>$H$26</formula>
    </cfRule>
    <cfRule type="cellIs" dxfId="1001" priority="265" stopIfTrue="1" operator="equal">
      <formula>$H$26</formula>
    </cfRule>
  </conditionalFormatting>
  <conditionalFormatting sqref="I27">
    <cfRule type="cellIs" dxfId="1000" priority="267" stopIfTrue="1" operator="equal">
      <formula>$H$27</formula>
    </cfRule>
    <cfRule type="cellIs" dxfId="999" priority="268" stopIfTrue="1" operator="lessThan">
      <formula>$H$27</formula>
    </cfRule>
  </conditionalFormatting>
  <conditionalFormatting sqref="I28">
    <cfRule type="cellIs" dxfId="998" priority="269" stopIfTrue="1" operator="equal">
      <formula>$H$28</formula>
    </cfRule>
    <cfRule type="cellIs" dxfId="997" priority="270" stopIfTrue="1" operator="lessThan">
      <formula>$H$28</formula>
    </cfRule>
  </conditionalFormatting>
  <conditionalFormatting sqref="J4">
    <cfRule type="cellIs" dxfId="996" priority="22" stopIfTrue="1" operator="equal">
      <formula>$I$4</formula>
    </cfRule>
  </conditionalFormatting>
  <conditionalFormatting sqref="J5">
    <cfRule type="cellIs" dxfId="995" priority="9" stopIfTrue="1" operator="lessThan">
      <formula>$I$5</formula>
    </cfRule>
    <cfRule type="cellIs" dxfId="994" priority="8" stopIfTrue="1" operator="equal">
      <formula>$I$5</formula>
    </cfRule>
  </conditionalFormatting>
  <conditionalFormatting sqref="J6">
    <cfRule type="cellIs" dxfId="993" priority="35" stopIfTrue="1" operator="equal">
      <formula>$I$6</formula>
    </cfRule>
    <cfRule type="cellIs" dxfId="992" priority="36" stopIfTrue="1" operator="lessThan">
      <formula>$I$6</formula>
    </cfRule>
  </conditionalFormatting>
  <conditionalFormatting sqref="J7">
    <cfRule type="cellIs" dxfId="991" priority="47" stopIfTrue="1" operator="equal">
      <formula>$I$7</formula>
    </cfRule>
    <cfRule type="cellIs" dxfId="990" priority="48" stopIfTrue="1" operator="lessThan">
      <formula>$I$7</formula>
    </cfRule>
  </conditionalFormatting>
  <conditionalFormatting sqref="J8">
    <cfRule type="cellIs" dxfId="989" priority="62" stopIfTrue="1" operator="lessThan">
      <formula>$I$8</formula>
    </cfRule>
    <cfRule type="cellIs" dxfId="988" priority="61" stopIfTrue="1" operator="equal">
      <formula>$I$8</formula>
    </cfRule>
  </conditionalFormatting>
  <conditionalFormatting sqref="J9">
    <cfRule type="cellIs" dxfId="987" priority="76" stopIfTrue="1" operator="lessThan">
      <formula>$I$9</formula>
    </cfRule>
    <cfRule type="cellIs" dxfId="986" priority="75" stopIfTrue="1" operator="equal">
      <formula>$I$9</formula>
    </cfRule>
  </conditionalFormatting>
  <conditionalFormatting sqref="J10">
    <cfRule type="cellIs" dxfId="985" priority="90" stopIfTrue="1" operator="lessThan">
      <formula>$I$10</formula>
    </cfRule>
    <cfRule type="cellIs" dxfId="984" priority="89" stopIfTrue="1" operator="equal">
      <formula>$I$10</formula>
    </cfRule>
  </conditionalFormatting>
  <conditionalFormatting sqref="J11">
    <cfRule type="cellIs" dxfId="983" priority="103" stopIfTrue="1" operator="equal">
      <formula>$I$11</formula>
    </cfRule>
    <cfRule type="cellIs" dxfId="982" priority="104" stopIfTrue="1" operator="lessThan">
      <formula>$I$11</formula>
    </cfRule>
  </conditionalFormatting>
  <conditionalFormatting sqref="J12">
    <cfRule type="cellIs" dxfId="981" priority="118" stopIfTrue="1" operator="lessThan">
      <formula>$I$12</formula>
    </cfRule>
    <cfRule type="cellIs" dxfId="980" priority="117" stopIfTrue="1" operator="equal">
      <formula>$I$12</formula>
    </cfRule>
  </conditionalFormatting>
  <conditionalFormatting sqref="J13">
    <cfRule type="cellIs" dxfId="979" priority="287" stopIfTrue="1" operator="equal">
      <formula>$I$13</formula>
    </cfRule>
    <cfRule type="cellIs" dxfId="978" priority="288" stopIfTrue="1" operator="lessThan">
      <formula>$I$13</formula>
    </cfRule>
  </conditionalFormatting>
  <conditionalFormatting sqref="J14">
    <cfRule type="cellIs" dxfId="977" priority="289" stopIfTrue="1" operator="equal">
      <formula>$I$14</formula>
    </cfRule>
    <cfRule type="cellIs" dxfId="976" priority="290" stopIfTrue="1" operator="lessThan">
      <formula>$I$14</formula>
    </cfRule>
  </conditionalFormatting>
  <conditionalFormatting sqref="J15">
    <cfRule type="cellIs" dxfId="975" priority="292" stopIfTrue="1" operator="lessThan">
      <formula>$I$15</formula>
    </cfRule>
    <cfRule type="cellIs" dxfId="974" priority="291" stopIfTrue="1" operator="equal">
      <formula>$I$15</formula>
    </cfRule>
  </conditionalFormatting>
  <conditionalFormatting sqref="J16">
    <cfRule type="cellIs" dxfId="973" priority="293" stopIfTrue="1" operator="equal">
      <formula>$I$16</formula>
    </cfRule>
    <cfRule type="cellIs" dxfId="972" priority="294" stopIfTrue="1" operator="lessThan">
      <formula>$I$16</formula>
    </cfRule>
  </conditionalFormatting>
  <conditionalFormatting sqref="J17">
    <cfRule type="cellIs" dxfId="971" priority="296" stopIfTrue="1" operator="lessThan">
      <formula>$I$17</formula>
    </cfRule>
    <cfRule type="cellIs" dxfId="970" priority="295" stopIfTrue="1" operator="equal">
      <formula>$I$17</formula>
    </cfRule>
  </conditionalFormatting>
  <conditionalFormatting sqref="J18">
    <cfRule type="cellIs" dxfId="969" priority="297" stopIfTrue="1" operator="equal">
      <formula>$I$18</formula>
    </cfRule>
    <cfRule type="cellIs" dxfId="968" priority="298" stopIfTrue="1" operator="lessThan">
      <formula>$I$18</formula>
    </cfRule>
  </conditionalFormatting>
  <conditionalFormatting sqref="J19">
    <cfRule type="cellIs" dxfId="967" priority="300" stopIfTrue="1" operator="lessThan">
      <formula>$I$19</formula>
    </cfRule>
    <cfRule type="cellIs" dxfId="966" priority="299" stopIfTrue="1" operator="equal">
      <formula>$I$19</formula>
    </cfRule>
  </conditionalFormatting>
  <conditionalFormatting sqref="J20">
    <cfRule type="cellIs" dxfId="965" priority="302" stopIfTrue="1" operator="lessThan">
      <formula>$I$20</formula>
    </cfRule>
    <cfRule type="cellIs" dxfId="964" priority="301" stopIfTrue="1" operator="equal">
      <formula>$I$20</formula>
    </cfRule>
  </conditionalFormatting>
  <conditionalFormatting sqref="J21">
    <cfRule type="cellIs" dxfId="963" priority="303" stopIfTrue="1" operator="equal">
      <formula>$I$21</formula>
    </cfRule>
    <cfRule type="cellIs" dxfId="962" priority="304" stopIfTrue="1" operator="lessThan">
      <formula>$I$21</formula>
    </cfRule>
  </conditionalFormatting>
  <conditionalFormatting sqref="J22">
    <cfRule type="cellIs" dxfId="961" priority="306" stopIfTrue="1" operator="lessThan">
      <formula>$I$22</formula>
    </cfRule>
    <cfRule type="cellIs" dxfId="960" priority="305" stopIfTrue="1" operator="equal">
      <formula>$I$22</formula>
    </cfRule>
  </conditionalFormatting>
  <conditionalFormatting sqref="J23">
    <cfRule type="cellIs" dxfId="959" priority="308" stopIfTrue="1" operator="lessThan">
      <formula>$I$23</formula>
    </cfRule>
    <cfRule type="cellIs" dxfId="958" priority="307" stopIfTrue="1" operator="equal">
      <formula>$I$23</formula>
    </cfRule>
  </conditionalFormatting>
  <conditionalFormatting sqref="J24">
    <cfRule type="cellIs" dxfId="957" priority="310" stopIfTrue="1" operator="lessThan">
      <formula>$I$24</formula>
    </cfRule>
    <cfRule type="cellIs" dxfId="956" priority="309" stopIfTrue="1" operator="equal">
      <formula>$I$24</formula>
    </cfRule>
  </conditionalFormatting>
  <conditionalFormatting sqref="J25">
    <cfRule type="cellIs" dxfId="955" priority="312" stopIfTrue="1" operator="lessThan">
      <formula>$I$25</formula>
    </cfRule>
    <cfRule type="cellIs" dxfId="954" priority="311" stopIfTrue="1" operator="equal">
      <formula>$I$25</formula>
    </cfRule>
  </conditionalFormatting>
  <conditionalFormatting sqref="J26">
    <cfRule type="cellIs" dxfId="953" priority="314" stopIfTrue="1" operator="lessThan">
      <formula>$I$26</formula>
    </cfRule>
    <cfRule type="cellIs" dxfId="952" priority="313" stopIfTrue="1" operator="equal">
      <formula>$I$26</formula>
    </cfRule>
  </conditionalFormatting>
  <conditionalFormatting sqref="J27">
    <cfRule type="cellIs" dxfId="951" priority="316" stopIfTrue="1" operator="lessThan">
      <formula>$I$27</formula>
    </cfRule>
    <cfRule type="cellIs" dxfId="950" priority="315" stopIfTrue="1" operator="equal">
      <formula>$I$27</formula>
    </cfRule>
  </conditionalFormatting>
  <conditionalFormatting sqref="J28">
    <cfRule type="cellIs" dxfId="949" priority="319" stopIfTrue="1" operator="lessThan">
      <formula>$I$28</formula>
    </cfRule>
    <cfRule type="cellIs" dxfId="948" priority="318" stopIfTrue="1" operator="equal">
      <formula>$I$28</formula>
    </cfRule>
  </conditionalFormatting>
  <conditionalFormatting sqref="J29">
    <cfRule type="cellIs" dxfId="947" priority="320" stopIfTrue="1" operator="equal">
      <formula>$I$29</formula>
    </cfRule>
    <cfRule type="cellIs" dxfId="946" priority="321" stopIfTrue="1" operator="lessThan">
      <formula>$I$29</formula>
    </cfRule>
  </conditionalFormatting>
  <conditionalFormatting sqref="K4">
    <cfRule type="cellIs" dxfId="945" priority="23" stopIfTrue="1" operator="lessThan">
      <formula>$J$4</formula>
    </cfRule>
    <cfRule type="cellIs" dxfId="944" priority="24" stopIfTrue="1" operator="equal">
      <formula>$J$4</formula>
    </cfRule>
  </conditionalFormatting>
  <conditionalFormatting sqref="K5">
    <cfRule type="cellIs" dxfId="943" priority="11" stopIfTrue="1" operator="lessThan">
      <formula>$J$5</formula>
    </cfRule>
    <cfRule type="cellIs" dxfId="942" priority="10" stopIfTrue="1" operator="equal">
      <formula>$J$5</formula>
    </cfRule>
  </conditionalFormatting>
  <conditionalFormatting sqref="K6">
    <cfRule type="cellIs" dxfId="941" priority="38" stopIfTrue="1" operator="lessThan">
      <formula>$J$6</formula>
    </cfRule>
    <cfRule type="cellIs" dxfId="940" priority="37" stopIfTrue="1" operator="equal">
      <formula>$J$6</formula>
    </cfRule>
  </conditionalFormatting>
  <conditionalFormatting sqref="K7">
    <cfRule type="cellIs" dxfId="939" priority="50" stopIfTrue="1" operator="lessThan">
      <formula>$J$7</formula>
    </cfRule>
    <cfRule type="cellIs" dxfId="938" priority="49" stopIfTrue="1" operator="equal">
      <formula>$J$7</formula>
    </cfRule>
  </conditionalFormatting>
  <conditionalFormatting sqref="K8">
    <cfRule type="cellIs" dxfId="937" priority="64" stopIfTrue="1" operator="lessThan">
      <formula>$J$8</formula>
    </cfRule>
    <cfRule type="cellIs" dxfId="936" priority="63" stopIfTrue="1" operator="equal">
      <formula>$J$8</formula>
    </cfRule>
  </conditionalFormatting>
  <conditionalFormatting sqref="K9">
    <cfRule type="cellIs" dxfId="935" priority="78" stopIfTrue="1" operator="lessThan">
      <formula>$J$9</formula>
    </cfRule>
    <cfRule type="cellIs" dxfId="934" priority="77" stopIfTrue="1" operator="equal">
      <formula>$J$9</formula>
    </cfRule>
  </conditionalFormatting>
  <conditionalFormatting sqref="K10">
    <cfRule type="cellIs" dxfId="933" priority="92" stopIfTrue="1" operator="lessThan">
      <formula>$J$10</formula>
    </cfRule>
    <cfRule type="cellIs" dxfId="932" priority="91" stopIfTrue="1" operator="equal">
      <formula>$J$10</formula>
    </cfRule>
  </conditionalFormatting>
  <conditionalFormatting sqref="K11">
    <cfRule type="cellIs" dxfId="931" priority="106" stopIfTrue="1" operator="lessThan">
      <formula>$J$11</formula>
    </cfRule>
    <cfRule type="cellIs" dxfId="930" priority="105" stopIfTrue="1" operator="equal">
      <formula>$J$11</formula>
    </cfRule>
  </conditionalFormatting>
  <conditionalFormatting sqref="K12">
    <cfRule type="cellIs" dxfId="929" priority="119" stopIfTrue="1" operator="equal">
      <formula>$J$12</formula>
    </cfRule>
    <cfRule type="cellIs" dxfId="928" priority="120" stopIfTrue="1" operator="lessThan">
      <formula>$J$12</formula>
    </cfRule>
  </conditionalFormatting>
  <conditionalFormatting sqref="K13">
    <cfRule type="cellIs" dxfId="927" priority="323" stopIfTrue="1" operator="lessThan">
      <formula>$J$13</formula>
    </cfRule>
    <cfRule type="cellIs" dxfId="926" priority="322" stopIfTrue="1" operator="equal">
      <formula>$J$13</formula>
    </cfRule>
  </conditionalFormatting>
  <conditionalFormatting sqref="K14">
    <cfRule type="cellIs" dxfId="925" priority="325" stopIfTrue="1" operator="lessThan">
      <formula>$J$14</formula>
    </cfRule>
    <cfRule type="cellIs" dxfId="924" priority="324" stopIfTrue="1" operator="equal">
      <formula>$J$14</formula>
    </cfRule>
  </conditionalFormatting>
  <conditionalFormatting sqref="K15">
    <cfRule type="cellIs" dxfId="923" priority="326" stopIfTrue="1" operator="equal">
      <formula>$J$15</formula>
    </cfRule>
    <cfRule type="cellIs" dxfId="922" priority="327" stopIfTrue="1" operator="lessThan">
      <formula>$J$15</formula>
    </cfRule>
  </conditionalFormatting>
  <conditionalFormatting sqref="K16">
    <cfRule type="cellIs" dxfId="921" priority="328" stopIfTrue="1" operator="equal">
      <formula>$J$16</formula>
    </cfRule>
    <cfRule type="cellIs" dxfId="920" priority="329" stopIfTrue="1" operator="lessThan">
      <formula>$J$16</formula>
    </cfRule>
  </conditionalFormatting>
  <conditionalFormatting sqref="K17">
    <cfRule type="cellIs" dxfId="919" priority="330" stopIfTrue="1" operator="equal">
      <formula>$J$17</formula>
    </cfRule>
    <cfRule type="cellIs" dxfId="918" priority="331" stopIfTrue="1" operator="lessThan">
      <formula>$J$17</formula>
    </cfRule>
  </conditionalFormatting>
  <conditionalFormatting sqref="K18">
    <cfRule type="cellIs" dxfId="917" priority="332" stopIfTrue="1" operator="equal">
      <formula>$J$18</formula>
    </cfRule>
    <cfRule type="cellIs" dxfId="916" priority="333" stopIfTrue="1" operator="lessThan">
      <formula>$J$18</formula>
    </cfRule>
  </conditionalFormatting>
  <conditionalFormatting sqref="K19">
    <cfRule type="cellIs" dxfId="915" priority="334" stopIfTrue="1" operator="equal">
      <formula>$J$19</formula>
    </cfRule>
    <cfRule type="cellIs" dxfId="914" priority="335" stopIfTrue="1" operator="lessThan">
      <formula>$J$19</formula>
    </cfRule>
  </conditionalFormatting>
  <conditionalFormatting sqref="K20">
    <cfRule type="cellIs" dxfId="913" priority="336" stopIfTrue="1" operator="equal">
      <formula>$J$20</formula>
    </cfRule>
    <cfRule type="cellIs" dxfId="912" priority="337" stopIfTrue="1" operator="lessThan">
      <formula>$J$20</formula>
    </cfRule>
  </conditionalFormatting>
  <conditionalFormatting sqref="K21">
    <cfRule type="cellIs" dxfId="911" priority="338" stopIfTrue="1" operator="equal">
      <formula>$J$21</formula>
    </cfRule>
    <cfRule type="cellIs" dxfId="910" priority="339" stopIfTrue="1" operator="lessThan">
      <formula>$J$21</formula>
    </cfRule>
  </conditionalFormatting>
  <conditionalFormatting sqref="K22">
    <cfRule type="cellIs" dxfId="909" priority="340" stopIfTrue="1" operator="equal">
      <formula>$J$22</formula>
    </cfRule>
    <cfRule type="cellIs" dxfId="908" priority="341" stopIfTrue="1" operator="lessThan">
      <formula>$J$22</formula>
    </cfRule>
  </conditionalFormatting>
  <conditionalFormatting sqref="K23">
    <cfRule type="cellIs" dxfId="907" priority="343" stopIfTrue="1" operator="lessThan">
      <formula>$J$23</formula>
    </cfRule>
    <cfRule type="cellIs" dxfId="906" priority="342" stopIfTrue="1" operator="equal">
      <formula>$J$23</formula>
    </cfRule>
  </conditionalFormatting>
  <conditionalFormatting sqref="K24">
    <cfRule type="cellIs" dxfId="905" priority="344" stopIfTrue="1" operator="equal">
      <formula>$J$24</formula>
    </cfRule>
    <cfRule type="cellIs" dxfId="904" priority="345" stopIfTrue="1" operator="lessThan">
      <formula>$J$24</formula>
    </cfRule>
  </conditionalFormatting>
  <conditionalFormatting sqref="K25">
    <cfRule type="cellIs" dxfId="903" priority="346" stopIfTrue="1" operator="equal">
      <formula>$J$25</formula>
    </cfRule>
    <cfRule type="cellIs" dxfId="902" priority="347" stopIfTrue="1" operator="lessThan">
      <formula>$J$25</formula>
    </cfRule>
  </conditionalFormatting>
  <conditionalFormatting sqref="K26">
    <cfRule type="cellIs" dxfId="901" priority="348" stopIfTrue="1" operator="equal">
      <formula>$J$26</formula>
    </cfRule>
    <cfRule type="cellIs" dxfId="900" priority="349" stopIfTrue="1" operator="lessThan">
      <formula>$J$26</formula>
    </cfRule>
  </conditionalFormatting>
  <conditionalFormatting sqref="K27">
    <cfRule type="cellIs" dxfId="899" priority="350" stopIfTrue="1" operator="equal">
      <formula>$J$27</formula>
    </cfRule>
    <cfRule type="cellIs" dxfId="898" priority="351" stopIfTrue="1" operator="lessThan">
      <formula>$J$27</formula>
    </cfRule>
  </conditionalFormatting>
  <conditionalFormatting sqref="K28">
    <cfRule type="cellIs" dxfId="897" priority="352" stopIfTrue="1" operator="equal">
      <formula>$J$28</formula>
    </cfRule>
    <cfRule type="cellIs" dxfId="896" priority="353" stopIfTrue="1" operator="lessThan">
      <formula>$J$28</formula>
    </cfRule>
  </conditionalFormatting>
  <conditionalFormatting sqref="L4">
    <cfRule type="cellIs" dxfId="895" priority="354" stopIfTrue="1" operator="equal">
      <formula>$K$4</formula>
    </cfRule>
    <cfRule type="cellIs" dxfId="894" priority="355" stopIfTrue="1" operator="lessThan">
      <formula>$K$4</formula>
    </cfRule>
  </conditionalFormatting>
  <conditionalFormatting sqref="L5">
    <cfRule type="cellIs" dxfId="893" priority="356" stopIfTrue="1" operator="equal">
      <formula>$K$5</formula>
    </cfRule>
    <cfRule type="cellIs" dxfId="892" priority="357" stopIfTrue="1" operator="lessThan">
      <formula>$K$5</formula>
    </cfRule>
  </conditionalFormatting>
  <conditionalFormatting sqref="L6">
    <cfRule type="cellIs" dxfId="891" priority="358" stopIfTrue="1" operator="equal">
      <formula>$K$6</formula>
    </cfRule>
    <cfRule type="cellIs" dxfId="890" priority="359" stopIfTrue="1" operator="lessThan">
      <formula>$K$6</formula>
    </cfRule>
  </conditionalFormatting>
  <conditionalFormatting sqref="L7">
    <cfRule type="cellIs" dxfId="889" priority="360" stopIfTrue="1" operator="equal">
      <formula>$K$7</formula>
    </cfRule>
    <cfRule type="cellIs" dxfId="888" priority="361" stopIfTrue="1" operator="lessThan">
      <formula>$K$7</formula>
    </cfRule>
  </conditionalFormatting>
  <conditionalFormatting sqref="L8">
    <cfRule type="cellIs" dxfId="887" priority="363" stopIfTrue="1" operator="lessThan">
      <formula>$K$8</formula>
    </cfRule>
    <cfRule type="cellIs" dxfId="886" priority="362" stopIfTrue="1" operator="equal">
      <formula>$K$8</formula>
    </cfRule>
  </conditionalFormatting>
  <conditionalFormatting sqref="L9">
    <cfRule type="cellIs" dxfId="885" priority="365" stopIfTrue="1" operator="lessThan">
      <formula>$K$9</formula>
    </cfRule>
    <cfRule type="cellIs" dxfId="884" priority="364" stopIfTrue="1" operator="equal">
      <formula>$K$9</formula>
    </cfRule>
  </conditionalFormatting>
  <conditionalFormatting sqref="L10">
    <cfRule type="cellIs" dxfId="883" priority="366" stopIfTrue="1" operator="equal">
      <formula>$K$10</formula>
    </cfRule>
    <cfRule type="cellIs" dxfId="882" priority="367" stopIfTrue="1" operator="lessThan">
      <formula>$K$10</formula>
    </cfRule>
  </conditionalFormatting>
  <conditionalFormatting sqref="L11">
    <cfRule type="cellIs" dxfId="881" priority="368" stopIfTrue="1" operator="equal">
      <formula>$K$11</formula>
    </cfRule>
    <cfRule type="cellIs" dxfId="880" priority="369" stopIfTrue="1" operator="lessThan">
      <formula>$K$11</formula>
    </cfRule>
  </conditionalFormatting>
  <conditionalFormatting sqref="L12">
    <cfRule type="cellIs" dxfId="879" priority="370" stopIfTrue="1" operator="equal">
      <formula>$K$12</formula>
    </cfRule>
    <cfRule type="cellIs" dxfId="878" priority="371" stopIfTrue="1" operator="lessThan">
      <formula>$K$12</formula>
    </cfRule>
  </conditionalFormatting>
  <conditionalFormatting sqref="L13">
    <cfRule type="cellIs" dxfId="877" priority="372" stopIfTrue="1" operator="equal">
      <formula>$K$13</formula>
    </cfRule>
    <cfRule type="cellIs" dxfId="876" priority="373" stopIfTrue="1" operator="lessThan">
      <formula>$K$13</formula>
    </cfRule>
  </conditionalFormatting>
  <conditionalFormatting sqref="L14">
    <cfRule type="cellIs" dxfId="875" priority="374" stopIfTrue="1" operator="equal">
      <formula>$K$14</formula>
    </cfRule>
    <cfRule type="cellIs" dxfId="874" priority="375" stopIfTrue="1" operator="lessThan">
      <formula>$K$14</formula>
    </cfRule>
  </conditionalFormatting>
  <conditionalFormatting sqref="L15">
    <cfRule type="cellIs" dxfId="873" priority="376" stopIfTrue="1" operator="equal">
      <formula>$K$15</formula>
    </cfRule>
    <cfRule type="cellIs" dxfId="872" priority="377" stopIfTrue="1" operator="lessThan">
      <formula>$K$15</formula>
    </cfRule>
  </conditionalFormatting>
  <conditionalFormatting sqref="L16">
    <cfRule type="cellIs" dxfId="871" priority="378" stopIfTrue="1" operator="equal">
      <formula>$K$16</formula>
    </cfRule>
    <cfRule type="cellIs" dxfId="870" priority="379" stopIfTrue="1" operator="lessThan">
      <formula>$K$16</formula>
    </cfRule>
  </conditionalFormatting>
  <conditionalFormatting sqref="L17">
    <cfRule type="cellIs" dxfId="869" priority="380" stopIfTrue="1" operator="equal">
      <formula>$K$17</formula>
    </cfRule>
    <cfRule type="cellIs" dxfId="868" priority="381" stopIfTrue="1" operator="lessThan">
      <formula>$K$17</formula>
    </cfRule>
  </conditionalFormatting>
  <conditionalFormatting sqref="L18">
    <cfRule type="cellIs" dxfId="867" priority="383" stopIfTrue="1" operator="lessThan">
      <formula>$K$18</formula>
    </cfRule>
    <cfRule type="cellIs" dxfId="866" priority="382" stopIfTrue="1" operator="equal">
      <formula>$K$18</formula>
    </cfRule>
  </conditionalFormatting>
  <conditionalFormatting sqref="L19">
    <cfRule type="cellIs" dxfId="865" priority="385" stopIfTrue="1" operator="lessThan">
      <formula>$K$19</formula>
    </cfRule>
    <cfRule type="cellIs" dxfId="864" priority="384" stopIfTrue="1" operator="equal">
      <formula>$K$19</formula>
    </cfRule>
  </conditionalFormatting>
  <conditionalFormatting sqref="L20">
    <cfRule type="cellIs" dxfId="863" priority="386" stopIfTrue="1" operator="equal">
      <formula>$K$20</formula>
    </cfRule>
    <cfRule type="cellIs" dxfId="862" priority="387" stopIfTrue="1" operator="lessThan">
      <formula>$K$20</formula>
    </cfRule>
  </conditionalFormatting>
  <conditionalFormatting sqref="L21">
    <cfRule type="cellIs" dxfId="861" priority="388" stopIfTrue="1" operator="equal">
      <formula>$K$21</formula>
    </cfRule>
    <cfRule type="cellIs" dxfId="860" priority="389" stopIfTrue="1" operator="lessThan">
      <formula>$K$21</formula>
    </cfRule>
  </conditionalFormatting>
  <conditionalFormatting sqref="L22">
    <cfRule type="cellIs" dxfId="859" priority="390" stopIfTrue="1" operator="equal">
      <formula>$K$22</formula>
    </cfRule>
    <cfRule type="cellIs" dxfId="858" priority="391" stopIfTrue="1" operator="lessThan">
      <formula>$K$22</formula>
    </cfRule>
  </conditionalFormatting>
  <conditionalFormatting sqref="L23">
    <cfRule type="cellIs" dxfId="857" priority="392" stopIfTrue="1" operator="equal">
      <formula>$K$23</formula>
    </cfRule>
    <cfRule type="cellIs" dxfId="856" priority="393" stopIfTrue="1" operator="lessThan">
      <formula>$K$23</formula>
    </cfRule>
  </conditionalFormatting>
  <conditionalFormatting sqref="L24">
    <cfRule type="cellIs" dxfId="855" priority="394" stopIfTrue="1" operator="equal">
      <formula>$K$24</formula>
    </cfRule>
    <cfRule type="cellIs" dxfId="854" priority="395" stopIfTrue="1" operator="lessThan">
      <formula>$K$24</formula>
    </cfRule>
  </conditionalFormatting>
  <conditionalFormatting sqref="L25">
    <cfRule type="cellIs" dxfId="853" priority="396" stopIfTrue="1" operator="equal">
      <formula>$K$25</formula>
    </cfRule>
    <cfRule type="cellIs" dxfId="852" priority="397" stopIfTrue="1" operator="lessThan">
      <formula>$K$25</formula>
    </cfRule>
  </conditionalFormatting>
  <conditionalFormatting sqref="L26">
    <cfRule type="cellIs" dxfId="851" priority="398" stopIfTrue="1" operator="equal">
      <formula>$K$26</formula>
    </cfRule>
    <cfRule type="cellIs" dxfId="850" priority="399" stopIfTrue="1" operator="lessThan">
      <formula>$K$26</formula>
    </cfRule>
  </conditionalFormatting>
  <conditionalFormatting sqref="L27">
    <cfRule type="cellIs" dxfId="849" priority="400" stopIfTrue="1" operator="equal">
      <formula>$K$27</formula>
    </cfRule>
    <cfRule type="cellIs" dxfId="848" priority="401" stopIfTrue="1" operator="lessThan">
      <formula>$K$27</formula>
    </cfRule>
  </conditionalFormatting>
  <conditionalFormatting sqref="L28">
    <cfRule type="cellIs" dxfId="847" priority="403" stopIfTrue="1" operator="equal">
      <formula>$K$28</formula>
    </cfRule>
    <cfRule type="cellIs" dxfId="846" priority="402" stopIfTrue="1" operator="lessThan">
      <formula>$K$28</formula>
    </cfRule>
  </conditionalFormatting>
  <conditionalFormatting sqref="M4">
    <cfRule type="cellIs" dxfId="845" priority="405" stopIfTrue="1" operator="lessThan">
      <formula>$L$4</formula>
    </cfRule>
    <cfRule type="cellIs" dxfId="844" priority="404" stopIfTrue="1" operator="equal">
      <formula>$L$4</formula>
    </cfRule>
  </conditionalFormatting>
  <conditionalFormatting sqref="M5">
    <cfRule type="cellIs" dxfId="843" priority="406" stopIfTrue="1" operator="equal">
      <formula>$L$5</formula>
    </cfRule>
    <cfRule type="cellIs" dxfId="842" priority="407" stopIfTrue="1" operator="lessThan">
      <formula>$L$5</formula>
    </cfRule>
  </conditionalFormatting>
  <conditionalFormatting sqref="M6">
    <cfRule type="cellIs" dxfId="841" priority="408" stopIfTrue="1" operator="equal">
      <formula>$L$6</formula>
    </cfRule>
    <cfRule type="cellIs" dxfId="840" priority="409" stopIfTrue="1" operator="lessThan">
      <formula>$L$6</formula>
    </cfRule>
  </conditionalFormatting>
  <conditionalFormatting sqref="M7">
    <cfRule type="cellIs" dxfId="839" priority="410" stopIfTrue="1" operator="equal">
      <formula>$L$7</formula>
    </cfRule>
    <cfRule type="cellIs" dxfId="838" priority="411" stopIfTrue="1" operator="lessThan">
      <formula>$L$7</formula>
    </cfRule>
  </conditionalFormatting>
  <conditionalFormatting sqref="M8">
    <cfRule type="cellIs" dxfId="837" priority="412" stopIfTrue="1" operator="equal">
      <formula>$L$8</formula>
    </cfRule>
    <cfRule type="cellIs" dxfId="836" priority="413" stopIfTrue="1" operator="lessThan">
      <formula>$L$8</formula>
    </cfRule>
  </conditionalFormatting>
  <conditionalFormatting sqref="M9">
    <cfRule type="cellIs" dxfId="835" priority="414" stopIfTrue="1" operator="equal">
      <formula>$L$9</formula>
    </cfRule>
    <cfRule type="cellIs" dxfId="834" priority="415" stopIfTrue="1" operator="lessThan">
      <formula>$L$9</formula>
    </cfRule>
  </conditionalFormatting>
  <conditionalFormatting sqref="M10">
    <cfRule type="cellIs" dxfId="833" priority="416" stopIfTrue="1" operator="equal">
      <formula>$L$10</formula>
    </cfRule>
    <cfRule type="cellIs" dxfId="832" priority="417" stopIfTrue="1" operator="lessThan">
      <formula>$L$10</formula>
    </cfRule>
  </conditionalFormatting>
  <conditionalFormatting sqref="M11">
    <cfRule type="cellIs" dxfId="831" priority="438" stopIfTrue="1" operator="equal">
      <formula>$L$11</formula>
    </cfRule>
    <cfRule type="cellIs" dxfId="830" priority="439" stopIfTrue="1" operator="lessThan">
      <formula>$L$11</formula>
    </cfRule>
  </conditionalFormatting>
  <conditionalFormatting sqref="M12">
    <cfRule type="cellIs" dxfId="829" priority="418" stopIfTrue="1" operator="equal">
      <formula>$L$12</formula>
    </cfRule>
    <cfRule type="cellIs" dxfId="828" priority="419" stopIfTrue="1" operator="lessThan">
      <formula>$L$12</formula>
    </cfRule>
  </conditionalFormatting>
  <conditionalFormatting sqref="M13">
    <cfRule type="cellIs" dxfId="827" priority="420" stopIfTrue="1" operator="equal">
      <formula>$L$13</formula>
    </cfRule>
    <cfRule type="cellIs" dxfId="826" priority="421" stopIfTrue="1" operator="lessThan">
      <formula>$L$13</formula>
    </cfRule>
  </conditionalFormatting>
  <conditionalFormatting sqref="M14">
    <cfRule type="cellIs" dxfId="825" priority="423" stopIfTrue="1" operator="lessThan">
      <formula>$L$14</formula>
    </cfRule>
    <cfRule type="cellIs" dxfId="824" priority="422" stopIfTrue="1" operator="equal">
      <formula>$L$14</formula>
    </cfRule>
  </conditionalFormatting>
  <conditionalFormatting sqref="M15">
    <cfRule type="cellIs" dxfId="823" priority="424" stopIfTrue="1" operator="equal">
      <formula>$L$15</formula>
    </cfRule>
    <cfRule type="cellIs" dxfId="822" priority="425" stopIfTrue="1" operator="lessThan">
      <formula>$L$15</formula>
    </cfRule>
  </conditionalFormatting>
  <conditionalFormatting sqref="M16">
    <cfRule type="cellIs" dxfId="821" priority="426" stopIfTrue="1" operator="equal">
      <formula>$L$16</formula>
    </cfRule>
    <cfRule type="cellIs" dxfId="820" priority="427" stopIfTrue="1" operator="lessThan">
      <formula>$L$16</formula>
    </cfRule>
  </conditionalFormatting>
  <conditionalFormatting sqref="M17">
    <cfRule type="cellIs" dxfId="819" priority="428" stopIfTrue="1" operator="equal">
      <formula>$L$17</formula>
    </cfRule>
    <cfRule type="cellIs" dxfId="818" priority="429" stopIfTrue="1" operator="lessThan">
      <formula>$L$17</formula>
    </cfRule>
  </conditionalFormatting>
  <conditionalFormatting sqref="M18">
    <cfRule type="cellIs" dxfId="817" priority="430" stopIfTrue="1" operator="equal">
      <formula>$L$18</formula>
    </cfRule>
    <cfRule type="cellIs" dxfId="816" priority="431" stopIfTrue="1" operator="lessThan">
      <formula>$L$18</formula>
    </cfRule>
  </conditionalFormatting>
  <conditionalFormatting sqref="M19">
    <cfRule type="cellIs" dxfId="815" priority="432" stopIfTrue="1" operator="equal">
      <formula>$L$19</formula>
    </cfRule>
    <cfRule type="cellIs" dxfId="814" priority="433" stopIfTrue="1" operator="lessThan">
      <formula>$L$19</formula>
    </cfRule>
  </conditionalFormatting>
  <conditionalFormatting sqref="M20">
    <cfRule type="cellIs" dxfId="813" priority="434" stopIfTrue="1" operator="equal">
      <formula>$L$20</formula>
    </cfRule>
    <cfRule type="cellIs" dxfId="812" priority="435" stopIfTrue="1" operator="lessThan">
      <formula>$L$20</formula>
    </cfRule>
  </conditionalFormatting>
  <conditionalFormatting sqref="M21">
    <cfRule type="cellIs" dxfId="811" priority="436" stopIfTrue="1" operator="equal">
      <formula>$L$21</formula>
    </cfRule>
    <cfRule type="cellIs" dxfId="810" priority="437" stopIfTrue="1" operator="lessThan">
      <formula>$L$21</formula>
    </cfRule>
  </conditionalFormatting>
  <conditionalFormatting sqref="M22">
    <cfRule type="cellIs" dxfId="809" priority="440" stopIfTrue="1" operator="equal">
      <formula>$L$22</formula>
    </cfRule>
    <cfRule type="cellIs" dxfId="808" priority="441" stopIfTrue="1" operator="lessThan">
      <formula>$L$22</formula>
    </cfRule>
  </conditionalFormatting>
  <conditionalFormatting sqref="M23">
    <cfRule type="cellIs" dxfId="807" priority="443" stopIfTrue="1" operator="lessThan">
      <formula>$L$23</formula>
    </cfRule>
    <cfRule type="cellIs" dxfId="806" priority="442" stopIfTrue="1" operator="equal">
      <formula>$L$23</formula>
    </cfRule>
  </conditionalFormatting>
  <conditionalFormatting sqref="M24">
    <cfRule type="cellIs" dxfId="805" priority="445" stopIfTrue="1" operator="lessThan">
      <formula>$L$24</formula>
    </cfRule>
    <cfRule type="cellIs" dxfId="804" priority="444" stopIfTrue="1" operator="equal">
      <formula>$L$24</formula>
    </cfRule>
  </conditionalFormatting>
  <conditionalFormatting sqref="M25">
    <cfRule type="cellIs" dxfId="803" priority="446" stopIfTrue="1" operator="equal">
      <formula>$L$25</formula>
    </cfRule>
    <cfRule type="cellIs" dxfId="802" priority="447" stopIfTrue="1" operator="lessThan">
      <formula>$L$25</formula>
    </cfRule>
  </conditionalFormatting>
  <conditionalFormatting sqref="M26">
    <cfRule type="cellIs" dxfId="801" priority="448" stopIfTrue="1" operator="equal">
      <formula>$L$26</formula>
    </cfRule>
    <cfRule type="cellIs" dxfId="800" priority="449" stopIfTrue="1" operator="lessThan">
      <formula>$L$26</formula>
    </cfRule>
  </conditionalFormatting>
  <conditionalFormatting sqref="M27">
    <cfRule type="cellIs" dxfId="799" priority="450" stopIfTrue="1" operator="equal">
      <formula>$L$27</formula>
    </cfRule>
    <cfRule type="cellIs" dxfId="798" priority="451" stopIfTrue="1" operator="lessThan">
      <formula>$L$27</formula>
    </cfRule>
  </conditionalFormatting>
  <conditionalFormatting sqref="M28">
    <cfRule type="cellIs" dxfId="797" priority="452" stopIfTrue="1" operator="equal">
      <formula>$L$28</formula>
    </cfRule>
    <cfRule type="cellIs" dxfId="796" priority="453" stopIfTrue="1" operator="lessThan">
      <formula>$L$28</formula>
    </cfRule>
  </conditionalFormatting>
  <conditionalFormatting sqref="N4">
    <cfRule type="cellIs" dxfId="795" priority="454" stopIfTrue="1" operator="lessThan">
      <formula>$M$4</formula>
    </cfRule>
    <cfRule type="cellIs" dxfId="794" priority="455" stopIfTrue="1" operator="equal">
      <formula>$M$4</formula>
    </cfRule>
  </conditionalFormatting>
  <conditionalFormatting sqref="N5">
    <cfRule type="cellIs" dxfId="793" priority="456" stopIfTrue="1" operator="equal">
      <formula>$M$5</formula>
    </cfRule>
    <cfRule type="cellIs" dxfId="792" priority="457" stopIfTrue="1" operator="lessThan">
      <formula>$M$5</formula>
    </cfRule>
  </conditionalFormatting>
  <conditionalFormatting sqref="N6">
    <cfRule type="cellIs" dxfId="791" priority="458" stopIfTrue="1" operator="equal">
      <formula>$M$6</formula>
    </cfRule>
    <cfRule type="cellIs" dxfId="790" priority="459" stopIfTrue="1" operator="lessThan">
      <formula>$M$6</formula>
    </cfRule>
  </conditionalFormatting>
  <conditionalFormatting sqref="N7">
    <cfRule type="cellIs" dxfId="789" priority="460" stopIfTrue="1" operator="equal">
      <formula>$M$7</formula>
    </cfRule>
    <cfRule type="cellIs" dxfId="788" priority="461" stopIfTrue="1" operator="lessThan">
      <formula>$M$7</formula>
    </cfRule>
  </conditionalFormatting>
  <conditionalFormatting sqref="N8">
    <cfRule type="cellIs" dxfId="787" priority="463" stopIfTrue="1" operator="lessThan">
      <formula>$M$8</formula>
    </cfRule>
    <cfRule type="cellIs" dxfId="786" priority="462" stopIfTrue="1" operator="equal">
      <formula>$M$8</formula>
    </cfRule>
  </conditionalFormatting>
  <conditionalFormatting sqref="N9">
    <cfRule type="cellIs" dxfId="785" priority="464" stopIfTrue="1" operator="equal">
      <formula>$M$9</formula>
    </cfRule>
    <cfRule type="cellIs" dxfId="784" priority="465" stopIfTrue="1" operator="lessThan">
      <formula>$M$9</formula>
    </cfRule>
  </conditionalFormatting>
  <conditionalFormatting sqref="N10">
    <cfRule type="cellIs" dxfId="783" priority="466" stopIfTrue="1" operator="equal">
      <formula>$M$10</formula>
    </cfRule>
    <cfRule type="cellIs" dxfId="782" priority="467" stopIfTrue="1" operator="lessThan">
      <formula>$M$10</formula>
    </cfRule>
  </conditionalFormatting>
  <conditionalFormatting sqref="N11">
    <cfRule type="cellIs" dxfId="781" priority="468" stopIfTrue="1" operator="equal">
      <formula>$M$11</formula>
    </cfRule>
    <cfRule type="cellIs" dxfId="780" priority="469" stopIfTrue="1" operator="lessThan">
      <formula>$M$11</formula>
    </cfRule>
  </conditionalFormatting>
  <conditionalFormatting sqref="N12">
    <cfRule type="cellIs" dxfId="779" priority="470" stopIfTrue="1" operator="equal">
      <formula>$M$12</formula>
    </cfRule>
    <cfRule type="cellIs" dxfId="778" priority="471" stopIfTrue="1" operator="lessThan">
      <formula>$M$12</formula>
    </cfRule>
  </conditionalFormatting>
  <conditionalFormatting sqref="N13">
    <cfRule type="cellIs" dxfId="777" priority="472" stopIfTrue="1" operator="equal">
      <formula>$M$13</formula>
    </cfRule>
    <cfRule type="cellIs" dxfId="776" priority="473" stopIfTrue="1" operator="lessThan">
      <formula>$M$13</formula>
    </cfRule>
  </conditionalFormatting>
  <conditionalFormatting sqref="N14">
    <cfRule type="cellIs" dxfId="775" priority="474" stopIfTrue="1" operator="equal">
      <formula>$M$14</formula>
    </cfRule>
    <cfRule type="cellIs" dxfId="774" priority="475" stopIfTrue="1" operator="lessThan">
      <formula>$M$14</formula>
    </cfRule>
  </conditionalFormatting>
  <conditionalFormatting sqref="N15">
    <cfRule type="cellIs" dxfId="773" priority="476" stopIfTrue="1" operator="equal">
      <formula>$M$15</formula>
    </cfRule>
    <cfRule type="cellIs" dxfId="772" priority="477" stopIfTrue="1" operator="lessThan">
      <formula>$M$15</formula>
    </cfRule>
  </conditionalFormatting>
  <conditionalFormatting sqref="N16">
    <cfRule type="cellIs" dxfId="771" priority="478" stopIfTrue="1" operator="equal">
      <formula>$M$16</formula>
    </cfRule>
    <cfRule type="cellIs" dxfId="770" priority="479" stopIfTrue="1" operator="lessThan">
      <formula>$M$16</formula>
    </cfRule>
  </conditionalFormatting>
  <conditionalFormatting sqref="N17">
    <cfRule type="cellIs" dxfId="769" priority="480" stopIfTrue="1" operator="equal">
      <formula>$M$17</formula>
    </cfRule>
    <cfRule type="cellIs" dxfId="768" priority="481" stopIfTrue="1" operator="lessThan">
      <formula>$M$17</formula>
    </cfRule>
  </conditionalFormatting>
  <conditionalFormatting sqref="N18">
    <cfRule type="cellIs" dxfId="767" priority="483" stopIfTrue="1" operator="lessThan">
      <formula>$M$18</formula>
    </cfRule>
    <cfRule type="cellIs" dxfId="766" priority="482" stopIfTrue="1" operator="equal">
      <formula>$M$18</formula>
    </cfRule>
  </conditionalFormatting>
  <conditionalFormatting sqref="N19">
    <cfRule type="cellIs" dxfId="765" priority="485" stopIfTrue="1" operator="lessThan">
      <formula>$M$19</formula>
    </cfRule>
    <cfRule type="cellIs" dxfId="764" priority="484" stopIfTrue="1" operator="equal">
      <formula>$M$19</formula>
    </cfRule>
  </conditionalFormatting>
  <conditionalFormatting sqref="N20">
    <cfRule type="cellIs" dxfId="763" priority="486" stopIfTrue="1" operator="equal">
      <formula>$M$20</formula>
    </cfRule>
    <cfRule type="cellIs" dxfId="762" priority="487" stopIfTrue="1" operator="lessThan">
      <formula>$M$20</formula>
    </cfRule>
  </conditionalFormatting>
  <conditionalFormatting sqref="N21">
    <cfRule type="cellIs" dxfId="761" priority="488" stopIfTrue="1" operator="equal">
      <formula>$M$21</formula>
    </cfRule>
    <cfRule type="cellIs" dxfId="760" priority="489" stopIfTrue="1" operator="lessThan">
      <formula>$M$21</formula>
    </cfRule>
  </conditionalFormatting>
  <conditionalFormatting sqref="N22">
    <cfRule type="cellIs" dxfId="759" priority="490" stopIfTrue="1" operator="equal">
      <formula>$M$22</formula>
    </cfRule>
    <cfRule type="cellIs" dxfId="758" priority="491" stopIfTrue="1" operator="lessThan">
      <formula>$M$22</formula>
    </cfRule>
  </conditionalFormatting>
  <conditionalFormatting sqref="N23">
    <cfRule type="cellIs" dxfId="757" priority="492" stopIfTrue="1" operator="equal">
      <formula>$M$23</formula>
    </cfRule>
    <cfRule type="cellIs" dxfId="756" priority="493" stopIfTrue="1" operator="lessThan">
      <formula>$M$23</formula>
    </cfRule>
  </conditionalFormatting>
  <conditionalFormatting sqref="N24">
    <cfRule type="cellIs" dxfId="755" priority="494" stopIfTrue="1" operator="equal">
      <formula>$M$24</formula>
    </cfRule>
    <cfRule type="cellIs" dxfId="754" priority="495" stopIfTrue="1" operator="lessThan">
      <formula>$M$24</formula>
    </cfRule>
  </conditionalFormatting>
  <conditionalFormatting sqref="N25">
    <cfRule type="cellIs" dxfId="753" priority="496" stopIfTrue="1" operator="equal">
      <formula>$M$25</formula>
    </cfRule>
    <cfRule type="cellIs" dxfId="752" priority="497" stopIfTrue="1" operator="lessThan">
      <formula>$M$25</formula>
    </cfRule>
  </conditionalFormatting>
  <conditionalFormatting sqref="N26">
    <cfRule type="cellIs" dxfId="751" priority="498" stopIfTrue="1" operator="equal">
      <formula>$M$26</formula>
    </cfRule>
    <cfRule type="cellIs" dxfId="750" priority="499" stopIfTrue="1" operator="lessThan">
      <formula>$M$26</formula>
    </cfRule>
  </conditionalFormatting>
  <conditionalFormatting sqref="N27">
    <cfRule type="cellIs" dxfId="749" priority="500" stopIfTrue="1" operator="equal">
      <formula>$M$27</formula>
    </cfRule>
    <cfRule type="cellIs" dxfId="748" priority="501" stopIfTrue="1" operator="lessThan">
      <formula>$M$27</formula>
    </cfRule>
  </conditionalFormatting>
  <conditionalFormatting sqref="N28">
    <cfRule type="cellIs" dxfId="747" priority="503" stopIfTrue="1" operator="lessThan">
      <formula>$M$28</formula>
    </cfRule>
    <cfRule type="cellIs" dxfId="746" priority="502" stopIfTrue="1" operator="equal">
      <formula>$M$28</formula>
    </cfRule>
  </conditionalFormatting>
  <conditionalFormatting sqref="O4">
    <cfRule type="cellIs" dxfId="745" priority="504" stopIfTrue="1" operator="equal">
      <formula>$N$4</formula>
    </cfRule>
    <cfRule type="cellIs" dxfId="744" priority="505" stopIfTrue="1" operator="lessThan">
      <formula>$N$4</formula>
    </cfRule>
  </conditionalFormatting>
  <conditionalFormatting sqref="O5">
    <cfRule type="cellIs" dxfId="743" priority="506" stopIfTrue="1" operator="equal">
      <formula>$N$5</formula>
    </cfRule>
    <cfRule type="cellIs" dxfId="742" priority="507" stopIfTrue="1" operator="lessThan">
      <formula>$N$5</formula>
    </cfRule>
  </conditionalFormatting>
  <conditionalFormatting sqref="O6">
    <cfRule type="cellIs" dxfId="741" priority="508" stopIfTrue="1" operator="equal">
      <formula>$N$6</formula>
    </cfRule>
    <cfRule type="cellIs" dxfId="740" priority="509" stopIfTrue="1" operator="lessThan">
      <formula>$N$6</formula>
    </cfRule>
  </conditionalFormatting>
  <conditionalFormatting sqref="O7">
    <cfRule type="cellIs" dxfId="739" priority="510" stopIfTrue="1" operator="equal">
      <formula>$N$7</formula>
    </cfRule>
    <cfRule type="cellIs" dxfId="738" priority="511" stopIfTrue="1" operator="lessThan">
      <formula>$N$7</formula>
    </cfRule>
  </conditionalFormatting>
  <conditionalFormatting sqref="O8">
    <cfRule type="cellIs" dxfId="737" priority="512" stopIfTrue="1" operator="equal">
      <formula>$N$8</formula>
    </cfRule>
    <cfRule type="cellIs" dxfId="736" priority="513" stopIfTrue="1" operator="lessThan">
      <formula>$N$8</formula>
    </cfRule>
  </conditionalFormatting>
  <conditionalFormatting sqref="O9">
    <cfRule type="cellIs" dxfId="735" priority="514" stopIfTrue="1" operator="equal">
      <formula>$N$9</formula>
    </cfRule>
    <cfRule type="cellIs" dxfId="734" priority="515" stopIfTrue="1" operator="lessThan">
      <formula>$N$9</formula>
    </cfRule>
  </conditionalFormatting>
  <conditionalFormatting sqref="O10">
    <cfRule type="cellIs" dxfId="733" priority="516" stopIfTrue="1" operator="equal">
      <formula>$N$10</formula>
    </cfRule>
    <cfRule type="cellIs" dxfId="732" priority="517" stopIfTrue="1" operator="lessThan">
      <formula>$N$10</formula>
    </cfRule>
  </conditionalFormatting>
  <conditionalFormatting sqref="O11">
    <cfRule type="cellIs" dxfId="731" priority="518" stopIfTrue="1" operator="equal">
      <formula>$N$11</formula>
    </cfRule>
    <cfRule type="cellIs" dxfId="730" priority="519" stopIfTrue="1" operator="lessThan">
      <formula>$N$11</formula>
    </cfRule>
  </conditionalFormatting>
  <conditionalFormatting sqref="O12">
    <cfRule type="cellIs" dxfId="729" priority="520" stopIfTrue="1" operator="equal">
      <formula>$N$12</formula>
    </cfRule>
    <cfRule type="cellIs" dxfId="728" priority="521" stopIfTrue="1" operator="lessThan">
      <formula>$N$12</formula>
    </cfRule>
  </conditionalFormatting>
  <conditionalFormatting sqref="O13">
    <cfRule type="cellIs" dxfId="727" priority="523" stopIfTrue="1" operator="lessThan">
      <formula>$N$13</formula>
    </cfRule>
    <cfRule type="cellIs" dxfId="726" priority="522" stopIfTrue="1" operator="equal">
      <formula>$N$13</formula>
    </cfRule>
  </conditionalFormatting>
  <conditionalFormatting sqref="O14">
    <cfRule type="cellIs" dxfId="725" priority="525" stopIfTrue="1" operator="lessThan">
      <formula>$N$14</formula>
    </cfRule>
    <cfRule type="cellIs" dxfId="724" priority="524" stopIfTrue="1" operator="equal">
      <formula>$N$14</formula>
    </cfRule>
  </conditionalFormatting>
  <conditionalFormatting sqref="O15">
    <cfRule type="cellIs" dxfId="723" priority="526" stopIfTrue="1" operator="equal">
      <formula>$N$15</formula>
    </cfRule>
    <cfRule type="cellIs" dxfId="722" priority="527" stopIfTrue="1" operator="lessThan">
      <formula>$N$15</formula>
    </cfRule>
  </conditionalFormatting>
  <conditionalFormatting sqref="O16">
    <cfRule type="cellIs" dxfId="721" priority="528" stopIfTrue="1" operator="equal">
      <formula>$N$16</formula>
    </cfRule>
    <cfRule type="cellIs" dxfId="720" priority="529" stopIfTrue="1" operator="lessThan">
      <formula>$N$16</formula>
    </cfRule>
  </conditionalFormatting>
  <conditionalFormatting sqref="O17">
    <cfRule type="cellIs" dxfId="719" priority="530" stopIfTrue="1" operator="equal">
      <formula>$N$17</formula>
    </cfRule>
    <cfRule type="cellIs" dxfId="718" priority="531" stopIfTrue="1" operator="lessThan">
      <formula>$N$17</formula>
    </cfRule>
  </conditionalFormatting>
  <conditionalFormatting sqref="O18">
    <cfRule type="cellIs" dxfId="717" priority="532" stopIfTrue="1" operator="equal">
      <formula>$N$18</formula>
    </cfRule>
    <cfRule type="cellIs" dxfId="716" priority="533" stopIfTrue="1" operator="lessThan">
      <formula>$N$18</formula>
    </cfRule>
  </conditionalFormatting>
  <conditionalFormatting sqref="O19">
    <cfRule type="cellIs" dxfId="715" priority="534" stopIfTrue="1" operator="equal">
      <formula>$N$19</formula>
    </cfRule>
    <cfRule type="cellIs" dxfId="714" priority="535" stopIfTrue="1" operator="lessThan">
      <formula>$N$19</formula>
    </cfRule>
  </conditionalFormatting>
  <conditionalFormatting sqref="O20">
    <cfRule type="cellIs" dxfId="713" priority="536" stopIfTrue="1" operator="equal">
      <formula>$N$20</formula>
    </cfRule>
    <cfRule type="cellIs" dxfId="712" priority="537" stopIfTrue="1" operator="lessThan">
      <formula>$N$20</formula>
    </cfRule>
  </conditionalFormatting>
  <conditionalFormatting sqref="O21">
    <cfRule type="cellIs" dxfId="711" priority="538" stopIfTrue="1" operator="equal">
      <formula>$N$21</formula>
    </cfRule>
    <cfRule type="cellIs" dxfId="710" priority="539" stopIfTrue="1" operator="lessThan">
      <formula>$N$21</formula>
    </cfRule>
  </conditionalFormatting>
  <conditionalFormatting sqref="O22">
    <cfRule type="cellIs" dxfId="709" priority="540" stopIfTrue="1" operator="equal">
      <formula>$N$22</formula>
    </cfRule>
    <cfRule type="cellIs" dxfId="708" priority="541" stopIfTrue="1" operator="lessThan">
      <formula>$N$22</formula>
    </cfRule>
  </conditionalFormatting>
  <conditionalFormatting sqref="O23">
    <cfRule type="cellIs" dxfId="707" priority="543" stopIfTrue="1" operator="lessThan">
      <formula>$N$23</formula>
    </cfRule>
    <cfRule type="cellIs" dxfId="706" priority="542" stopIfTrue="1" operator="equal">
      <formula>$N$23</formula>
    </cfRule>
  </conditionalFormatting>
  <conditionalFormatting sqref="O24">
    <cfRule type="cellIs" dxfId="705" priority="545" stopIfTrue="1" operator="lessThan">
      <formula>$N$24</formula>
    </cfRule>
    <cfRule type="cellIs" dxfId="704" priority="544" stopIfTrue="1" operator="equal">
      <formula>$N$24</formula>
    </cfRule>
  </conditionalFormatting>
  <conditionalFormatting sqref="O25">
    <cfRule type="cellIs" dxfId="703" priority="546" stopIfTrue="1" operator="equal">
      <formula>$N$25</formula>
    </cfRule>
    <cfRule type="cellIs" dxfId="702" priority="547" stopIfTrue="1" operator="lessThan">
      <formula>$N$25</formula>
    </cfRule>
  </conditionalFormatting>
  <conditionalFormatting sqref="O26">
    <cfRule type="cellIs" dxfId="701" priority="548" stopIfTrue="1" operator="equal">
      <formula>$N$26</formula>
    </cfRule>
    <cfRule type="cellIs" dxfId="700" priority="549" stopIfTrue="1" operator="lessThan">
      <formula>$N$26</formula>
    </cfRule>
  </conditionalFormatting>
  <conditionalFormatting sqref="O27">
    <cfRule type="cellIs" dxfId="699" priority="550" stopIfTrue="1" operator="equal">
      <formula>$N$27</formula>
    </cfRule>
    <cfRule type="cellIs" dxfId="698" priority="551" stopIfTrue="1" operator="lessThan">
      <formula>$N$27</formula>
    </cfRule>
  </conditionalFormatting>
  <conditionalFormatting sqref="O28">
    <cfRule type="cellIs" dxfId="697" priority="552" stopIfTrue="1" operator="equal">
      <formula>$N$28</formula>
    </cfRule>
    <cfRule type="cellIs" dxfId="696" priority="553" stopIfTrue="1" operator="lessThan">
      <formula>$N$28</formula>
    </cfRule>
  </conditionalFormatting>
  <conditionalFormatting sqref="P4">
    <cfRule type="cellIs" dxfId="695" priority="554" stopIfTrue="1" operator="equal">
      <formula>$O$4</formula>
    </cfRule>
    <cfRule type="cellIs" dxfId="694" priority="555" stopIfTrue="1" operator="lessThan">
      <formula>$O$4</formula>
    </cfRule>
  </conditionalFormatting>
  <conditionalFormatting sqref="P5">
    <cfRule type="cellIs" dxfId="693" priority="556" stopIfTrue="1" operator="equal">
      <formula>$O$5</formula>
    </cfRule>
    <cfRule type="cellIs" dxfId="692" priority="557" stopIfTrue="1" operator="lessThan">
      <formula>$O$5</formula>
    </cfRule>
  </conditionalFormatting>
  <conditionalFormatting sqref="P6">
    <cfRule type="cellIs" dxfId="691" priority="558" stopIfTrue="1" operator="equal">
      <formula>$O$6</formula>
    </cfRule>
    <cfRule type="cellIs" dxfId="690" priority="559" stopIfTrue="1" operator="lessThan">
      <formula>$O$6</formula>
    </cfRule>
  </conditionalFormatting>
  <conditionalFormatting sqref="P7">
    <cfRule type="cellIs" dxfId="689" priority="560" stopIfTrue="1" operator="equal">
      <formula>$O$7</formula>
    </cfRule>
    <cfRule type="cellIs" dxfId="688" priority="561" stopIfTrue="1" operator="lessThan">
      <formula>$O$7</formula>
    </cfRule>
  </conditionalFormatting>
  <conditionalFormatting sqref="P8">
    <cfRule type="cellIs" dxfId="687" priority="563" stopIfTrue="1" operator="lessThan">
      <formula>$O$8</formula>
    </cfRule>
    <cfRule type="cellIs" dxfId="686" priority="562" stopIfTrue="1" operator="equal">
      <formula>$O$8</formula>
    </cfRule>
  </conditionalFormatting>
  <conditionalFormatting sqref="P9">
    <cfRule type="cellIs" dxfId="685" priority="565" stopIfTrue="1" operator="lessThan">
      <formula>$O$9</formula>
    </cfRule>
    <cfRule type="cellIs" dxfId="684" priority="564" stopIfTrue="1" operator="equal">
      <formula>$O$9</formula>
    </cfRule>
  </conditionalFormatting>
  <conditionalFormatting sqref="P10">
    <cfRule type="cellIs" dxfId="683" priority="566" stopIfTrue="1" operator="equal">
      <formula>$O$10</formula>
    </cfRule>
    <cfRule type="cellIs" dxfId="682" priority="567" stopIfTrue="1" operator="lessThan">
      <formula>$O$10</formula>
    </cfRule>
  </conditionalFormatting>
  <conditionalFormatting sqref="P11">
    <cfRule type="cellIs" dxfId="681" priority="568" stopIfTrue="1" operator="equal">
      <formula>$O$11</formula>
    </cfRule>
    <cfRule type="cellIs" dxfId="680" priority="569" stopIfTrue="1" operator="lessThan">
      <formula>$O$11</formula>
    </cfRule>
  </conditionalFormatting>
  <conditionalFormatting sqref="P12">
    <cfRule type="cellIs" dxfId="679" priority="570" stopIfTrue="1" operator="equal">
      <formula>$O$12</formula>
    </cfRule>
    <cfRule type="cellIs" dxfId="678" priority="571" stopIfTrue="1" operator="lessThan">
      <formula>$O$12</formula>
    </cfRule>
  </conditionalFormatting>
  <conditionalFormatting sqref="P13">
    <cfRule type="cellIs" dxfId="677" priority="572" stopIfTrue="1" operator="equal">
      <formula>$O$13</formula>
    </cfRule>
    <cfRule type="cellIs" dxfId="676" priority="573" stopIfTrue="1" operator="lessThan">
      <formula>$O$13</formula>
    </cfRule>
  </conditionalFormatting>
  <conditionalFormatting sqref="P14">
    <cfRule type="cellIs" dxfId="675" priority="574" stopIfTrue="1" operator="equal">
      <formula>$O$14</formula>
    </cfRule>
    <cfRule type="cellIs" dxfId="674" priority="575" stopIfTrue="1" operator="lessThan">
      <formula>$O$14</formula>
    </cfRule>
  </conditionalFormatting>
  <conditionalFormatting sqref="P15">
    <cfRule type="cellIs" dxfId="673" priority="576" stopIfTrue="1" operator="equal">
      <formula>$O$15</formula>
    </cfRule>
    <cfRule type="cellIs" dxfId="672" priority="577" stopIfTrue="1" operator="lessThan">
      <formula>$O$15</formula>
    </cfRule>
  </conditionalFormatting>
  <conditionalFormatting sqref="P16">
    <cfRule type="cellIs" dxfId="671" priority="578" stopIfTrue="1" operator="equal">
      <formula>$O$16</formula>
    </cfRule>
    <cfRule type="cellIs" dxfId="670" priority="579" stopIfTrue="1" operator="lessThan">
      <formula>$O$16</formula>
    </cfRule>
  </conditionalFormatting>
  <conditionalFormatting sqref="P17">
    <cfRule type="cellIs" dxfId="669" priority="580" stopIfTrue="1" operator="equal">
      <formula>$O$17</formula>
    </cfRule>
    <cfRule type="cellIs" dxfId="668" priority="581" stopIfTrue="1" operator="lessThan">
      <formula>$O$17</formula>
    </cfRule>
  </conditionalFormatting>
  <conditionalFormatting sqref="P18">
    <cfRule type="cellIs" dxfId="667" priority="583" stopIfTrue="1" operator="lessThan">
      <formula>$O$18</formula>
    </cfRule>
    <cfRule type="cellIs" dxfId="666" priority="582" stopIfTrue="1" operator="equal">
      <formula>$O$18</formula>
    </cfRule>
  </conditionalFormatting>
  <conditionalFormatting sqref="P19">
    <cfRule type="cellIs" dxfId="665" priority="584" stopIfTrue="1" operator="equal">
      <formula>$O$19</formula>
    </cfRule>
    <cfRule type="cellIs" dxfId="664" priority="585" stopIfTrue="1" operator="lessThan">
      <formula>$O$19</formula>
    </cfRule>
  </conditionalFormatting>
  <conditionalFormatting sqref="P20">
    <cfRule type="cellIs" dxfId="663" priority="586" stopIfTrue="1" operator="equal">
      <formula>$O$20</formula>
    </cfRule>
    <cfRule type="cellIs" dxfId="662" priority="587" stopIfTrue="1" operator="lessThan">
      <formula>$O$20</formula>
    </cfRule>
  </conditionalFormatting>
  <conditionalFormatting sqref="P21">
    <cfRule type="cellIs" dxfId="661" priority="588" stopIfTrue="1" operator="equal">
      <formula>$O$21</formula>
    </cfRule>
    <cfRule type="cellIs" dxfId="660" priority="589" stopIfTrue="1" operator="lessThan">
      <formula>$O$21</formula>
    </cfRule>
  </conditionalFormatting>
  <conditionalFormatting sqref="P22">
    <cfRule type="cellIs" dxfId="659" priority="590" stopIfTrue="1" operator="equal">
      <formula>$O$22</formula>
    </cfRule>
    <cfRule type="cellIs" dxfId="658" priority="591" stopIfTrue="1" operator="lessThan">
      <formula>$O$22</formula>
    </cfRule>
  </conditionalFormatting>
  <conditionalFormatting sqref="P23">
    <cfRule type="cellIs" dxfId="657" priority="592" stopIfTrue="1" operator="equal">
      <formula>$O$23</formula>
    </cfRule>
    <cfRule type="cellIs" dxfId="656" priority="593" stopIfTrue="1" operator="lessThan">
      <formula>$O$23</formula>
    </cfRule>
  </conditionalFormatting>
  <conditionalFormatting sqref="P24">
    <cfRule type="cellIs" dxfId="655" priority="594" stopIfTrue="1" operator="equal">
      <formula>$O$24</formula>
    </cfRule>
    <cfRule type="cellIs" dxfId="654" priority="595" stopIfTrue="1" operator="lessThan">
      <formula>$O$24</formula>
    </cfRule>
  </conditionalFormatting>
  <conditionalFormatting sqref="P25">
    <cfRule type="cellIs" dxfId="653" priority="596" stopIfTrue="1" operator="equal">
      <formula>$O$25</formula>
    </cfRule>
    <cfRule type="cellIs" dxfId="652" priority="597" stopIfTrue="1" operator="lessThan">
      <formula>$O$25</formula>
    </cfRule>
  </conditionalFormatting>
  <conditionalFormatting sqref="P26">
    <cfRule type="cellIs" dxfId="651" priority="598" stopIfTrue="1" operator="equal">
      <formula>$O$26</formula>
    </cfRule>
    <cfRule type="cellIs" dxfId="650" priority="599" stopIfTrue="1" operator="lessThan">
      <formula>$O$26</formula>
    </cfRule>
  </conditionalFormatting>
  <conditionalFormatting sqref="P27">
    <cfRule type="cellIs" dxfId="649" priority="600" stopIfTrue="1" operator="equal">
      <formula>$O$27</formula>
    </cfRule>
    <cfRule type="cellIs" dxfId="648" priority="601" stopIfTrue="1" operator="lessThan">
      <formula>$O$27</formula>
    </cfRule>
  </conditionalFormatting>
  <conditionalFormatting sqref="P28">
    <cfRule type="cellIs" dxfId="647" priority="603" stopIfTrue="1" operator="lessThan">
      <formula>$O$28</formula>
    </cfRule>
    <cfRule type="cellIs" dxfId="646" priority="602" stopIfTrue="1" operator="equal">
      <formula>$O$28</formula>
    </cfRule>
  </conditionalFormatting>
  <conditionalFormatting sqref="V4:AG23">
    <cfRule type="cellIs" dxfId="645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4"/>
  <sheetViews>
    <sheetView workbookViewId="0">
      <selection activeCell="F2" sqref="F2"/>
    </sheetView>
  </sheetViews>
  <sheetFormatPr defaultRowHeight="14.5" x14ac:dyDescent="0.35"/>
  <cols>
    <col min="1" max="1" width="8.54296875" style="1" customWidth="1"/>
    <col min="2" max="2" width="14.7265625" customWidth="1"/>
    <col min="3" max="3" width="12.26953125" customWidth="1"/>
    <col min="4" max="15" width="10.1796875" customWidth="1"/>
    <col min="16" max="17" width="11.1796875" bestFit="1" customWidth="1"/>
    <col min="18" max="18" width="9.26953125" bestFit="1" customWidth="1"/>
    <col min="19" max="19" width="3.54296875" customWidth="1"/>
  </cols>
  <sheetData>
    <row r="1" spans="1:33" ht="15" thickBot="1" x14ac:dyDescent="0.4"/>
    <row r="2" spans="1:33" s="1" customFormat="1" ht="21" customHeight="1" thickBot="1" x14ac:dyDescent="0.55000000000000004">
      <c r="A2" s="112">
        <v>1857</v>
      </c>
      <c r="B2" s="2"/>
      <c r="C2" s="2"/>
      <c r="D2" s="3">
        <f>'1850'!D2</f>
        <v>46022</v>
      </c>
      <c r="E2" s="3">
        <f>'1850'!E2</f>
        <v>46055</v>
      </c>
      <c r="F2" s="3">
        <f>'1850'!F2</f>
        <v>46083</v>
      </c>
      <c r="G2" s="3"/>
      <c r="H2" s="3"/>
      <c r="I2" s="3"/>
      <c r="J2" s="3"/>
      <c r="K2" s="3"/>
      <c r="L2" s="3"/>
      <c r="M2" s="3"/>
      <c r="N2" s="3"/>
      <c r="O2" s="3"/>
      <c r="P2" s="3"/>
      <c r="Q2" s="1" t="s">
        <v>0</v>
      </c>
      <c r="R2" s="1" t="s">
        <v>1</v>
      </c>
      <c r="S2" s="1" t="s">
        <v>81</v>
      </c>
      <c r="V2" s="142"/>
      <c r="W2" s="143"/>
      <c r="X2" s="143"/>
      <c r="Y2" s="143"/>
      <c r="Z2" s="143" t="s">
        <v>105</v>
      </c>
      <c r="AA2" s="143"/>
      <c r="AB2" s="143"/>
      <c r="AC2" s="143"/>
      <c r="AD2" s="143"/>
      <c r="AE2" s="143"/>
      <c r="AF2" s="143"/>
      <c r="AG2" s="147"/>
    </row>
    <row r="3" spans="1:33" s="1" customFormat="1" ht="15" thickBot="1" x14ac:dyDescent="0.4">
      <c r="A3" s="4" t="s">
        <v>2</v>
      </c>
      <c r="B3" s="5"/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79</v>
      </c>
      <c r="R3" s="1" t="s">
        <v>78</v>
      </c>
      <c r="S3" s="1" t="s">
        <v>80</v>
      </c>
      <c r="U3" s="1" t="s">
        <v>104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</row>
    <row r="4" spans="1:33" ht="15" thickBot="1" x14ac:dyDescent="0.4">
      <c r="A4" s="371">
        <v>1</v>
      </c>
      <c r="B4" s="6" t="s">
        <v>244</v>
      </c>
      <c r="C4" s="312">
        <v>241345711</v>
      </c>
      <c r="D4" s="76">
        <v>52.499000000000002</v>
      </c>
      <c r="E4" s="7">
        <v>61.357999999999997</v>
      </c>
      <c r="F4" s="7">
        <v>69.177000000000007</v>
      </c>
      <c r="G4" s="7"/>
      <c r="H4" s="7"/>
      <c r="I4" s="7"/>
      <c r="J4" s="7"/>
      <c r="K4" s="7"/>
      <c r="L4" s="7"/>
      <c r="M4" s="8"/>
      <c r="N4" s="7"/>
      <c r="O4" s="7"/>
      <c r="P4" s="7"/>
      <c r="Q4" s="9">
        <f>P4-D4</f>
        <v>-52.499000000000002</v>
      </c>
      <c r="U4" s="1">
        <v>1</v>
      </c>
      <c r="V4" s="144">
        <f t="shared" ref="V4:AG4" si="0">E4-D4</f>
        <v>8.8589999999999947</v>
      </c>
      <c r="W4" s="144">
        <f t="shared" si="0"/>
        <v>7.8190000000000097</v>
      </c>
      <c r="X4" s="144">
        <f t="shared" si="0"/>
        <v>-69.177000000000007</v>
      </c>
      <c r="Y4" s="144">
        <f t="shared" si="0"/>
        <v>0</v>
      </c>
      <c r="Z4" s="144">
        <f t="shared" si="0"/>
        <v>0</v>
      </c>
      <c r="AA4" s="144">
        <f t="shared" si="0"/>
        <v>0</v>
      </c>
      <c r="AB4" s="144">
        <f t="shared" si="0"/>
        <v>0</v>
      </c>
      <c r="AC4" s="144">
        <f t="shared" si="0"/>
        <v>0</v>
      </c>
      <c r="AD4" s="144">
        <f t="shared" si="0"/>
        <v>0</v>
      </c>
      <c r="AE4" s="144">
        <f t="shared" si="0"/>
        <v>0</v>
      </c>
      <c r="AF4" s="144">
        <f t="shared" si="0"/>
        <v>0</v>
      </c>
      <c r="AG4" s="144">
        <f t="shared" si="0"/>
        <v>0</v>
      </c>
    </row>
    <row r="5" spans="1:33" x14ac:dyDescent="0.35">
      <c r="A5" s="371"/>
      <c r="B5" s="10" t="s">
        <v>245</v>
      </c>
      <c r="C5" s="313">
        <v>71182250</v>
      </c>
      <c r="D5" s="77">
        <v>126.751</v>
      </c>
      <c r="E5" s="11">
        <v>132.33000000000001</v>
      </c>
      <c r="F5" s="11">
        <v>135.94</v>
      </c>
      <c r="G5" s="11"/>
      <c r="H5" s="11"/>
      <c r="I5" s="11"/>
      <c r="J5" s="11"/>
      <c r="K5" s="11"/>
      <c r="L5" s="11"/>
      <c r="M5" s="12"/>
      <c r="N5" s="11"/>
      <c r="O5" s="11"/>
      <c r="P5" s="11"/>
      <c r="Q5" s="9"/>
      <c r="R5" s="9">
        <f>P5-D5</f>
        <v>-126.751</v>
      </c>
      <c r="U5" s="1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</row>
    <row r="6" spans="1:33" x14ac:dyDescent="0.35">
      <c r="A6" s="372">
        <v>2</v>
      </c>
      <c r="B6" s="10" t="s">
        <v>244</v>
      </c>
      <c r="C6" s="313">
        <v>241010620</v>
      </c>
      <c r="D6" s="77">
        <v>47.058999999999997</v>
      </c>
      <c r="E6" s="11">
        <v>51.054000000000002</v>
      </c>
      <c r="F6" s="11">
        <v>54.365000000000002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9">
        <f>P6-D6</f>
        <v>-47.058999999999997</v>
      </c>
      <c r="U6" s="1">
        <v>2</v>
      </c>
      <c r="V6" s="146">
        <f t="shared" ref="V6:AG6" si="1">E6-D6</f>
        <v>3.9950000000000045</v>
      </c>
      <c r="W6" s="146">
        <f t="shared" si="1"/>
        <v>3.3109999999999999</v>
      </c>
      <c r="X6" s="146">
        <f t="shared" si="1"/>
        <v>-54.365000000000002</v>
      </c>
      <c r="Y6" s="146">
        <f t="shared" si="1"/>
        <v>0</v>
      </c>
      <c r="Z6" s="146">
        <f t="shared" si="1"/>
        <v>0</v>
      </c>
      <c r="AA6" s="146">
        <f t="shared" si="1"/>
        <v>0</v>
      </c>
      <c r="AB6" s="146">
        <f t="shared" si="1"/>
        <v>0</v>
      </c>
      <c r="AC6" s="146">
        <f t="shared" si="1"/>
        <v>0</v>
      </c>
      <c r="AD6" s="146">
        <f t="shared" si="1"/>
        <v>0</v>
      </c>
      <c r="AE6" s="146">
        <f t="shared" si="1"/>
        <v>0</v>
      </c>
      <c r="AF6" s="146">
        <f t="shared" si="1"/>
        <v>0</v>
      </c>
      <c r="AG6" s="146">
        <f t="shared" si="1"/>
        <v>0</v>
      </c>
    </row>
    <row r="7" spans="1:33" x14ac:dyDescent="0.35">
      <c r="A7" s="372"/>
      <c r="B7" s="10" t="s">
        <v>245</v>
      </c>
      <c r="C7" s="313">
        <v>71182222</v>
      </c>
      <c r="D7" s="77">
        <v>41.578000000000003</v>
      </c>
      <c r="E7" s="11">
        <v>44.207000000000001</v>
      </c>
      <c r="F7" s="11">
        <v>45.905000000000001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9"/>
      <c r="R7" s="9">
        <f>P7-D7</f>
        <v>-41.578000000000003</v>
      </c>
      <c r="U7" s="1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</row>
    <row r="8" spans="1:33" x14ac:dyDescent="0.35">
      <c r="A8" s="377">
        <v>3</v>
      </c>
      <c r="B8" s="10" t="s">
        <v>244</v>
      </c>
      <c r="C8" s="313">
        <v>241010656</v>
      </c>
      <c r="D8" s="77">
        <v>217.80799999999999</v>
      </c>
      <c r="E8" s="11">
        <v>239.64500000000001</v>
      </c>
      <c r="F8" s="11">
        <v>257.00400000000002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9">
        <f>P8-D8</f>
        <v>-217.80799999999999</v>
      </c>
      <c r="U8" s="1">
        <v>3</v>
      </c>
      <c r="V8" s="146">
        <f t="shared" ref="V8:AG8" si="2">E8-D8</f>
        <v>21.837000000000018</v>
      </c>
      <c r="W8" s="146">
        <f t="shared" si="2"/>
        <v>17.359000000000009</v>
      </c>
      <c r="X8" s="146">
        <f t="shared" si="2"/>
        <v>-257.00400000000002</v>
      </c>
      <c r="Y8" s="146">
        <f t="shared" si="2"/>
        <v>0</v>
      </c>
      <c r="Z8" s="146">
        <f t="shared" si="2"/>
        <v>0</v>
      </c>
      <c r="AA8" s="146">
        <f t="shared" si="2"/>
        <v>0</v>
      </c>
      <c r="AB8" s="146">
        <f t="shared" si="2"/>
        <v>0</v>
      </c>
      <c r="AC8" s="146">
        <f t="shared" si="2"/>
        <v>0</v>
      </c>
      <c r="AD8" s="146">
        <f t="shared" si="2"/>
        <v>0</v>
      </c>
      <c r="AE8" s="146">
        <f t="shared" si="2"/>
        <v>0</v>
      </c>
      <c r="AF8" s="146">
        <f t="shared" si="2"/>
        <v>0</v>
      </c>
      <c r="AG8" s="146">
        <f t="shared" si="2"/>
        <v>0</v>
      </c>
    </row>
    <row r="9" spans="1:33" x14ac:dyDescent="0.35">
      <c r="A9" s="377"/>
      <c r="B9" s="10" t="s">
        <v>245</v>
      </c>
      <c r="C9" s="313">
        <v>71182219</v>
      </c>
      <c r="D9" s="77">
        <v>126.97</v>
      </c>
      <c r="E9" s="11">
        <v>133.44999999999999</v>
      </c>
      <c r="F9" s="11">
        <v>138.017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9"/>
      <c r="R9" s="9">
        <f>P9-D9</f>
        <v>-126.97</v>
      </c>
      <c r="U9" s="1"/>
      <c r="V9" s="145"/>
      <c r="W9" s="145"/>
      <c r="X9" s="145"/>
      <c r="Y9" s="145"/>
      <c r="Z9" s="145"/>
      <c r="AA9" s="145"/>
      <c r="AB9" s="145"/>
      <c r="AC9" s="145"/>
      <c r="AD9" s="145"/>
      <c r="AE9" s="145"/>
      <c r="AF9" s="145"/>
      <c r="AG9" s="145"/>
    </row>
    <row r="10" spans="1:33" x14ac:dyDescent="0.35">
      <c r="A10" s="377">
        <v>4</v>
      </c>
      <c r="B10" s="10" t="s">
        <v>244</v>
      </c>
      <c r="C10" s="313">
        <v>241010658</v>
      </c>
      <c r="D10" s="77">
        <v>82.515000000000001</v>
      </c>
      <c r="E10" s="11">
        <v>91.442999999999998</v>
      </c>
      <c r="F10" s="11">
        <v>98.88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9">
        <f>P10-D10</f>
        <v>-82.515000000000001</v>
      </c>
      <c r="U10" s="1">
        <v>4</v>
      </c>
      <c r="V10" s="146">
        <f t="shared" ref="V10:AG10" si="3">E10-D10</f>
        <v>8.9279999999999973</v>
      </c>
      <c r="W10" s="146">
        <f t="shared" si="3"/>
        <v>7.4369999999999976</v>
      </c>
      <c r="X10" s="146">
        <f t="shared" si="3"/>
        <v>-98.88</v>
      </c>
      <c r="Y10" s="146">
        <f t="shared" si="3"/>
        <v>0</v>
      </c>
      <c r="Z10" s="146">
        <f t="shared" si="3"/>
        <v>0</v>
      </c>
      <c r="AA10" s="146">
        <f t="shared" si="3"/>
        <v>0</v>
      </c>
      <c r="AB10" s="146">
        <f t="shared" si="3"/>
        <v>0</v>
      </c>
      <c r="AC10" s="146">
        <f t="shared" si="3"/>
        <v>0</v>
      </c>
      <c r="AD10" s="146">
        <f t="shared" si="3"/>
        <v>0</v>
      </c>
      <c r="AE10" s="146">
        <f t="shared" si="3"/>
        <v>0</v>
      </c>
      <c r="AF10" s="146">
        <f t="shared" si="3"/>
        <v>0</v>
      </c>
      <c r="AG10" s="146">
        <f t="shared" si="3"/>
        <v>0</v>
      </c>
    </row>
    <row r="11" spans="1:33" x14ac:dyDescent="0.35">
      <c r="A11" s="377"/>
      <c r="B11" s="10" t="s">
        <v>245</v>
      </c>
      <c r="C11" s="313">
        <v>71182257</v>
      </c>
      <c r="D11" s="77">
        <v>35.015999999999998</v>
      </c>
      <c r="E11" s="11">
        <v>38.411000000000001</v>
      </c>
      <c r="F11" s="11">
        <v>40.115000000000002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9"/>
      <c r="R11" s="9">
        <f>P11-D11</f>
        <v>-35.015999999999998</v>
      </c>
      <c r="U11" s="1"/>
      <c r="V11" s="145"/>
      <c r="W11" s="145"/>
      <c r="X11" s="145"/>
      <c r="Y11" s="145"/>
      <c r="Z11" s="145"/>
      <c r="AA11" s="145"/>
      <c r="AB11" s="145"/>
      <c r="AC11" s="145"/>
      <c r="AD11" s="145"/>
      <c r="AE11" s="145"/>
      <c r="AF11" s="145"/>
      <c r="AG11" s="145"/>
    </row>
    <row r="12" spans="1:33" x14ac:dyDescent="0.35">
      <c r="A12" s="372">
        <v>5</v>
      </c>
      <c r="B12" s="10" t="s">
        <v>244</v>
      </c>
      <c r="C12" s="313">
        <v>241345710</v>
      </c>
      <c r="D12" s="77">
        <v>117.4</v>
      </c>
      <c r="E12" s="11">
        <v>127.03100000000001</v>
      </c>
      <c r="F12" s="11">
        <v>134.49600000000001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9">
        <f>P12-D12</f>
        <v>-117.4</v>
      </c>
      <c r="U12" s="1">
        <v>5</v>
      </c>
      <c r="V12" s="146">
        <f t="shared" ref="V12:AG12" si="4">E12-D12</f>
        <v>9.6310000000000002</v>
      </c>
      <c r="W12" s="146">
        <f t="shared" si="4"/>
        <v>7.4650000000000034</v>
      </c>
      <c r="X12" s="146">
        <f t="shared" si="4"/>
        <v>-134.49600000000001</v>
      </c>
      <c r="Y12" s="146">
        <f t="shared" si="4"/>
        <v>0</v>
      </c>
      <c r="Z12" s="146">
        <f t="shared" si="4"/>
        <v>0</v>
      </c>
      <c r="AA12" s="146">
        <f t="shared" si="4"/>
        <v>0</v>
      </c>
      <c r="AB12" s="146">
        <f t="shared" si="4"/>
        <v>0</v>
      </c>
      <c r="AC12" s="146">
        <f t="shared" si="4"/>
        <v>0</v>
      </c>
      <c r="AD12" s="146">
        <f t="shared" si="4"/>
        <v>0</v>
      </c>
      <c r="AE12" s="146">
        <f t="shared" si="4"/>
        <v>0</v>
      </c>
      <c r="AF12" s="146">
        <f t="shared" si="4"/>
        <v>0</v>
      </c>
      <c r="AG12" s="146">
        <f t="shared" si="4"/>
        <v>0</v>
      </c>
    </row>
    <row r="13" spans="1:33" x14ac:dyDescent="0.35">
      <c r="A13" s="372"/>
      <c r="B13" s="10" t="s">
        <v>245</v>
      </c>
      <c r="C13" s="313">
        <v>71182260</v>
      </c>
      <c r="D13" s="77">
        <v>56.393000000000001</v>
      </c>
      <c r="E13" s="11">
        <v>59.75</v>
      </c>
      <c r="F13" s="11">
        <v>61.787999999999997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9"/>
      <c r="R13" s="9">
        <f>P13-D13</f>
        <v>-56.393000000000001</v>
      </c>
      <c r="U13" s="1"/>
      <c r="V13" s="145"/>
      <c r="W13" s="145"/>
      <c r="X13" s="145"/>
      <c r="Y13" s="145"/>
      <c r="Z13" s="145"/>
      <c r="AA13" s="145"/>
      <c r="AB13" s="145"/>
      <c r="AC13" s="145"/>
      <c r="AD13" s="145"/>
      <c r="AE13" s="145"/>
      <c r="AF13" s="145"/>
      <c r="AG13" s="145"/>
    </row>
    <row r="14" spans="1:33" x14ac:dyDescent="0.35">
      <c r="A14" s="372">
        <v>6</v>
      </c>
      <c r="B14" s="10" t="s">
        <v>244</v>
      </c>
      <c r="C14" s="313">
        <v>241345707</v>
      </c>
      <c r="D14" s="77">
        <v>37.942999999999998</v>
      </c>
      <c r="E14" s="11">
        <v>42.085999999999999</v>
      </c>
      <c r="F14" s="11">
        <v>45.581000000000003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9">
        <f>P14-D14</f>
        <v>-37.942999999999998</v>
      </c>
      <c r="U14" s="1">
        <v>6</v>
      </c>
      <c r="V14" s="146">
        <f t="shared" ref="V14:AG14" si="5">E14-D14</f>
        <v>4.1430000000000007</v>
      </c>
      <c r="W14" s="146">
        <f t="shared" si="5"/>
        <v>3.4950000000000045</v>
      </c>
      <c r="X14" s="146">
        <f t="shared" si="5"/>
        <v>-45.581000000000003</v>
      </c>
      <c r="Y14" s="146">
        <f t="shared" si="5"/>
        <v>0</v>
      </c>
      <c r="Z14" s="146">
        <f t="shared" si="5"/>
        <v>0</v>
      </c>
      <c r="AA14" s="146">
        <f t="shared" si="5"/>
        <v>0</v>
      </c>
      <c r="AB14" s="146">
        <f t="shared" si="5"/>
        <v>0</v>
      </c>
      <c r="AC14" s="146">
        <f t="shared" si="5"/>
        <v>0</v>
      </c>
      <c r="AD14" s="146">
        <f t="shared" si="5"/>
        <v>0</v>
      </c>
      <c r="AE14" s="146">
        <f t="shared" si="5"/>
        <v>0</v>
      </c>
      <c r="AF14" s="146">
        <f t="shared" si="5"/>
        <v>0</v>
      </c>
      <c r="AG14" s="146">
        <f t="shared" si="5"/>
        <v>0</v>
      </c>
    </row>
    <row r="15" spans="1:33" x14ac:dyDescent="0.35">
      <c r="A15" s="372"/>
      <c r="B15" s="10" t="s">
        <v>245</v>
      </c>
      <c r="C15" s="313">
        <v>71182266</v>
      </c>
      <c r="D15" s="77">
        <v>63.279000000000003</v>
      </c>
      <c r="E15" s="11">
        <v>67.391000000000005</v>
      </c>
      <c r="F15" s="11">
        <v>70.021000000000001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9"/>
      <c r="R15" s="9">
        <f>P15-D15</f>
        <v>-63.279000000000003</v>
      </c>
      <c r="U15" s="1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</row>
    <row r="16" spans="1:33" x14ac:dyDescent="0.35">
      <c r="A16" s="372">
        <v>7</v>
      </c>
      <c r="B16" s="10" t="s">
        <v>244</v>
      </c>
      <c r="C16" s="313">
        <v>241345708</v>
      </c>
      <c r="D16" s="77">
        <v>146.77600000000001</v>
      </c>
      <c r="E16" s="11">
        <v>161.68299999999999</v>
      </c>
      <c r="F16" s="11">
        <v>175.45099999999999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9">
        <f>P16-D16</f>
        <v>-146.77600000000001</v>
      </c>
      <c r="U16" s="1">
        <v>7</v>
      </c>
      <c r="V16" s="146">
        <f t="shared" ref="V16:AG16" si="6">E16-D16</f>
        <v>14.906999999999982</v>
      </c>
      <c r="W16" s="146">
        <f t="shared" si="6"/>
        <v>13.768000000000001</v>
      </c>
      <c r="X16" s="146">
        <f t="shared" si="6"/>
        <v>-175.45099999999999</v>
      </c>
      <c r="Y16" s="146">
        <f t="shared" si="6"/>
        <v>0</v>
      </c>
      <c r="Z16" s="146">
        <f t="shared" si="6"/>
        <v>0</v>
      </c>
      <c r="AA16" s="146">
        <f t="shared" si="6"/>
        <v>0</v>
      </c>
      <c r="AB16" s="146">
        <f t="shared" si="6"/>
        <v>0</v>
      </c>
      <c r="AC16" s="146">
        <f t="shared" si="6"/>
        <v>0</v>
      </c>
      <c r="AD16" s="146">
        <f t="shared" si="6"/>
        <v>0</v>
      </c>
      <c r="AE16" s="146">
        <f t="shared" si="6"/>
        <v>0</v>
      </c>
      <c r="AF16" s="146">
        <f t="shared" si="6"/>
        <v>0</v>
      </c>
      <c r="AG16" s="146">
        <f t="shared" si="6"/>
        <v>0</v>
      </c>
    </row>
    <row r="17" spans="1:33" x14ac:dyDescent="0.35">
      <c r="A17" s="372"/>
      <c r="B17" s="10" t="s">
        <v>245</v>
      </c>
      <c r="C17" s="313">
        <v>71182229</v>
      </c>
      <c r="D17" s="77">
        <v>131.68700000000001</v>
      </c>
      <c r="E17" s="11">
        <v>138.791</v>
      </c>
      <c r="F17" s="11">
        <v>144.251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9"/>
      <c r="R17" s="9">
        <f>P17-D17</f>
        <v>-131.68700000000001</v>
      </c>
      <c r="U17" s="1"/>
      <c r="V17" s="145"/>
      <c r="W17" s="145"/>
      <c r="X17" s="145"/>
      <c r="Y17" s="145"/>
      <c r="Z17" s="145"/>
      <c r="AA17" s="145"/>
      <c r="AB17" s="145"/>
      <c r="AC17" s="145"/>
      <c r="AD17" s="145"/>
      <c r="AE17" s="145"/>
      <c r="AF17" s="145"/>
      <c r="AG17" s="145"/>
    </row>
    <row r="18" spans="1:33" x14ac:dyDescent="0.35">
      <c r="A18" s="372">
        <v>8</v>
      </c>
      <c r="B18" s="10" t="s">
        <v>244</v>
      </c>
      <c r="C18" s="313">
        <v>241010654</v>
      </c>
      <c r="D18" s="77">
        <v>62.396000000000001</v>
      </c>
      <c r="E18" s="11">
        <v>66.456000000000003</v>
      </c>
      <c r="F18" s="11">
        <v>70.010000000000005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9">
        <f>P18-D18</f>
        <v>-62.396000000000001</v>
      </c>
      <c r="U18" s="1">
        <v>8</v>
      </c>
      <c r="V18" s="146">
        <f t="shared" ref="V18:AG18" si="7">E18-D18</f>
        <v>4.0600000000000023</v>
      </c>
      <c r="W18" s="146">
        <f t="shared" si="7"/>
        <v>3.554000000000002</v>
      </c>
      <c r="X18" s="146">
        <f t="shared" si="7"/>
        <v>-70.010000000000005</v>
      </c>
      <c r="Y18" s="146">
        <f t="shared" si="7"/>
        <v>0</v>
      </c>
      <c r="Z18" s="146">
        <f t="shared" si="7"/>
        <v>0</v>
      </c>
      <c r="AA18" s="146">
        <f t="shared" si="7"/>
        <v>0</v>
      </c>
      <c r="AB18" s="146">
        <f t="shared" si="7"/>
        <v>0</v>
      </c>
      <c r="AC18" s="146">
        <f t="shared" si="7"/>
        <v>0</v>
      </c>
      <c r="AD18" s="146">
        <f t="shared" si="7"/>
        <v>0</v>
      </c>
      <c r="AE18" s="146">
        <f t="shared" si="7"/>
        <v>0</v>
      </c>
      <c r="AF18" s="146">
        <f t="shared" si="7"/>
        <v>0</v>
      </c>
      <c r="AG18" s="146">
        <f t="shared" si="7"/>
        <v>0</v>
      </c>
    </row>
    <row r="19" spans="1:33" x14ac:dyDescent="0.35">
      <c r="A19" s="372"/>
      <c r="B19" s="10" t="s">
        <v>245</v>
      </c>
      <c r="C19" s="313">
        <v>71182239</v>
      </c>
      <c r="D19" s="77">
        <v>66.11</v>
      </c>
      <c r="E19" s="11">
        <v>71.093999999999994</v>
      </c>
      <c r="F19" s="11">
        <v>73.653999999999996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9"/>
      <c r="R19" s="9">
        <f>P19-D19</f>
        <v>-66.11</v>
      </c>
      <c r="U19" s="1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</row>
    <row r="20" spans="1:33" x14ac:dyDescent="0.35">
      <c r="A20" s="372">
        <v>9</v>
      </c>
      <c r="B20" s="10" t="s">
        <v>244</v>
      </c>
      <c r="C20" s="313">
        <v>241010649</v>
      </c>
      <c r="D20" s="77">
        <v>37.701999999999998</v>
      </c>
      <c r="E20" s="11">
        <v>40.871000000000002</v>
      </c>
      <c r="F20" s="11">
        <v>43.517000000000003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9">
        <f>P20-D20</f>
        <v>-37.701999999999998</v>
      </c>
      <c r="U20" s="1">
        <v>9</v>
      </c>
      <c r="V20" s="146">
        <f t="shared" ref="V20:AG20" si="8">E20-D20</f>
        <v>3.169000000000004</v>
      </c>
      <c r="W20" s="146">
        <f t="shared" si="8"/>
        <v>2.6460000000000008</v>
      </c>
      <c r="X20" s="146">
        <f t="shared" si="8"/>
        <v>-43.517000000000003</v>
      </c>
      <c r="Y20" s="146">
        <f t="shared" si="8"/>
        <v>0</v>
      </c>
      <c r="Z20" s="146">
        <f t="shared" si="8"/>
        <v>0</v>
      </c>
      <c r="AA20" s="146">
        <f t="shared" si="8"/>
        <v>0</v>
      </c>
      <c r="AB20" s="146">
        <f t="shared" si="8"/>
        <v>0</v>
      </c>
      <c r="AC20" s="146">
        <f t="shared" si="8"/>
        <v>0</v>
      </c>
      <c r="AD20" s="146">
        <f t="shared" si="8"/>
        <v>0</v>
      </c>
      <c r="AE20" s="146">
        <f t="shared" si="8"/>
        <v>0</v>
      </c>
      <c r="AF20" s="146">
        <f t="shared" si="8"/>
        <v>0</v>
      </c>
      <c r="AG20" s="146">
        <f t="shared" si="8"/>
        <v>0</v>
      </c>
    </row>
    <row r="21" spans="1:33" x14ac:dyDescent="0.35">
      <c r="A21" s="372"/>
      <c r="B21" s="10" t="s">
        <v>245</v>
      </c>
      <c r="C21" s="313">
        <v>71182226</v>
      </c>
      <c r="D21" s="77">
        <v>42.999000000000002</v>
      </c>
      <c r="E21" s="11">
        <v>46.984999999999999</v>
      </c>
      <c r="F21" s="11">
        <v>48.71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9"/>
      <c r="R21" s="9">
        <f>P21-D21</f>
        <v>-42.999000000000002</v>
      </c>
      <c r="U21" s="1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</row>
    <row r="22" spans="1:33" x14ac:dyDescent="0.35">
      <c r="A22" s="372">
        <v>10</v>
      </c>
      <c r="B22" s="10" t="s">
        <v>244</v>
      </c>
      <c r="C22" s="313">
        <v>241010653</v>
      </c>
      <c r="D22" s="77">
        <v>143.63200000000001</v>
      </c>
      <c r="E22" s="11">
        <v>158.197</v>
      </c>
      <c r="F22" s="11">
        <v>167.45099999999999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9">
        <f>P22-D22</f>
        <v>-143.63200000000001</v>
      </c>
      <c r="U22" s="1">
        <v>10</v>
      </c>
      <c r="V22" s="146">
        <f t="shared" ref="V22:AG22" si="9">E22-D22</f>
        <v>14.564999999999998</v>
      </c>
      <c r="W22" s="146">
        <f t="shared" si="9"/>
        <v>9.2539999999999907</v>
      </c>
      <c r="X22" s="146">
        <f t="shared" si="9"/>
        <v>-167.45099999999999</v>
      </c>
      <c r="Y22" s="146">
        <f t="shared" si="9"/>
        <v>0</v>
      </c>
      <c r="Z22" s="146">
        <f t="shared" si="9"/>
        <v>0</v>
      </c>
      <c r="AA22" s="146">
        <f t="shared" si="9"/>
        <v>0</v>
      </c>
      <c r="AB22" s="146">
        <f t="shared" si="9"/>
        <v>0</v>
      </c>
      <c r="AC22" s="146">
        <f t="shared" si="9"/>
        <v>0</v>
      </c>
      <c r="AD22" s="146">
        <f t="shared" si="9"/>
        <v>0</v>
      </c>
      <c r="AE22" s="146">
        <f t="shared" si="9"/>
        <v>0</v>
      </c>
      <c r="AF22" s="146">
        <f t="shared" si="9"/>
        <v>0</v>
      </c>
      <c r="AG22" s="146">
        <f t="shared" si="9"/>
        <v>0</v>
      </c>
    </row>
    <row r="23" spans="1:33" x14ac:dyDescent="0.35">
      <c r="A23" s="372"/>
      <c r="B23" s="10" t="s">
        <v>245</v>
      </c>
      <c r="C23" s="313">
        <v>71182216</v>
      </c>
      <c r="D23" s="77">
        <v>98.89</v>
      </c>
      <c r="E23" s="11">
        <v>105.074</v>
      </c>
      <c r="F23" s="11">
        <v>108.98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3"/>
      <c r="R23" s="97">
        <f>P23-D23</f>
        <v>-98.89</v>
      </c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</row>
    <row r="24" spans="1:33" x14ac:dyDescent="0.35">
      <c r="A24" s="113"/>
      <c r="B24" s="10"/>
      <c r="C24" s="313"/>
      <c r="D24" s="78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9">
        <f>SUM(Q4:Q23)</f>
        <v>-945.73</v>
      </c>
      <c r="R24" s="9">
        <f>SUM(R4:R23)</f>
        <v>-789.673</v>
      </c>
    </row>
    <row r="25" spans="1:33" x14ac:dyDescent="0.35">
      <c r="A25" s="113" t="s">
        <v>15</v>
      </c>
      <c r="B25" s="10" t="s">
        <v>254</v>
      </c>
      <c r="C25" s="313">
        <v>72954852</v>
      </c>
      <c r="D25" s="78">
        <v>40115</v>
      </c>
      <c r="E25" s="15">
        <v>40404</v>
      </c>
      <c r="F25" s="15">
        <v>40599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>
        <f>P25-D25</f>
        <v>-40115</v>
      </c>
    </row>
    <row r="26" spans="1:33" ht="15" thickBot="1" x14ac:dyDescent="0.4">
      <c r="A26" s="113"/>
      <c r="B26" s="282" t="s">
        <v>247</v>
      </c>
      <c r="C26" s="317">
        <v>240826421</v>
      </c>
      <c r="D26" s="79">
        <v>1047.2</v>
      </c>
      <c r="E26" s="18">
        <v>1149.2</v>
      </c>
      <c r="F26" s="18">
        <v>1231.5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9">
        <f>P26-D26</f>
        <v>-1047.2</v>
      </c>
    </row>
    <row r="27" spans="1:33" x14ac:dyDescent="0.35">
      <c r="A27" s="119"/>
      <c r="B27" s="205" t="s">
        <v>215</v>
      </c>
      <c r="C27" s="313">
        <v>70465266</v>
      </c>
      <c r="D27" s="80">
        <v>1109.3499999999999</v>
      </c>
      <c r="E27" s="19">
        <v>1161.42</v>
      </c>
      <c r="F27" s="19">
        <v>1194.17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9"/>
      <c r="R27" s="9">
        <f>P27-D27</f>
        <v>-1109.3499999999999</v>
      </c>
      <c r="S27" t="s">
        <v>78</v>
      </c>
    </row>
    <row r="28" spans="1:33" ht="15" thickBot="1" x14ac:dyDescent="0.4">
      <c r="A28" s="4"/>
      <c r="B28" s="26" t="s">
        <v>16</v>
      </c>
      <c r="C28" s="318"/>
      <c r="D28" s="81">
        <v>8405</v>
      </c>
      <c r="E28" s="21">
        <v>8813</v>
      </c>
      <c r="F28" s="21">
        <v>9051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9"/>
      <c r="R28" s="16">
        <f>P28-D28</f>
        <v>-8405</v>
      </c>
      <c r="S28" t="s">
        <v>79</v>
      </c>
    </row>
    <row r="29" spans="1:33" ht="15" thickBot="1" x14ac:dyDescent="0.4">
      <c r="A29" s="121" t="str">
        <f>'1854'!A29</f>
        <v xml:space="preserve">Fakturační vodoměr:      </v>
      </c>
      <c r="B29" s="22"/>
      <c r="C29" s="310">
        <f>'1854'!C29</f>
        <v>42012114941</v>
      </c>
      <c r="D29" s="23">
        <f>'1854'!D29</f>
        <v>211</v>
      </c>
      <c r="E29" s="23">
        <f>'1854'!E29</f>
        <v>537.6</v>
      </c>
      <c r="F29" s="23">
        <f>'1854'!F29</f>
        <v>814.4</v>
      </c>
      <c r="G29" s="23">
        <f>'1854'!G29</f>
        <v>0</v>
      </c>
      <c r="H29" s="23">
        <f>'1854'!H29</f>
        <v>0</v>
      </c>
      <c r="I29" s="23">
        <f>'1854'!I29</f>
        <v>0</v>
      </c>
      <c r="J29" s="23">
        <f>'1854'!J29</f>
        <v>0</v>
      </c>
      <c r="K29" s="23">
        <f>'1854'!K29</f>
        <v>0</v>
      </c>
      <c r="L29" s="23">
        <f>'1854'!L29</f>
        <v>0</v>
      </c>
      <c r="M29" s="23">
        <f>'1854'!M29</f>
        <v>0</v>
      </c>
      <c r="N29" s="23">
        <f>'1854'!N29</f>
        <v>0</v>
      </c>
      <c r="O29" s="23">
        <f>'1854'!O29</f>
        <v>0</v>
      </c>
      <c r="P29" s="23">
        <f>'1854'!P29</f>
        <v>0</v>
      </c>
      <c r="Q29" s="9">
        <f>'1854'!Q29</f>
        <v>-211</v>
      </c>
    </row>
    <row r="31" spans="1:33" x14ac:dyDescent="0.35">
      <c r="D31" s="25" t="s">
        <v>117</v>
      </c>
      <c r="F31" s="136"/>
    </row>
    <row r="32" spans="1:33" x14ac:dyDescent="0.35">
      <c r="C32" s="379">
        <v>4</v>
      </c>
      <c r="D32" s="380">
        <v>43950</v>
      </c>
      <c r="E32" s="84" t="s">
        <v>115</v>
      </c>
      <c r="F32" s="106"/>
      <c r="G32" s="106"/>
      <c r="K32" t="s">
        <v>135</v>
      </c>
      <c r="N32" s="1" t="s">
        <v>79</v>
      </c>
    </row>
    <row r="33" spans="2:14" x14ac:dyDescent="0.35">
      <c r="C33" s="379"/>
      <c r="D33" s="380"/>
      <c r="E33" s="84" t="s">
        <v>116</v>
      </c>
      <c r="F33" s="106"/>
      <c r="G33" s="106"/>
      <c r="K33" s="177">
        <v>44095</v>
      </c>
      <c r="L33" s="84" t="s">
        <v>115</v>
      </c>
      <c r="M33" s="84"/>
      <c r="N33" s="84"/>
    </row>
    <row r="34" spans="2:14" x14ac:dyDescent="0.35">
      <c r="L34" s="1"/>
      <c r="M34" s="169" t="s">
        <v>128</v>
      </c>
      <c r="N34" s="170" t="s">
        <v>79</v>
      </c>
    </row>
    <row r="35" spans="2:14" x14ac:dyDescent="0.35">
      <c r="E35" t="s">
        <v>126</v>
      </c>
      <c r="H35" s="172" t="s">
        <v>127</v>
      </c>
      <c r="I35" s="1" t="s">
        <v>79</v>
      </c>
      <c r="K35" s="177">
        <v>44095</v>
      </c>
      <c r="L35" s="84" t="s">
        <v>116</v>
      </c>
      <c r="M35" s="84"/>
      <c r="N35" s="84"/>
    </row>
    <row r="36" spans="2:14" x14ac:dyDescent="0.35">
      <c r="D36" t="s">
        <v>129</v>
      </c>
      <c r="E36" s="160">
        <v>43984</v>
      </c>
      <c r="F36" s="84" t="s">
        <v>115</v>
      </c>
      <c r="G36" s="84"/>
      <c r="H36" s="167"/>
      <c r="I36" s="108"/>
    </row>
    <row r="37" spans="2:14" x14ac:dyDescent="0.35">
      <c r="E37" s="168"/>
      <c r="F37" s="169"/>
      <c r="G37" s="169" t="s">
        <v>128</v>
      </c>
      <c r="H37" s="171" t="s">
        <v>78</v>
      </c>
      <c r="I37" s="170" t="s">
        <v>79</v>
      </c>
    </row>
    <row r="38" spans="2:14" x14ac:dyDescent="0.35">
      <c r="D38" t="s">
        <v>130</v>
      </c>
      <c r="E38" s="160">
        <v>43986</v>
      </c>
      <c r="F38" s="84" t="s">
        <v>116</v>
      </c>
      <c r="G38" s="84"/>
      <c r="H38" s="167"/>
      <c r="I38" s="108"/>
    </row>
    <row r="40" spans="2:14" x14ac:dyDescent="0.35">
      <c r="C40" t="s">
        <v>125</v>
      </c>
    </row>
    <row r="41" spans="2:14" x14ac:dyDescent="0.35">
      <c r="C41" s="380">
        <v>45415</v>
      </c>
      <c r="D41" s="84" t="s">
        <v>115</v>
      </c>
      <c r="E41" s="384">
        <v>72370868</v>
      </c>
      <c r="F41" s="384"/>
      <c r="G41" s="106"/>
    </row>
    <row r="42" spans="2:14" x14ac:dyDescent="0.35">
      <c r="C42" s="380"/>
      <c r="D42" s="84" t="s">
        <v>116</v>
      </c>
      <c r="E42" s="384">
        <v>72954852</v>
      </c>
      <c r="F42" s="384"/>
      <c r="G42" s="106"/>
    </row>
    <row r="44" spans="2:14" x14ac:dyDescent="0.35">
      <c r="B44" t="s">
        <v>218</v>
      </c>
      <c r="C44" t="s">
        <v>219</v>
      </c>
    </row>
  </sheetData>
  <sheetProtection selectLockedCells="1" selectUnlockedCells="1"/>
  <mergeCells count="15">
    <mergeCell ref="C41:C42"/>
    <mergeCell ref="E41:F41"/>
    <mergeCell ref="E42:F42"/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E4">
    <cfRule type="cellIs" dxfId="644" priority="64" stopIfTrue="1" operator="lessThan">
      <formula>$D$4</formula>
    </cfRule>
    <cfRule type="cellIs" dxfId="643" priority="65" stopIfTrue="1" operator="equal">
      <formula>$D$4</formula>
    </cfRule>
  </conditionalFormatting>
  <conditionalFormatting sqref="E5">
    <cfRule type="cellIs" dxfId="642" priority="69" stopIfTrue="1" operator="lessThan">
      <formula>$D$5</formula>
    </cfRule>
    <cfRule type="cellIs" dxfId="641" priority="68" stopIfTrue="1" operator="equal">
      <formula>$D$5</formula>
    </cfRule>
  </conditionalFormatting>
  <conditionalFormatting sqref="E6">
    <cfRule type="cellIs" dxfId="640" priority="75" stopIfTrue="1" operator="equal">
      <formula>$D$6</formula>
    </cfRule>
    <cfRule type="cellIs" dxfId="639" priority="76" stopIfTrue="1" operator="lessThan">
      <formula>$D$6</formula>
    </cfRule>
  </conditionalFormatting>
  <conditionalFormatting sqref="E7">
    <cfRule type="cellIs" dxfId="638" priority="90" stopIfTrue="1" operator="lessThan">
      <formula>$D$7</formula>
    </cfRule>
    <cfRule type="cellIs" dxfId="637" priority="89" stopIfTrue="1" operator="equal">
      <formula>$D$7</formula>
    </cfRule>
  </conditionalFormatting>
  <conditionalFormatting sqref="E8">
    <cfRule type="cellIs" dxfId="636" priority="102" stopIfTrue="1" operator="lessThan">
      <formula>$D$8</formula>
    </cfRule>
    <cfRule type="cellIs" dxfId="635" priority="101" stopIfTrue="1" operator="equal">
      <formula>$D$8</formula>
    </cfRule>
  </conditionalFormatting>
  <conditionalFormatting sqref="E9">
    <cfRule type="cellIs" dxfId="634" priority="116" stopIfTrue="1" operator="lessThan">
      <formula>$D$9</formula>
    </cfRule>
    <cfRule type="cellIs" dxfId="633" priority="115" stopIfTrue="1" operator="equal">
      <formula>$D$9</formula>
    </cfRule>
  </conditionalFormatting>
  <conditionalFormatting sqref="E10">
    <cfRule type="cellIs" dxfId="632" priority="129" stopIfTrue="1" operator="equal">
      <formula>$D$10</formula>
    </cfRule>
    <cfRule type="cellIs" dxfId="631" priority="130" stopIfTrue="1" operator="lessThan">
      <formula>$D$10</formula>
    </cfRule>
  </conditionalFormatting>
  <conditionalFormatting sqref="E11">
    <cfRule type="cellIs" dxfId="630" priority="144" stopIfTrue="1" operator="lessThan">
      <formula>$D$11</formula>
    </cfRule>
    <cfRule type="cellIs" dxfId="629" priority="143" stopIfTrue="1" operator="equal">
      <formula>$D$11</formula>
    </cfRule>
  </conditionalFormatting>
  <conditionalFormatting sqref="E12">
    <cfRule type="cellIs" dxfId="628" priority="158" stopIfTrue="1" operator="lessThan">
      <formula>$D$12</formula>
    </cfRule>
    <cfRule type="cellIs" dxfId="627" priority="157" stopIfTrue="1" operator="equal">
      <formula>$D$12</formula>
    </cfRule>
  </conditionalFormatting>
  <conditionalFormatting sqref="E13">
    <cfRule type="cellIs" dxfId="626" priority="290" stopIfTrue="1" operator="lessThan">
      <formula>$D$13</formula>
    </cfRule>
    <cfRule type="cellIs" dxfId="625" priority="289" stopIfTrue="1" operator="equal">
      <formula>$D$13</formula>
    </cfRule>
  </conditionalFormatting>
  <conditionalFormatting sqref="E14">
    <cfRule type="cellIs" dxfId="624" priority="172" stopIfTrue="1" operator="lessThan">
      <formula>$D$14</formula>
    </cfRule>
    <cfRule type="cellIs" dxfId="623" priority="171" stopIfTrue="1" operator="equal">
      <formula>$D$14</formula>
    </cfRule>
  </conditionalFormatting>
  <conditionalFormatting sqref="E15">
    <cfRule type="cellIs" dxfId="622" priority="173" stopIfTrue="1" operator="equal">
      <formula>$D$15</formula>
    </cfRule>
    <cfRule type="cellIs" dxfId="621" priority="174" stopIfTrue="1" operator="lessThan">
      <formula>$D$15</formula>
    </cfRule>
  </conditionalFormatting>
  <conditionalFormatting sqref="E16">
    <cfRule type="cellIs" dxfId="620" priority="176" stopIfTrue="1" operator="lessThan">
      <formula>$D$16</formula>
    </cfRule>
    <cfRule type="cellIs" dxfId="619" priority="175" stopIfTrue="1" operator="equal">
      <formula>$D$16</formula>
    </cfRule>
  </conditionalFormatting>
  <conditionalFormatting sqref="E17">
    <cfRule type="cellIs" dxfId="618" priority="178" stopIfTrue="1" operator="lessThan">
      <formula>$D$17</formula>
    </cfRule>
    <cfRule type="cellIs" dxfId="617" priority="177" stopIfTrue="1" operator="equal">
      <formula>$D$17</formula>
    </cfRule>
  </conditionalFormatting>
  <conditionalFormatting sqref="E18">
    <cfRule type="cellIs" dxfId="616" priority="180" stopIfTrue="1" operator="lessThan">
      <formula>$D$18</formula>
    </cfRule>
    <cfRule type="cellIs" dxfId="615" priority="179" stopIfTrue="1" operator="equal">
      <formula>$D$18</formula>
    </cfRule>
  </conditionalFormatting>
  <conditionalFormatting sqref="E19">
    <cfRule type="cellIs" dxfId="614" priority="182" stopIfTrue="1" operator="lessThan">
      <formula>$D$19</formula>
    </cfRule>
    <cfRule type="cellIs" dxfId="613" priority="181" stopIfTrue="1" operator="equal">
      <formula>$D$19</formula>
    </cfRule>
  </conditionalFormatting>
  <conditionalFormatting sqref="E20">
    <cfRule type="cellIs" dxfId="612" priority="184" stopIfTrue="1" operator="lessThan">
      <formula>$D$20</formula>
    </cfRule>
    <cfRule type="cellIs" dxfId="611" priority="183" stopIfTrue="1" operator="equal">
      <formula>$D$20</formula>
    </cfRule>
  </conditionalFormatting>
  <conditionalFormatting sqref="E21">
    <cfRule type="cellIs" dxfId="610" priority="186" stopIfTrue="1" operator="lessThan">
      <formula>$D$21</formula>
    </cfRule>
    <cfRule type="cellIs" dxfId="609" priority="185" stopIfTrue="1" operator="equal">
      <formula>$D$21</formula>
    </cfRule>
  </conditionalFormatting>
  <conditionalFormatting sqref="E22">
    <cfRule type="cellIs" dxfId="608" priority="187" stopIfTrue="1" operator="equal">
      <formula>$D$22</formula>
    </cfRule>
    <cfRule type="cellIs" dxfId="607" priority="188" stopIfTrue="1" operator="lessThan">
      <formula>$D$22</formula>
    </cfRule>
  </conditionalFormatting>
  <conditionalFormatting sqref="E23">
    <cfRule type="cellIs" dxfId="606" priority="189" stopIfTrue="1" operator="equal">
      <formula>$D$23</formula>
    </cfRule>
    <cfRule type="cellIs" dxfId="605" priority="190" stopIfTrue="1" operator="lessThan">
      <formula>$D$23</formula>
    </cfRule>
  </conditionalFormatting>
  <conditionalFormatting sqref="E24">
    <cfRule type="cellIs" dxfId="604" priority="321" stopIfTrue="1" operator="equal">
      <formula>$D$24</formula>
    </cfRule>
    <cfRule type="cellIs" dxfId="603" priority="322" stopIfTrue="1" operator="lessThan">
      <formula>$D$24</formula>
    </cfRule>
  </conditionalFormatting>
  <conditionalFormatting sqref="E25">
    <cfRule type="cellIs" dxfId="602" priority="192" stopIfTrue="1" operator="lessThan">
      <formula>$D$25</formula>
    </cfRule>
    <cfRule type="cellIs" dxfId="601" priority="191" stopIfTrue="1" operator="equal">
      <formula>$D$25</formula>
    </cfRule>
  </conditionalFormatting>
  <conditionalFormatting sqref="E26">
    <cfRule type="cellIs" dxfId="600" priority="193" stopIfTrue="1" operator="equal">
      <formula>$D$26</formula>
    </cfRule>
    <cfRule type="cellIs" dxfId="599" priority="194" stopIfTrue="1" operator="lessThan">
      <formula>$D$26</formula>
    </cfRule>
  </conditionalFormatting>
  <conditionalFormatting sqref="E27">
    <cfRule type="cellIs" dxfId="598" priority="195" stopIfTrue="1" operator="equal">
      <formula>$D$27</formula>
    </cfRule>
    <cfRule type="cellIs" dxfId="597" priority="196" stopIfTrue="1" operator="lessThan">
      <formula>$D$27</formula>
    </cfRule>
  </conditionalFormatting>
  <conditionalFormatting sqref="E28">
    <cfRule type="cellIs" dxfId="596" priority="198" stopIfTrue="1" operator="lessThan">
      <formula>$D$28</formula>
    </cfRule>
    <cfRule type="cellIs" dxfId="595" priority="197" stopIfTrue="1" operator="equal">
      <formula>$D$28</formula>
    </cfRule>
  </conditionalFormatting>
  <conditionalFormatting sqref="E29:I29 K29:P29">
    <cfRule type="cellIs" dxfId="594" priority="336" stopIfTrue="1" operator="equal">
      <formula>0</formula>
    </cfRule>
  </conditionalFormatting>
  <conditionalFormatting sqref="F4">
    <cfRule type="cellIs" dxfId="593" priority="67" stopIfTrue="1" operator="lessThan">
      <formula>$E$4</formula>
    </cfRule>
    <cfRule type="cellIs" dxfId="592" priority="66" stopIfTrue="1" operator="equal">
      <formula>$E$4</formula>
    </cfRule>
  </conditionalFormatting>
  <conditionalFormatting sqref="F5">
    <cfRule type="cellIs" dxfId="591" priority="331" stopIfTrue="1" operator="equal">
      <formula>$E$5</formula>
    </cfRule>
    <cfRule type="cellIs" dxfId="590" priority="332" stopIfTrue="1" operator="lessThan">
      <formula>$E$5</formula>
    </cfRule>
  </conditionalFormatting>
  <conditionalFormatting sqref="F6">
    <cfRule type="cellIs" dxfId="589" priority="77" stopIfTrue="1" operator="equal">
      <formula>$E$6</formula>
    </cfRule>
    <cfRule type="cellIs" dxfId="588" priority="78" stopIfTrue="1" operator="lessThan">
      <formula>$E$6</formula>
    </cfRule>
  </conditionalFormatting>
  <conditionalFormatting sqref="F7">
    <cfRule type="cellIs" dxfId="587" priority="92" stopIfTrue="1" operator="lessThan">
      <formula>$E$7</formula>
    </cfRule>
    <cfRule type="cellIs" dxfId="586" priority="91" stopIfTrue="1" operator="equal">
      <formula>$E$7</formula>
    </cfRule>
  </conditionalFormatting>
  <conditionalFormatting sqref="F8">
    <cfRule type="cellIs" dxfId="585" priority="103" stopIfTrue="1" operator="equal">
      <formula>$E$8</formula>
    </cfRule>
    <cfRule type="cellIs" dxfId="584" priority="104" stopIfTrue="1" operator="lessThan">
      <formula>$E$8</formula>
    </cfRule>
  </conditionalFormatting>
  <conditionalFormatting sqref="F9">
    <cfRule type="cellIs" dxfId="583" priority="117" stopIfTrue="1" operator="equal">
      <formula>$E$9</formula>
    </cfRule>
    <cfRule type="cellIs" dxfId="582" priority="118" stopIfTrue="1" operator="lessThan">
      <formula>$E$9</formula>
    </cfRule>
  </conditionalFormatting>
  <conditionalFormatting sqref="F10">
    <cfRule type="cellIs" dxfId="581" priority="131" stopIfTrue="1" operator="equal">
      <formula>$E$10</formula>
    </cfRule>
    <cfRule type="cellIs" dxfId="580" priority="132" stopIfTrue="1" operator="lessThan">
      <formula>$E$10</formula>
    </cfRule>
  </conditionalFormatting>
  <conditionalFormatting sqref="F11">
    <cfRule type="cellIs" dxfId="579" priority="146" stopIfTrue="1" operator="lessThan">
      <formula>$E$11</formula>
    </cfRule>
    <cfRule type="cellIs" dxfId="578" priority="145" stopIfTrue="1" operator="equal">
      <formula>$E$11</formula>
    </cfRule>
  </conditionalFormatting>
  <conditionalFormatting sqref="F12">
    <cfRule type="cellIs" dxfId="577" priority="160" stopIfTrue="1" operator="lessThan">
      <formula>$E$12</formula>
    </cfRule>
    <cfRule type="cellIs" dxfId="576" priority="159" stopIfTrue="1" operator="equal">
      <formula>$E$12</formula>
    </cfRule>
  </conditionalFormatting>
  <conditionalFormatting sqref="F13">
    <cfRule type="cellIs" dxfId="575" priority="199" stopIfTrue="1" operator="equal">
      <formula>$E$13</formula>
    </cfRule>
    <cfRule type="cellIs" dxfId="574" priority="200" stopIfTrue="1" operator="lessThan">
      <formula>$E$13</formula>
    </cfRule>
  </conditionalFormatting>
  <conditionalFormatting sqref="F14">
    <cfRule type="cellIs" dxfId="573" priority="201" stopIfTrue="1" operator="equal">
      <formula>$E$14</formula>
    </cfRule>
    <cfRule type="cellIs" dxfId="572" priority="202" stopIfTrue="1" operator="lessThan">
      <formula>$E$14</formula>
    </cfRule>
  </conditionalFormatting>
  <conditionalFormatting sqref="F15">
    <cfRule type="cellIs" dxfId="571" priority="203" stopIfTrue="1" operator="equal">
      <formula>$E$15</formula>
    </cfRule>
    <cfRule type="cellIs" dxfId="570" priority="204" stopIfTrue="1" operator="lessThan">
      <formula>$E$15</formula>
    </cfRule>
  </conditionalFormatting>
  <conditionalFormatting sqref="F16">
    <cfRule type="cellIs" dxfId="569" priority="206" stopIfTrue="1" operator="lessThan">
      <formula>$E$16</formula>
    </cfRule>
    <cfRule type="cellIs" dxfId="568" priority="205" stopIfTrue="1" operator="equal">
      <formula>$E$16</formula>
    </cfRule>
  </conditionalFormatting>
  <conditionalFormatting sqref="F17">
    <cfRule type="cellIs" dxfId="567" priority="208" stopIfTrue="1" operator="lessThan">
      <formula>$E$17</formula>
    </cfRule>
    <cfRule type="cellIs" dxfId="566" priority="207" stopIfTrue="1" operator="equal">
      <formula>$E$17</formula>
    </cfRule>
  </conditionalFormatting>
  <conditionalFormatting sqref="F18">
    <cfRule type="cellIs" dxfId="565" priority="210" stopIfTrue="1" operator="lessThan">
      <formula>$E$18</formula>
    </cfRule>
    <cfRule type="cellIs" dxfId="564" priority="209" stopIfTrue="1" operator="equal">
      <formula>$E$18</formula>
    </cfRule>
  </conditionalFormatting>
  <conditionalFormatting sqref="F19">
    <cfRule type="cellIs" dxfId="563" priority="212" stopIfTrue="1" operator="lessThan">
      <formula>$E$19</formula>
    </cfRule>
    <cfRule type="cellIs" dxfId="562" priority="211" stopIfTrue="1" operator="equal">
      <formula>$E$19</formula>
    </cfRule>
  </conditionalFormatting>
  <conditionalFormatting sqref="F20">
    <cfRule type="cellIs" dxfId="561" priority="214" stopIfTrue="1" operator="lessThan">
      <formula>$E$20</formula>
    </cfRule>
    <cfRule type="cellIs" dxfId="560" priority="213" stopIfTrue="1" operator="equal">
      <formula>$E$20</formula>
    </cfRule>
  </conditionalFormatting>
  <conditionalFormatting sqref="F21">
    <cfRule type="cellIs" dxfId="559" priority="215" stopIfTrue="1" operator="equal">
      <formula>$E$21</formula>
    </cfRule>
    <cfRule type="cellIs" dxfId="558" priority="216" stopIfTrue="1" operator="lessThan">
      <formula>$E$21</formula>
    </cfRule>
  </conditionalFormatting>
  <conditionalFormatting sqref="F22">
    <cfRule type="cellIs" dxfId="557" priority="217" stopIfTrue="1" operator="equal">
      <formula>$E$22</formula>
    </cfRule>
    <cfRule type="cellIs" dxfId="556" priority="218" stopIfTrue="1" operator="lessThan">
      <formula>$E$22</formula>
    </cfRule>
  </conditionalFormatting>
  <conditionalFormatting sqref="F23">
    <cfRule type="cellIs" dxfId="555" priority="219" stopIfTrue="1" operator="equal">
      <formula>$E$23</formula>
    </cfRule>
    <cfRule type="cellIs" dxfId="554" priority="220" stopIfTrue="1" operator="lessThan">
      <formula>$E$23</formula>
    </cfRule>
  </conditionalFormatting>
  <conditionalFormatting sqref="F24">
    <cfRule type="cellIs" dxfId="553" priority="324" stopIfTrue="1" operator="lessThan">
      <formula>$E$24</formula>
    </cfRule>
    <cfRule type="cellIs" dxfId="552" priority="323" stopIfTrue="1" operator="equal">
      <formula>$E$24</formula>
    </cfRule>
  </conditionalFormatting>
  <conditionalFormatting sqref="F25">
    <cfRule type="cellIs" dxfId="551" priority="222" stopIfTrue="1" operator="lessThan">
      <formula>$E$25</formula>
    </cfRule>
    <cfRule type="cellIs" dxfId="550" priority="221" stopIfTrue="1" operator="equal">
      <formula>$E$25</formula>
    </cfRule>
  </conditionalFormatting>
  <conditionalFormatting sqref="F26">
    <cfRule type="cellIs" dxfId="549" priority="223" stopIfTrue="1" operator="equal">
      <formula>$E$26</formula>
    </cfRule>
    <cfRule type="cellIs" dxfId="548" priority="224" stopIfTrue="1" operator="lessThan">
      <formula>$E$26</formula>
    </cfRule>
  </conditionalFormatting>
  <conditionalFormatting sqref="F27">
    <cfRule type="cellIs" dxfId="547" priority="226" stopIfTrue="1" operator="lessThan">
      <formula>$E$27</formula>
    </cfRule>
    <cfRule type="cellIs" dxfId="546" priority="225" stopIfTrue="1" operator="equal">
      <formula>$E$27</formula>
    </cfRule>
  </conditionalFormatting>
  <conditionalFormatting sqref="F28">
    <cfRule type="cellIs" dxfId="545" priority="227" stopIfTrue="1" operator="equal">
      <formula>$E$28</formula>
    </cfRule>
    <cfRule type="cellIs" dxfId="544" priority="228" stopIfTrue="1" operator="lessThan">
      <formula>$E$28</formula>
    </cfRule>
  </conditionalFormatting>
  <conditionalFormatting sqref="G4">
    <cfRule type="cellIs" dxfId="543" priority="63" stopIfTrue="1" operator="lessThan">
      <formula>$F$4</formula>
    </cfRule>
    <cfRule type="cellIs" dxfId="542" priority="62" stopIfTrue="1" operator="equal">
      <formula>$F$4</formula>
    </cfRule>
  </conditionalFormatting>
  <conditionalFormatting sqref="G5">
    <cfRule type="cellIs" dxfId="541" priority="70" stopIfTrue="1" operator="equal">
      <formula>$F$5</formula>
    </cfRule>
    <cfRule type="cellIs" dxfId="540" priority="71" stopIfTrue="1" operator="lessThan">
      <formula>$F$5</formula>
    </cfRule>
  </conditionalFormatting>
  <conditionalFormatting sqref="G6">
    <cfRule type="cellIs" dxfId="539" priority="79" stopIfTrue="1" operator="equal">
      <formula>$F$6</formula>
    </cfRule>
    <cfRule type="cellIs" dxfId="538" priority="80" stopIfTrue="1" operator="lessThan">
      <formula>$F$6</formula>
    </cfRule>
  </conditionalFormatting>
  <conditionalFormatting sqref="G7">
    <cfRule type="cellIs" dxfId="537" priority="93" stopIfTrue="1" operator="equal">
      <formula>$F$7</formula>
    </cfRule>
    <cfRule type="cellIs" dxfId="536" priority="94" stopIfTrue="1" operator="lessThan">
      <formula>$F$7</formula>
    </cfRule>
  </conditionalFormatting>
  <conditionalFormatting sqref="G8">
    <cfRule type="cellIs" dxfId="535" priority="106" stopIfTrue="1" operator="lessThan">
      <formula>$F$8</formula>
    </cfRule>
    <cfRule type="cellIs" dxfId="534" priority="105" stopIfTrue="1" operator="equal">
      <formula>$F$8</formula>
    </cfRule>
  </conditionalFormatting>
  <conditionalFormatting sqref="G9">
    <cfRule type="cellIs" dxfId="533" priority="120" stopIfTrue="1" operator="lessThan">
      <formula>$F$9</formula>
    </cfRule>
    <cfRule type="cellIs" dxfId="532" priority="119" stopIfTrue="1" operator="equal">
      <formula>$F$9</formula>
    </cfRule>
  </conditionalFormatting>
  <conditionalFormatting sqref="G10">
    <cfRule type="cellIs" dxfId="531" priority="134" stopIfTrue="1" operator="lessThan">
      <formula>$F$10</formula>
    </cfRule>
    <cfRule type="cellIs" dxfId="530" priority="133" stopIfTrue="1" operator="equal">
      <formula>$F$10</formula>
    </cfRule>
  </conditionalFormatting>
  <conditionalFormatting sqref="G11">
    <cfRule type="cellIs" dxfId="529" priority="147" stopIfTrue="1" operator="equal">
      <formula>$F$11</formula>
    </cfRule>
    <cfRule type="cellIs" dxfId="528" priority="148" stopIfTrue="1" operator="lessThan">
      <formula>$F$11</formula>
    </cfRule>
  </conditionalFormatting>
  <conditionalFormatting sqref="G12">
    <cfRule type="cellIs" dxfId="527" priority="162" stopIfTrue="1" operator="lessThan">
      <formula>$F$12</formula>
    </cfRule>
    <cfRule type="cellIs" dxfId="526" priority="161" stopIfTrue="1" operator="equal">
      <formula>$F$12</formula>
    </cfRule>
  </conditionalFormatting>
  <conditionalFormatting sqref="G13">
    <cfRule type="cellIs" dxfId="525" priority="230" stopIfTrue="1" operator="lessThan">
      <formula>$F$13</formula>
    </cfRule>
    <cfRule type="cellIs" dxfId="524" priority="229" stopIfTrue="1" operator="equal">
      <formula>$F$13</formula>
    </cfRule>
  </conditionalFormatting>
  <conditionalFormatting sqref="G14">
    <cfRule type="cellIs" dxfId="523" priority="231" stopIfTrue="1" operator="equal">
      <formula>$F$14</formula>
    </cfRule>
    <cfRule type="cellIs" dxfId="522" priority="232" stopIfTrue="1" operator="lessThan">
      <formula>$F$14</formula>
    </cfRule>
  </conditionalFormatting>
  <conditionalFormatting sqref="G15">
    <cfRule type="cellIs" dxfId="521" priority="233" stopIfTrue="1" operator="equal">
      <formula>$F$15</formula>
    </cfRule>
    <cfRule type="cellIs" dxfId="520" priority="234" stopIfTrue="1" operator="lessThan">
      <formula>$F$15</formula>
    </cfRule>
  </conditionalFormatting>
  <conditionalFormatting sqref="G16">
    <cfRule type="cellIs" dxfId="519" priority="236" stopIfTrue="1" operator="lessThan">
      <formula>$F$16</formula>
    </cfRule>
    <cfRule type="cellIs" dxfId="518" priority="235" stopIfTrue="1" operator="equal">
      <formula>$F$16</formula>
    </cfRule>
  </conditionalFormatting>
  <conditionalFormatting sqref="G17">
    <cfRule type="cellIs" dxfId="517" priority="237" stopIfTrue="1" operator="equal">
      <formula>$F$17</formula>
    </cfRule>
    <cfRule type="cellIs" dxfId="516" priority="238" stopIfTrue="1" operator="lessThan">
      <formula>$F$17</formula>
    </cfRule>
  </conditionalFormatting>
  <conditionalFormatting sqref="G18">
    <cfRule type="cellIs" dxfId="515" priority="239" stopIfTrue="1" operator="equal">
      <formula>$F$18</formula>
    </cfRule>
    <cfRule type="cellIs" dxfId="514" priority="240" stopIfTrue="1" operator="lessThan">
      <formula>$F$18</formula>
    </cfRule>
  </conditionalFormatting>
  <conditionalFormatting sqref="G19">
    <cfRule type="cellIs" dxfId="513" priority="241" stopIfTrue="1" operator="equal">
      <formula>$F$19</formula>
    </cfRule>
    <cfRule type="cellIs" dxfId="512" priority="242" stopIfTrue="1" operator="lessThan">
      <formula>$F$19</formula>
    </cfRule>
  </conditionalFormatting>
  <conditionalFormatting sqref="G20">
    <cfRule type="cellIs" dxfId="511" priority="244" stopIfTrue="1" operator="lessThan">
      <formula>$F$20</formula>
    </cfRule>
    <cfRule type="cellIs" dxfId="510" priority="243" stopIfTrue="1" operator="equal">
      <formula>$F$20</formula>
    </cfRule>
  </conditionalFormatting>
  <conditionalFormatting sqref="G21">
    <cfRule type="cellIs" dxfId="509" priority="246" stopIfTrue="1" operator="lessThan">
      <formula>$F$21</formula>
    </cfRule>
    <cfRule type="cellIs" dxfId="508" priority="245" stopIfTrue="1" operator="equal">
      <formula>$F$21</formula>
    </cfRule>
  </conditionalFormatting>
  <conditionalFormatting sqref="G22">
    <cfRule type="cellIs" dxfId="507" priority="247" stopIfTrue="1" operator="equal">
      <formula>$F$22</formula>
    </cfRule>
    <cfRule type="cellIs" dxfId="506" priority="248" stopIfTrue="1" operator="lessThan">
      <formula>$F$22</formula>
    </cfRule>
  </conditionalFormatting>
  <conditionalFormatting sqref="G23">
    <cfRule type="cellIs" dxfId="505" priority="249" stopIfTrue="1" operator="equal">
      <formula>$F$23</formula>
    </cfRule>
    <cfRule type="cellIs" dxfId="504" priority="250" stopIfTrue="1" operator="lessThan">
      <formula>$F$23</formula>
    </cfRule>
  </conditionalFormatting>
  <conditionalFormatting sqref="G24">
    <cfRule type="cellIs" dxfId="503" priority="326" stopIfTrue="1" operator="lessThan">
      <formula>$F$24</formula>
    </cfRule>
    <cfRule type="cellIs" dxfId="502" priority="325" stopIfTrue="1" operator="equal">
      <formula>$F$24</formula>
    </cfRule>
  </conditionalFormatting>
  <conditionalFormatting sqref="G25">
    <cfRule type="cellIs" dxfId="501" priority="252" stopIfTrue="1" operator="lessThan">
      <formula>$F$25</formula>
    </cfRule>
    <cfRule type="cellIs" dxfId="500" priority="251" stopIfTrue="1" operator="equal">
      <formula>$F$25</formula>
    </cfRule>
  </conditionalFormatting>
  <conditionalFormatting sqref="G26">
    <cfRule type="cellIs" dxfId="499" priority="254" stopIfTrue="1" operator="lessThan">
      <formula>$F$26</formula>
    </cfRule>
    <cfRule type="cellIs" dxfId="498" priority="253" stopIfTrue="1" operator="equal">
      <formula>$F$26</formula>
    </cfRule>
  </conditionalFormatting>
  <conditionalFormatting sqref="G27">
    <cfRule type="cellIs" dxfId="497" priority="255" stopIfTrue="1" operator="equal">
      <formula>$F$27</formula>
    </cfRule>
    <cfRule type="cellIs" dxfId="496" priority="256" stopIfTrue="1" operator="lessThan">
      <formula>$F$27</formula>
    </cfRule>
  </conditionalFormatting>
  <conditionalFormatting sqref="G28">
    <cfRule type="cellIs" dxfId="495" priority="257" stopIfTrue="1" operator="equal">
      <formula>$F$28</formula>
    </cfRule>
    <cfRule type="cellIs" dxfId="494" priority="258" stopIfTrue="1" operator="lessThan">
      <formula>$F$28</formula>
    </cfRule>
  </conditionalFormatting>
  <conditionalFormatting sqref="H4">
    <cfRule type="cellIs" dxfId="493" priority="335" stopIfTrue="1" operator="equal">
      <formula>$G$4</formula>
    </cfRule>
  </conditionalFormatting>
  <conditionalFormatting sqref="H5">
    <cfRule type="cellIs" dxfId="492" priority="333" stopIfTrue="1" operator="equal">
      <formula>$G$5</formula>
    </cfRule>
    <cfRule type="cellIs" dxfId="491" priority="334" stopIfTrue="1" operator="lessThan">
      <formula>$G$5</formula>
    </cfRule>
  </conditionalFormatting>
  <conditionalFormatting sqref="H6">
    <cfRule type="cellIs" dxfId="490" priority="81" stopIfTrue="1" operator="equal">
      <formula>$G$6</formula>
    </cfRule>
    <cfRule type="cellIs" dxfId="489" priority="82" stopIfTrue="1" operator="lessThan">
      <formula>$G$6</formula>
    </cfRule>
  </conditionalFormatting>
  <conditionalFormatting sqref="H7">
    <cfRule type="cellIs" dxfId="488" priority="55" stopIfTrue="1" operator="lessThan">
      <formula>$G$7</formula>
    </cfRule>
    <cfRule type="cellIs" dxfId="487" priority="54" stopIfTrue="1" operator="equal">
      <formula>$G$7</formula>
    </cfRule>
  </conditionalFormatting>
  <conditionalFormatting sqref="H8">
    <cfRule type="cellIs" dxfId="486" priority="107" stopIfTrue="1" operator="equal">
      <formula>$G$8</formula>
    </cfRule>
    <cfRule type="cellIs" dxfId="485" priority="108" stopIfTrue="1" operator="lessThan">
      <formula>$G$8</formula>
    </cfRule>
  </conditionalFormatting>
  <conditionalFormatting sqref="H9">
    <cfRule type="cellIs" dxfId="484" priority="121" stopIfTrue="1" operator="equal">
      <formula>$G$9</formula>
    </cfRule>
    <cfRule type="cellIs" dxfId="483" priority="122" stopIfTrue="1" operator="lessThan">
      <formula>$G$9</formula>
    </cfRule>
  </conditionalFormatting>
  <conditionalFormatting sqref="H10">
    <cfRule type="cellIs" dxfId="482" priority="136" stopIfTrue="1" operator="lessThan">
      <formula>$G$10</formula>
    </cfRule>
    <cfRule type="cellIs" dxfId="481" priority="135" stopIfTrue="1" operator="equal">
      <formula>$G$10</formula>
    </cfRule>
  </conditionalFormatting>
  <conditionalFormatting sqref="H11">
    <cfRule type="cellIs" dxfId="480" priority="149" stopIfTrue="1" operator="equal">
      <formula>$G$11</formula>
    </cfRule>
    <cfRule type="cellIs" dxfId="479" priority="150" stopIfTrue="1" operator="lessThan">
      <formula>$G$11</formula>
    </cfRule>
  </conditionalFormatting>
  <conditionalFormatting sqref="H12">
    <cfRule type="cellIs" dxfId="478" priority="163" stopIfTrue="1" operator="equal">
      <formula>$G$12</formula>
    </cfRule>
    <cfRule type="cellIs" dxfId="477" priority="164" stopIfTrue="1" operator="lessThan">
      <formula>$G$12</formula>
    </cfRule>
  </conditionalFormatting>
  <conditionalFormatting sqref="H13">
    <cfRule type="cellIs" dxfId="476" priority="260" stopIfTrue="1" operator="lessThan">
      <formula>$G$13</formula>
    </cfRule>
    <cfRule type="cellIs" dxfId="475" priority="259" stopIfTrue="1" operator="equal">
      <formula>$G$13</formula>
    </cfRule>
  </conditionalFormatting>
  <conditionalFormatting sqref="H14">
    <cfRule type="cellIs" dxfId="474" priority="261" stopIfTrue="1" operator="equal">
      <formula>$G$14</formula>
    </cfRule>
    <cfRule type="cellIs" dxfId="473" priority="262" stopIfTrue="1" operator="lessThan">
      <formula>$G$14</formula>
    </cfRule>
  </conditionalFormatting>
  <conditionalFormatting sqref="H15">
    <cfRule type="cellIs" dxfId="472" priority="264" stopIfTrue="1" operator="lessThan">
      <formula>$G$15</formula>
    </cfRule>
    <cfRule type="cellIs" dxfId="471" priority="263" stopIfTrue="1" operator="equal">
      <formula>$G$15</formula>
    </cfRule>
  </conditionalFormatting>
  <conditionalFormatting sqref="H16">
    <cfRule type="cellIs" dxfId="470" priority="266" stopIfTrue="1" operator="lessThan">
      <formula>$G$16</formula>
    </cfRule>
    <cfRule type="cellIs" dxfId="469" priority="265" stopIfTrue="1" operator="equal">
      <formula>$G$16</formula>
    </cfRule>
  </conditionalFormatting>
  <conditionalFormatting sqref="H17">
    <cfRule type="cellIs" dxfId="468" priority="268" stopIfTrue="1" operator="lessThan">
      <formula>$G$17</formula>
    </cfRule>
    <cfRule type="cellIs" dxfId="467" priority="267" stopIfTrue="1" operator="equal">
      <formula>$G$17</formula>
    </cfRule>
  </conditionalFormatting>
  <conditionalFormatting sqref="H18">
    <cfRule type="cellIs" dxfId="466" priority="270" stopIfTrue="1" operator="lessThan">
      <formula>$G$18</formula>
    </cfRule>
    <cfRule type="cellIs" dxfId="465" priority="269" stopIfTrue="1" operator="equal">
      <formula>$G$18</formula>
    </cfRule>
  </conditionalFormatting>
  <conditionalFormatting sqref="H19">
    <cfRule type="cellIs" dxfId="464" priority="271" stopIfTrue="1" operator="equal">
      <formula>$G$19</formula>
    </cfRule>
    <cfRule type="cellIs" dxfId="463" priority="272" stopIfTrue="1" operator="lessThan">
      <formula>$G$19</formula>
    </cfRule>
  </conditionalFormatting>
  <conditionalFormatting sqref="H20">
    <cfRule type="cellIs" dxfId="462" priority="273" stopIfTrue="1" operator="equal">
      <formula>$G$20</formula>
    </cfRule>
    <cfRule type="cellIs" dxfId="461" priority="274" stopIfTrue="1" operator="lessThan">
      <formula>$G$20</formula>
    </cfRule>
  </conditionalFormatting>
  <conditionalFormatting sqref="H21">
    <cfRule type="cellIs" dxfId="460" priority="276" stopIfTrue="1" operator="lessThan">
      <formula>$G$21</formula>
    </cfRule>
    <cfRule type="cellIs" dxfId="459" priority="275" stopIfTrue="1" operator="equal">
      <formula>$G$21</formula>
    </cfRule>
  </conditionalFormatting>
  <conditionalFormatting sqref="H22">
    <cfRule type="cellIs" dxfId="458" priority="277" stopIfTrue="1" operator="equal">
      <formula>$G$22</formula>
    </cfRule>
    <cfRule type="cellIs" dxfId="457" priority="278" stopIfTrue="1" operator="lessThan">
      <formula>$G$22</formula>
    </cfRule>
  </conditionalFormatting>
  <conditionalFormatting sqref="H23">
    <cfRule type="cellIs" dxfId="456" priority="280" stopIfTrue="1" operator="lessThan">
      <formula>$G$23</formula>
    </cfRule>
    <cfRule type="cellIs" dxfId="455" priority="279" stopIfTrue="1" operator="equal">
      <formula>$G$23</formula>
    </cfRule>
  </conditionalFormatting>
  <conditionalFormatting sqref="H24">
    <cfRule type="cellIs" dxfId="454" priority="328" stopIfTrue="1" operator="lessThan">
      <formula>$G$24</formula>
    </cfRule>
    <cfRule type="cellIs" dxfId="453" priority="327" stopIfTrue="1" operator="equal">
      <formula>$G$24</formula>
    </cfRule>
  </conditionalFormatting>
  <conditionalFormatting sqref="H25">
    <cfRule type="cellIs" dxfId="452" priority="281" stopIfTrue="1" operator="equal">
      <formula>$G$25</formula>
    </cfRule>
    <cfRule type="cellIs" dxfId="451" priority="282" stopIfTrue="1" operator="lessThan">
      <formula>$G$25</formula>
    </cfRule>
  </conditionalFormatting>
  <conditionalFormatting sqref="H26">
    <cfRule type="cellIs" dxfId="450" priority="284" stopIfTrue="1" operator="lessThan">
      <formula>$G$26</formula>
    </cfRule>
    <cfRule type="cellIs" dxfId="449" priority="283" stopIfTrue="1" operator="equal">
      <formula>$G$26</formula>
    </cfRule>
  </conditionalFormatting>
  <conditionalFormatting sqref="H27">
    <cfRule type="cellIs" dxfId="448" priority="285" stopIfTrue="1" operator="equal">
      <formula>$G$27</formula>
    </cfRule>
    <cfRule type="cellIs" dxfId="447" priority="286" stopIfTrue="1" operator="lessThan">
      <formula>$G$27</formula>
    </cfRule>
  </conditionalFormatting>
  <conditionalFormatting sqref="H28">
    <cfRule type="cellIs" dxfId="446" priority="288" stopIfTrue="1" operator="lessThan">
      <formula>$G$28</formula>
    </cfRule>
    <cfRule type="cellIs" dxfId="445" priority="287" stopIfTrue="1" operator="equal">
      <formula>$G$28</formula>
    </cfRule>
  </conditionalFormatting>
  <conditionalFormatting sqref="I4">
    <cfRule type="cellIs" dxfId="444" priority="52" stopIfTrue="1" operator="lessThan">
      <formula>$H$4</formula>
    </cfRule>
    <cfRule type="cellIs" dxfId="443" priority="53" stopIfTrue="1" operator="equal">
      <formula>$H$4</formula>
    </cfRule>
  </conditionalFormatting>
  <conditionalFormatting sqref="I5">
    <cfRule type="cellIs" dxfId="442" priority="56" stopIfTrue="1" operator="equal">
      <formula>$H$5</formula>
    </cfRule>
    <cfRule type="cellIs" dxfId="441" priority="57" stopIfTrue="1" operator="lessThan">
      <formula>$H$5</formula>
    </cfRule>
  </conditionalFormatting>
  <conditionalFormatting sqref="I6">
    <cfRule type="cellIs" dxfId="440" priority="83" stopIfTrue="1" operator="equal">
      <formula>$H$6</formula>
    </cfRule>
    <cfRule type="cellIs" dxfId="439" priority="84" stopIfTrue="1" operator="lessThan">
      <formula>$H$6</formula>
    </cfRule>
  </conditionalFormatting>
  <conditionalFormatting sqref="I7">
    <cfRule type="cellIs" dxfId="438" priority="96" stopIfTrue="1" operator="lessThan">
      <formula>$H$7</formula>
    </cfRule>
    <cfRule type="cellIs" dxfId="437" priority="95" stopIfTrue="1" operator="equal">
      <formula>$H$7</formula>
    </cfRule>
  </conditionalFormatting>
  <conditionalFormatting sqref="I8">
    <cfRule type="cellIs" dxfId="436" priority="110" stopIfTrue="1" operator="lessThan">
      <formula>$H$8</formula>
    </cfRule>
    <cfRule type="cellIs" dxfId="435" priority="109" stopIfTrue="1" operator="equal">
      <formula>$H$8</formula>
    </cfRule>
  </conditionalFormatting>
  <conditionalFormatting sqref="I9">
    <cfRule type="cellIs" dxfId="434" priority="123" stopIfTrue="1" operator="equal">
      <formula>$H$9</formula>
    </cfRule>
    <cfRule type="cellIs" dxfId="433" priority="124" stopIfTrue="1" operator="lessThan">
      <formula>$H$9</formula>
    </cfRule>
  </conditionalFormatting>
  <conditionalFormatting sqref="I10">
    <cfRule type="cellIs" dxfId="432" priority="137" stopIfTrue="1" operator="equal">
      <formula>$H$10</formula>
    </cfRule>
    <cfRule type="cellIs" dxfId="431" priority="138" stopIfTrue="1" operator="lessThan">
      <formula>$H$10</formula>
    </cfRule>
  </conditionalFormatting>
  <conditionalFormatting sqref="I11">
    <cfRule type="cellIs" dxfId="430" priority="151" stopIfTrue="1" operator="equal">
      <formula>$H$11</formula>
    </cfRule>
    <cfRule type="cellIs" dxfId="429" priority="152" stopIfTrue="1" operator="lessThan">
      <formula>$H$11</formula>
    </cfRule>
  </conditionalFormatting>
  <conditionalFormatting sqref="I12">
    <cfRule type="cellIs" dxfId="428" priority="165" stopIfTrue="1" operator="equal">
      <formula>$H$12</formula>
    </cfRule>
    <cfRule type="cellIs" dxfId="427" priority="166" stopIfTrue="1" operator="lessThan">
      <formula>$H$12</formula>
    </cfRule>
  </conditionalFormatting>
  <conditionalFormatting sqref="I13">
    <cfRule type="cellIs" dxfId="426" priority="291" stopIfTrue="1" operator="equal">
      <formula>$H$13</formula>
    </cfRule>
    <cfRule type="cellIs" dxfId="425" priority="292" stopIfTrue="1" operator="lessThan">
      <formula>$H$13</formula>
    </cfRule>
  </conditionalFormatting>
  <conditionalFormatting sqref="I14">
    <cfRule type="cellIs" dxfId="424" priority="294" stopIfTrue="1" operator="lessThan">
      <formula>$H$14</formula>
    </cfRule>
    <cfRule type="cellIs" dxfId="423" priority="293" stopIfTrue="1" operator="equal">
      <formula>$H$14</formula>
    </cfRule>
  </conditionalFormatting>
  <conditionalFormatting sqref="I15">
    <cfRule type="cellIs" dxfId="422" priority="295" stopIfTrue="1" operator="equal">
      <formula>$H$15</formula>
    </cfRule>
    <cfRule type="cellIs" dxfId="421" priority="296" stopIfTrue="1" operator="lessThan">
      <formula>$H$15</formula>
    </cfRule>
  </conditionalFormatting>
  <conditionalFormatting sqref="I16">
    <cfRule type="cellIs" dxfId="420" priority="298" stopIfTrue="1" operator="lessThan">
      <formula>$H$16</formula>
    </cfRule>
    <cfRule type="cellIs" dxfId="419" priority="297" stopIfTrue="1" operator="equal">
      <formula>$H$16</formula>
    </cfRule>
  </conditionalFormatting>
  <conditionalFormatting sqref="I17">
    <cfRule type="cellIs" dxfId="418" priority="300" stopIfTrue="1" operator="lessThan">
      <formula>$H$17</formula>
    </cfRule>
    <cfRule type="cellIs" dxfId="417" priority="299" stopIfTrue="1" operator="equal">
      <formula>$H$17</formula>
    </cfRule>
  </conditionalFormatting>
  <conditionalFormatting sqref="I18">
    <cfRule type="cellIs" dxfId="416" priority="301" stopIfTrue="1" operator="equal">
      <formula>$H$18</formula>
    </cfRule>
    <cfRule type="cellIs" dxfId="415" priority="302" stopIfTrue="1" operator="lessThan">
      <formula>$H$18</formula>
    </cfRule>
  </conditionalFormatting>
  <conditionalFormatting sqref="I19">
    <cfRule type="cellIs" dxfId="414" priority="303" stopIfTrue="1" operator="equal">
      <formula>$H$19</formula>
    </cfRule>
    <cfRule type="cellIs" dxfId="413" priority="304" stopIfTrue="1" operator="lessThan">
      <formula>$H$19</formula>
    </cfRule>
  </conditionalFormatting>
  <conditionalFormatting sqref="I20">
    <cfRule type="cellIs" dxfId="412" priority="305" stopIfTrue="1" operator="equal">
      <formula>$H$20</formula>
    </cfRule>
    <cfRule type="cellIs" dxfId="411" priority="306" stopIfTrue="1" operator="lessThan">
      <formula>$H$20</formula>
    </cfRule>
  </conditionalFormatting>
  <conditionalFormatting sqref="I21">
    <cfRule type="cellIs" dxfId="410" priority="307" stopIfTrue="1" operator="equal">
      <formula>$H$21</formula>
    </cfRule>
    <cfRule type="cellIs" dxfId="409" priority="308" stopIfTrue="1" operator="lessThan">
      <formula>$H$21</formula>
    </cfRule>
  </conditionalFormatting>
  <conditionalFormatting sqref="I22">
    <cfRule type="cellIs" dxfId="408" priority="310" stopIfTrue="1" operator="lessThan">
      <formula>$H$22</formula>
    </cfRule>
    <cfRule type="cellIs" dxfId="407" priority="309" stopIfTrue="1" operator="equal">
      <formula>$H$22</formula>
    </cfRule>
  </conditionalFormatting>
  <conditionalFormatting sqref="I23">
    <cfRule type="cellIs" dxfId="406" priority="312" stopIfTrue="1" operator="lessThan">
      <formula>$H$23</formula>
    </cfRule>
    <cfRule type="cellIs" dxfId="405" priority="311" stopIfTrue="1" operator="equal">
      <formula>$H$23</formula>
    </cfRule>
  </conditionalFormatting>
  <conditionalFormatting sqref="I24">
    <cfRule type="cellIs" dxfId="404" priority="330" stopIfTrue="1" operator="lessThan">
      <formula>$H$24</formula>
    </cfRule>
    <cfRule type="cellIs" dxfId="403" priority="329" stopIfTrue="1" operator="equal">
      <formula>$H$24</formula>
    </cfRule>
  </conditionalFormatting>
  <conditionalFormatting sqref="I25">
    <cfRule type="cellIs" dxfId="402" priority="313" stopIfTrue="1" operator="equal">
      <formula>$H$25</formula>
    </cfRule>
    <cfRule type="cellIs" dxfId="401" priority="314" stopIfTrue="1" operator="lessThan">
      <formula>$H$25</formula>
    </cfRule>
  </conditionalFormatting>
  <conditionalFormatting sqref="I26">
    <cfRule type="cellIs" dxfId="400" priority="316" stopIfTrue="1" operator="lessThan">
      <formula>$H$26</formula>
    </cfRule>
    <cfRule type="cellIs" dxfId="399" priority="315" stopIfTrue="1" operator="equal">
      <formula>$H$26</formula>
    </cfRule>
  </conditionalFormatting>
  <conditionalFormatting sqref="I27">
    <cfRule type="cellIs" dxfId="398" priority="317" stopIfTrue="1" operator="equal">
      <formula>$H$27</formula>
    </cfRule>
    <cfRule type="cellIs" dxfId="397" priority="318" stopIfTrue="1" operator="lessThan">
      <formula>$H$27</formula>
    </cfRule>
  </conditionalFormatting>
  <conditionalFormatting sqref="I28">
    <cfRule type="cellIs" dxfId="396" priority="319" stopIfTrue="1" operator="equal">
      <formula>$H$28</formula>
    </cfRule>
    <cfRule type="cellIs" dxfId="395" priority="320" stopIfTrue="1" operator="lessThan">
      <formula>$H$28</formula>
    </cfRule>
  </conditionalFormatting>
  <conditionalFormatting sqref="J4">
    <cfRule type="cellIs" dxfId="394" priority="72" stopIfTrue="1" operator="equal">
      <formula>$I$4</formula>
    </cfRule>
  </conditionalFormatting>
  <conditionalFormatting sqref="J5">
    <cfRule type="cellIs" dxfId="393" priority="59" stopIfTrue="1" operator="lessThan">
      <formula>$I$5</formula>
    </cfRule>
    <cfRule type="cellIs" dxfId="392" priority="58" stopIfTrue="1" operator="equal">
      <formula>$I$5</formula>
    </cfRule>
  </conditionalFormatting>
  <conditionalFormatting sqref="J6">
    <cfRule type="cellIs" dxfId="391" priority="85" stopIfTrue="1" operator="equal">
      <formula>$I$6</formula>
    </cfRule>
    <cfRule type="cellIs" dxfId="390" priority="86" stopIfTrue="1" operator="lessThan">
      <formula>$I$6</formula>
    </cfRule>
  </conditionalFormatting>
  <conditionalFormatting sqref="J7">
    <cfRule type="cellIs" dxfId="389" priority="97" stopIfTrue="1" operator="equal">
      <formula>$I$7</formula>
    </cfRule>
    <cfRule type="cellIs" dxfId="388" priority="98" stopIfTrue="1" operator="lessThan">
      <formula>$I$7</formula>
    </cfRule>
  </conditionalFormatting>
  <conditionalFormatting sqref="J8">
    <cfRule type="cellIs" dxfId="387" priority="112" stopIfTrue="1" operator="lessThan">
      <formula>$I$8</formula>
    </cfRule>
    <cfRule type="cellIs" dxfId="386" priority="111" stopIfTrue="1" operator="equal">
      <formula>$I$8</formula>
    </cfRule>
  </conditionalFormatting>
  <conditionalFormatting sqref="J9">
    <cfRule type="cellIs" dxfId="385" priority="126" stopIfTrue="1" operator="lessThan">
      <formula>$I$9</formula>
    </cfRule>
    <cfRule type="cellIs" dxfId="384" priority="125" stopIfTrue="1" operator="equal">
      <formula>$I$9</formula>
    </cfRule>
  </conditionalFormatting>
  <conditionalFormatting sqref="J10">
    <cfRule type="cellIs" dxfId="383" priority="140" stopIfTrue="1" operator="lessThan">
      <formula>$I$10</formula>
    </cfRule>
    <cfRule type="cellIs" dxfId="382" priority="139" stopIfTrue="1" operator="equal">
      <formula>$I$10</formula>
    </cfRule>
  </conditionalFormatting>
  <conditionalFormatting sqref="J11">
    <cfRule type="cellIs" dxfId="381" priority="153" stopIfTrue="1" operator="equal">
      <formula>$I$11</formula>
    </cfRule>
    <cfRule type="cellIs" dxfId="380" priority="154" stopIfTrue="1" operator="lessThan">
      <formula>$I$11</formula>
    </cfRule>
  </conditionalFormatting>
  <conditionalFormatting sqref="J12">
    <cfRule type="cellIs" dxfId="379" priority="168" stopIfTrue="1" operator="lessThan">
      <formula>$I$12</formula>
    </cfRule>
    <cfRule type="cellIs" dxfId="378" priority="167" stopIfTrue="1" operator="equal">
      <formula>$I$12</formula>
    </cfRule>
  </conditionalFormatting>
  <conditionalFormatting sqref="J13">
    <cfRule type="cellIs" dxfId="377" priority="337" stopIfTrue="1" operator="equal">
      <formula>$I$13</formula>
    </cfRule>
    <cfRule type="cellIs" dxfId="376" priority="338" stopIfTrue="1" operator="lessThan">
      <formula>$I$13</formula>
    </cfRule>
  </conditionalFormatting>
  <conditionalFormatting sqref="J14">
    <cfRule type="cellIs" dxfId="375" priority="339" stopIfTrue="1" operator="equal">
      <formula>$I$14</formula>
    </cfRule>
    <cfRule type="cellIs" dxfId="374" priority="340" stopIfTrue="1" operator="lessThan">
      <formula>$I$14</formula>
    </cfRule>
  </conditionalFormatting>
  <conditionalFormatting sqref="J15">
    <cfRule type="cellIs" dxfId="373" priority="342" stopIfTrue="1" operator="lessThan">
      <formula>$I$15</formula>
    </cfRule>
    <cfRule type="cellIs" dxfId="372" priority="341" stopIfTrue="1" operator="equal">
      <formula>$I$15</formula>
    </cfRule>
  </conditionalFormatting>
  <conditionalFormatting sqref="J16">
    <cfRule type="cellIs" dxfId="371" priority="343" stopIfTrue="1" operator="equal">
      <formula>$I$16</formula>
    </cfRule>
    <cfRule type="cellIs" dxfId="370" priority="344" stopIfTrue="1" operator="lessThan">
      <formula>$I$16</formula>
    </cfRule>
  </conditionalFormatting>
  <conditionalFormatting sqref="J17">
    <cfRule type="cellIs" dxfId="369" priority="346" stopIfTrue="1" operator="lessThan">
      <formula>$I$17</formula>
    </cfRule>
    <cfRule type="cellIs" dxfId="368" priority="345" stopIfTrue="1" operator="equal">
      <formula>$I$17</formula>
    </cfRule>
  </conditionalFormatting>
  <conditionalFormatting sqref="J18">
    <cfRule type="cellIs" dxfId="367" priority="347" stopIfTrue="1" operator="equal">
      <formula>$I$18</formula>
    </cfRule>
    <cfRule type="cellIs" dxfId="366" priority="348" stopIfTrue="1" operator="lessThan">
      <formula>$I$18</formula>
    </cfRule>
  </conditionalFormatting>
  <conditionalFormatting sqref="J19">
    <cfRule type="cellIs" dxfId="365" priority="350" stopIfTrue="1" operator="lessThan">
      <formula>$I$19</formula>
    </cfRule>
    <cfRule type="cellIs" dxfId="364" priority="349" stopIfTrue="1" operator="equal">
      <formula>$I$19</formula>
    </cfRule>
  </conditionalFormatting>
  <conditionalFormatting sqref="J20">
    <cfRule type="cellIs" dxfId="363" priority="352" stopIfTrue="1" operator="lessThan">
      <formula>$I$20</formula>
    </cfRule>
    <cfRule type="cellIs" dxfId="362" priority="351" stopIfTrue="1" operator="equal">
      <formula>$I$20</formula>
    </cfRule>
  </conditionalFormatting>
  <conditionalFormatting sqref="J21">
    <cfRule type="cellIs" dxfId="361" priority="353" stopIfTrue="1" operator="equal">
      <formula>$I$21</formula>
    </cfRule>
    <cfRule type="cellIs" dxfId="360" priority="354" stopIfTrue="1" operator="lessThan">
      <formula>$I$21</formula>
    </cfRule>
  </conditionalFormatting>
  <conditionalFormatting sqref="J22">
    <cfRule type="cellIs" dxfId="359" priority="356" stopIfTrue="1" operator="lessThan">
      <formula>$I$22</formula>
    </cfRule>
    <cfRule type="cellIs" dxfId="358" priority="355" stopIfTrue="1" operator="equal">
      <formula>$I$22</formula>
    </cfRule>
  </conditionalFormatting>
  <conditionalFormatting sqref="J23">
    <cfRule type="cellIs" dxfId="357" priority="358" stopIfTrue="1" operator="lessThan">
      <formula>$I$23</formula>
    </cfRule>
    <cfRule type="cellIs" dxfId="356" priority="357" stopIfTrue="1" operator="equal">
      <formula>$I$23</formula>
    </cfRule>
  </conditionalFormatting>
  <conditionalFormatting sqref="J24">
    <cfRule type="cellIs" dxfId="355" priority="360" stopIfTrue="1" operator="lessThan">
      <formula>$I$24</formula>
    </cfRule>
    <cfRule type="cellIs" dxfId="354" priority="359" stopIfTrue="1" operator="equal">
      <formula>$I$24</formula>
    </cfRule>
  </conditionalFormatting>
  <conditionalFormatting sqref="J25">
    <cfRule type="cellIs" dxfId="353" priority="362" stopIfTrue="1" operator="lessThan">
      <formula>$I$25</formula>
    </cfRule>
    <cfRule type="cellIs" dxfId="352" priority="361" stopIfTrue="1" operator="equal">
      <formula>$I$25</formula>
    </cfRule>
  </conditionalFormatting>
  <conditionalFormatting sqref="J26">
    <cfRule type="cellIs" dxfId="351" priority="364" stopIfTrue="1" operator="lessThan">
      <formula>$I$26</formula>
    </cfRule>
    <cfRule type="cellIs" dxfId="350" priority="363" stopIfTrue="1" operator="equal">
      <formula>$I$26</formula>
    </cfRule>
  </conditionalFormatting>
  <conditionalFormatting sqref="J27">
    <cfRule type="cellIs" dxfId="349" priority="366" stopIfTrue="1" operator="lessThan">
      <formula>$I$27</formula>
    </cfRule>
    <cfRule type="cellIs" dxfId="348" priority="365" stopIfTrue="1" operator="equal">
      <formula>$I$27</formula>
    </cfRule>
  </conditionalFormatting>
  <conditionalFormatting sqref="J28">
    <cfRule type="cellIs" dxfId="347" priority="369" stopIfTrue="1" operator="lessThan">
      <formula>$I$28</formula>
    </cfRule>
    <cfRule type="cellIs" dxfId="346" priority="368" stopIfTrue="1" operator="equal">
      <formula>$I$28</formula>
    </cfRule>
  </conditionalFormatting>
  <conditionalFormatting sqref="J29">
    <cfRule type="cellIs" dxfId="345" priority="370" stopIfTrue="1" operator="equal">
      <formula>$I$29</formula>
    </cfRule>
    <cfRule type="cellIs" dxfId="344" priority="371" stopIfTrue="1" operator="lessThan">
      <formula>$I$29</formula>
    </cfRule>
  </conditionalFormatting>
  <conditionalFormatting sqref="K4">
    <cfRule type="cellIs" dxfId="343" priority="73" stopIfTrue="1" operator="lessThan">
      <formula>$J$4</formula>
    </cfRule>
    <cfRule type="cellIs" dxfId="342" priority="74" stopIfTrue="1" operator="equal">
      <formula>$J$4</formula>
    </cfRule>
  </conditionalFormatting>
  <conditionalFormatting sqref="K5">
    <cfRule type="cellIs" dxfId="341" priority="61" stopIfTrue="1" operator="lessThan">
      <formula>$J$5</formula>
    </cfRule>
    <cfRule type="cellIs" dxfId="340" priority="60" stopIfTrue="1" operator="equal">
      <formula>$J$5</formula>
    </cfRule>
  </conditionalFormatting>
  <conditionalFormatting sqref="K6">
    <cfRule type="cellIs" dxfId="339" priority="88" stopIfTrue="1" operator="lessThan">
      <formula>$J$6</formula>
    </cfRule>
    <cfRule type="cellIs" dxfId="338" priority="87" stopIfTrue="1" operator="equal">
      <formula>$J$6</formula>
    </cfRule>
  </conditionalFormatting>
  <conditionalFormatting sqref="K7">
    <cfRule type="cellIs" dxfId="337" priority="100" stopIfTrue="1" operator="lessThan">
      <formula>$J$7</formula>
    </cfRule>
    <cfRule type="cellIs" dxfId="336" priority="99" stopIfTrue="1" operator="equal">
      <formula>$J$7</formula>
    </cfRule>
  </conditionalFormatting>
  <conditionalFormatting sqref="K8">
    <cfRule type="cellIs" dxfId="335" priority="114" stopIfTrue="1" operator="lessThan">
      <formula>$J$8</formula>
    </cfRule>
    <cfRule type="cellIs" dxfId="334" priority="113" stopIfTrue="1" operator="equal">
      <formula>$J$8</formula>
    </cfRule>
  </conditionalFormatting>
  <conditionalFormatting sqref="K9">
    <cfRule type="cellIs" dxfId="333" priority="128" stopIfTrue="1" operator="lessThan">
      <formula>$J$9</formula>
    </cfRule>
    <cfRule type="cellIs" dxfId="332" priority="127" stopIfTrue="1" operator="equal">
      <formula>$J$9</formula>
    </cfRule>
  </conditionalFormatting>
  <conditionalFormatting sqref="K10">
    <cfRule type="cellIs" dxfId="331" priority="142" stopIfTrue="1" operator="lessThan">
      <formula>$J$10</formula>
    </cfRule>
    <cfRule type="cellIs" dxfId="330" priority="141" stopIfTrue="1" operator="equal">
      <formula>$J$10</formula>
    </cfRule>
  </conditionalFormatting>
  <conditionalFormatting sqref="K11">
    <cfRule type="cellIs" dxfId="329" priority="156" stopIfTrue="1" operator="lessThan">
      <formula>$J$11</formula>
    </cfRule>
    <cfRule type="cellIs" dxfId="328" priority="155" stopIfTrue="1" operator="equal">
      <formula>$J$11</formula>
    </cfRule>
  </conditionalFormatting>
  <conditionalFormatting sqref="K12">
    <cfRule type="cellIs" dxfId="327" priority="169" stopIfTrue="1" operator="equal">
      <formula>$J$12</formula>
    </cfRule>
    <cfRule type="cellIs" dxfId="326" priority="170" stopIfTrue="1" operator="lessThan">
      <formula>$J$12</formula>
    </cfRule>
  </conditionalFormatting>
  <conditionalFormatting sqref="K13">
    <cfRule type="cellIs" dxfId="325" priority="373" stopIfTrue="1" operator="lessThan">
      <formula>$J$13</formula>
    </cfRule>
    <cfRule type="cellIs" dxfId="324" priority="372" stopIfTrue="1" operator="equal">
      <formula>$J$13</formula>
    </cfRule>
  </conditionalFormatting>
  <conditionalFormatting sqref="K14">
    <cfRule type="cellIs" dxfId="323" priority="375" stopIfTrue="1" operator="lessThan">
      <formula>$J$14</formula>
    </cfRule>
    <cfRule type="cellIs" dxfId="322" priority="374" stopIfTrue="1" operator="equal">
      <formula>$J$14</formula>
    </cfRule>
  </conditionalFormatting>
  <conditionalFormatting sqref="K15">
    <cfRule type="cellIs" dxfId="321" priority="376" stopIfTrue="1" operator="equal">
      <formula>$J$15</formula>
    </cfRule>
    <cfRule type="cellIs" dxfId="320" priority="377" stopIfTrue="1" operator="lessThan">
      <formula>$J$15</formula>
    </cfRule>
  </conditionalFormatting>
  <conditionalFormatting sqref="K16">
    <cfRule type="cellIs" dxfId="319" priority="378" stopIfTrue="1" operator="equal">
      <formula>$J$16</formula>
    </cfRule>
    <cfRule type="cellIs" dxfId="318" priority="379" stopIfTrue="1" operator="lessThan">
      <formula>$J$16</formula>
    </cfRule>
  </conditionalFormatting>
  <conditionalFormatting sqref="K17">
    <cfRule type="cellIs" dxfId="317" priority="380" stopIfTrue="1" operator="equal">
      <formula>$J$17</formula>
    </cfRule>
    <cfRule type="cellIs" dxfId="316" priority="381" stopIfTrue="1" operator="lessThan">
      <formula>$J$17</formula>
    </cfRule>
  </conditionalFormatting>
  <conditionalFormatting sqref="K18">
    <cfRule type="cellIs" dxfId="315" priority="382" stopIfTrue="1" operator="equal">
      <formula>$J$18</formula>
    </cfRule>
    <cfRule type="cellIs" dxfId="314" priority="383" stopIfTrue="1" operator="lessThan">
      <formula>$J$18</formula>
    </cfRule>
  </conditionalFormatting>
  <conditionalFormatting sqref="K19">
    <cfRule type="cellIs" dxfId="313" priority="384" stopIfTrue="1" operator="equal">
      <formula>$J$19</formula>
    </cfRule>
    <cfRule type="cellIs" dxfId="312" priority="385" stopIfTrue="1" operator="lessThan">
      <formula>$J$19</formula>
    </cfRule>
  </conditionalFormatting>
  <conditionalFormatting sqref="K20">
    <cfRule type="cellIs" dxfId="311" priority="386" stopIfTrue="1" operator="equal">
      <formula>$J$20</formula>
    </cfRule>
    <cfRule type="cellIs" dxfId="310" priority="387" stopIfTrue="1" operator="lessThan">
      <formula>$J$20</formula>
    </cfRule>
  </conditionalFormatting>
  <conditionalFormatting sqref="K21">
    <cfRule type="cellIs" dxfId="309" priority="388" stopIfTrue="1" operator="equal">
      <formula>$J$21</formula>
    </cfRule>
    <cfRule type="cellIs" dxfId="308" priority="389" stopIfTrue="1" operator="lessThan">
      <formula>$J$21</formula>
    </cfRule>
  </conditionalFormatting>
  <conditionalFormatting sqref="K22">
    <cfRule type="cellIs" dxfId="307" priority="390" stopIfTrue="1" operator="equal">
      <formula>$J$22</formula>
    </cfRule>
    <cfRule type="cellIs" dxfId="306" priority="391" stopIfTrue="1" operator="lessThan">
      <formula>$J$22</formula>
    </cfRule>
  </conditionalFormatting>
  <conditionalFormatting sqref="K23">
    <cfRule type="cellIs" dxfId="305" priority="393" stopIfTrue="1" operator="lessThan">
      <formula>$J$23</formula>
    </cfRule>
    <cfRule type="cellIs" dxfId="304" priority="392" stopIfTrue="1" operator="equal">
      <formula>$J$23</formula>
    </cfRule>
  </conditionalFormatting>
  <conditionalFormatting sqref="K24">
    <cfRule type="cellIs" dxfId="303" priority="394" stopIfTrue="1" operator="equal">
      <formula>$J$24</formula>
    </cfRule>
    <cfRule type="cellIs" dxfId="302" priority="395" stopIfTrue="1" operator="lessThan">
      <formula>$J$24</formula>
    </cfRule>
  </conditionalFormatting>
  <conditionalFormatting sqref="K25">
    <cfRule type="cellIs" dxfId="301" priority="396" stopIfTrue="1" operator="equal">
      <formula>$J$25</formula>
    </cfRule>
    <cfRule type="cellIs" dxfId="300" priority="397" stopIfTrue="1" operator="lessThan">
      <formula>$J$25</formula>
    </cfRule>
  </conditionalFormatting>
  <conditionalFormatting sqref="K26">
    <cfRule type="cellIs" dxfId="299" priority="398" stopIfTrue="1" operator="equal">
      <formula>$J$26</formula>
    </cfRule>
    <cfRule type="cellIs" dxfId="298" priority="399" stopIfTrue="1" operator="lessThan">
      <formula>$J$26</formula>
    </cfRule>
  </conditionalFormatting>
  <conditionalFormatting sqref="K27">
    <cfRule type="cellIs" dxfId="297" priority="400" stopIfTrue="1" operator="equal">
      <formula>$J$27</formula>
    </cfRule>
    <cfRule type="cellIs" dxfId="296" priority="401" stopIfTrue="1" operator="lessThan">
      <formula>$J$27</formula>
    </cfRule>
  </conditionalFormatting>
  <conditionalFormatting sqref="K28">
    <cfRule type="cellIs" dxfId="295" priority="402" stopIfTrue="1" operator="equal">
      <formula>$J$28</formula>
    </cfRule>
    <cfRule type="cellIs" dxfId="294" priority="403" stopIfTrue="1" operator="lessThan">
      <formula>$J$28</formula>
    </cfRule>
  </conditionalFormatting>
  <conditionalFormatting sqref="L4">
    <cfRule type="cellIs" dxfId="293" priority="404" stopIfTrue="1" operator="equal">
      <formula>$K$4</formula>
    </cfRule>
    <cfRule type="cellIs" dxfId="292" priority="405" stopIfTrue="1" operator="lessThan">
      <formula>$K$4</formula>
    </cfRule>
  </conditionalFormatting>
  <conditionalFormatting sqref="L5">
    <cfRule type="cellIs" dxfId="291" priority="406" stopIfTrue="1" operator="equal">
      <formula>$K$5</formula>
    </cfRule>
    <cfRule type="cellIs" dxfId="290" priority="407" stopIfTrue="1" operator="lessThan">
      <formula>$K$5</formula>
    </cfRule>
  </conditionalFormatting>
  <conditionalFormatting sqref="L6">
    <cfRule type="cellIs" dxfId="289" priority="408" stopIfTrue="1" operator="equal">
      <formula>$K$6</formula>
    </cfRule>
    <cfRule type="cellIs" dxfId="288" priority="409" stopIfTrue="1" operator="lessThan">
      <formula>$K$6</formula>
    </cfRule>
  </conditionalFormatting>
  <conditionalFormatting sqref="L7">
    <cfRule type="cellIs" dxfId="287" priority="410" stopIfTrue="1" operator="equal">
      <formula>$K$7</formula>
    </cfRule>
    <cfRule type="cellIs" dxfId="286" priority="411" stopIfTrue="1" operator="lessThan">
      <formula>$K$7</formula>
    </cfRule>
  </conditionalFormatting>
  <conditionalFormatting sqref="L8">
    <cfRule type="cellIs" dxfId="285" priority="413" stopIfTrue="1" operator="lessThan">
      <formula>$K$8</formula>
    </cfRule>
    <cfRule type="cellIs" dxfId="284" priority="412" stopIfTrue="1" operator="equal">
      <formula>$K$8</formula>
    </cfRule>
  </conditionalFormatting>
  <conditionalFormatting sqref="L9">
    <cfRule type="cellIs" dxfId="283" priority="415" stopIfTrue="1" operator="lessThan">
      <formula>$K$9</formula>
    </cfRule>
    <cfRule type="cellIs" dxfId="282" priority="414" stopIfTrue="1" operator="equal">
      <formula>$K$9</formula>
    </cfRule>
  </conditionalFormatting>
  <conditionalFormatting sqref="L10">
    <cfRule type="cellIs" dxfId="281" priority="416" stopIfTrue="1" operator="equal">
      <formula>$K$10</formula>
    </cfRule>
    <cfRule type="cellIs" dxfId="280" priority="417" stopIfTrue="1" operator="lessThan">
      <formula>$K$10</formula>
    </cfRule>
  </conditionalFormatting>
  <conditionalFormatting sqref="L11">
    <cfRule type="cellIs" dxfId="279" priority="418" stopIfTrue="1" operator="equal">
      <formula>$K$11</formula>
    </cfRule>
    <cfRule type="cellIs" dxfId="278" priority="419" stopIfTrue="1" operator="lessThan">
      <formula>$K$11</formula>
    </cfRule>
  </conditionalFormatting>
  <conditionalFormatting sqref="L12">
    <cfRule type="cellIs" dxfId="277" priority="420" stopIfTrue="1" operator="equal">
      <formula>$K$12</formula>
    </cfRule>
    <cfRule type="cellIs" dxfId="276" priority="421" stopIfTrue="1" operator="lessThan">
      <formula>$K$12</formula>
    </cfRule>
  </conditionalFormatting>
  <conditionalFormatting sqref="L13">
    <cfRule type="cellIs" dxfId="275" priority="422" stopIfTrue="1" operator="equal">
      <formula>$K$13</formula>
    </cfRule>
    <cfRule type="cellIs" dxfId="274" priority="423" stopIfTrue="1" operator="lessThan">
      <formula>$K$13</formula>
    </cfRule>
  </conditionalFormatting>
  <conditionalFormatting sqref="L14">
    <cfRule type="cellIs" dxfId="273" priority="424" stopIfTrue="1" operator="equal">
      <formula>$K$14</formula>
    </cfRule>
    <cfRule type="cellIs" dxfId="272" priority="425" stopIfTrue="1" operator="lessThan">
      <formula>$K$14</formula>
    </cfRule>
  </conditionalFormatting>
  <conditionalFormatting sqref="L15">
    <cfRule type="cellIs" dxfId="271" priority="426" stopIfTrue="1" operator="equal">
      <formula>$K$15</formula>
    </cfRule>
    <cfRule type="cellIs" dxfId="270" priority="427" stopIfTrue="1" operator="lessThan">
      <formula>$K$15</formula>
    </cfRule>
  </conditionalFormatting>
  <conditionalFormatting sqref="L16">
    <cfRule type="cellIs" dxfId="269" priority="428" stopIfTrue="1" operator="equal">
      <formula>$K$16</formula>
    </cfRule>
    <cfRule type="cellIs" dxfId="268" priority="429" stopIfTrue="1" operator="lessThan">
      <formula>$K$16</formula>
    </cfRule>
  </conditionalFormatting>
  <conditionalFormatting sqref="L17">
    <cfRule type="cellIs" dxfId="267" priority="430" stopIfTrue="1" operator="equal">
      <formula>$K$17</formula>
    </cfRule>
    <cfRule type="cellIs" dxfId="266" priority="431" stopIfTrue="1" operator="lessThan">
      <formula>$K$17</formula>
    </cfRule>
  </conditionalFormatting>
  <conditionalFormatting sqref="L18">
    <cfRule type="cellIs" dxfId="265" priority="433" stopIfTrue="1" operator="lessThan">
      <formula>$K$18</formula>
    </cfRule>
    <cfRule type="cellIs" dxfId="264" priority="432" stopIfTrue="1" operator="equal">
      <formula>$K$18</formula>
    </cfRule>
  </conditionalFormatting>
  <conditionalFormatting sqref="L19">
    <cfRule type="cellIs" dxfId="263" priority="435" stopIfTrue="1" operator="lessThan">
      <formula>$K$19</formula>
    </cfRule>
    <cfRule type="cellIs" dxfId="262" priority="434" stopIfTrue="1" operator="equal">
      <formula>$K$19</formula>
    </cfRule>
  </conditionalFormatting>
  <conditionalFormatting sqref="L20">
    <cfRule type="cellIs" dxfId="261" priority="436" stopIfTrue="1" operator="equal">
      <formula>$K$20</formula>
    </cfRule>
    <cfRule type="cellIs" dxfId="260" priority="437" stopIfTrue="1" operator="lessThan">
      <formula>$K$20</formula>
    </cfRule>
  </conditionalFormatting>
  <conditionalFormatting sqref="L21">
    <cfRule type="cellIs" dxfId="259" priority="438" stopIfTrue="1" operator="equal">
      <formula>$K$21</formula>
    </cfRule>
    <cfRule type="cellIs" dxfId="258" priority="439" stopIfTrue="1" operator="lessThan">
      <formula>$K$21</formula>
    </cfRule>
  </conditionalFormatting>
  <conditionalFormatting sqref="L22">
    <cfRule type="cellIs" dxfId="257" priority="440" stopIfTrue="1" operator="equal">
      <formula>$K$22</formula>
    </cfRule>
    <cfRule type="cellIs" dxfId="256" priority="441" stopIfTrue="1" operator="lessThan">
      <formula>$K$22</formula>
    </cfRule>
  </conditionalFormatting>
  <conditionalFormatting sqref="L23">
    <cfRule type="cellIs" dxfId="255" priority="442" stopIfTrue="1" operator="equal">
      <formula>$K$23</formula>
    </cfRule>
    <cfRule type="cellIs" dxfId="254" priority="443" stopIfTrue="1" operator="lessThan">
      <formula>$K$23</formula>
    </cfRule>
  </conditionalFormatting>
  <conditionalFormatting sqref="L24">
    <cfRule type="cellIs" dxfId="253" priority="444" stopIfTrue="1" operator="equal">
      <formula>$K$24</formula>
    </cfRule>
    <cfRule type="cellIs" dxfId="252" priority="445" stopIfTrue="1" operator="lessThan">
      <formula>$K$24</formula>
    </cfRule>
  </conditionalFormatting>
  <conditionalFormatting sqref="L25">
    <cfRule type="cellIs" dxfId="251" priority="446" stopIfTrue="1" operator="equal">
      <formula>$K$25</formula>
    </cfRule>
    <cfRule type="cellIs" dxfId="250" priority="447" stopIfTrue="1" operator="lessThan">
      <formula>$K$25</formula>
    </cfRule>
  </conditionalFormatting>
  <conditionalFormatting sqref="L26">
    <cfRule type="cellIs" dxfId="249" priority="448" stopIfTrue="1" operator="equal">
      <formula>$K$26</formula>
    </cfRule>
    <cfRule type="cellIs" dxfId="248" priority="449" stopIfTrue="1" operator="lessThan">
      <formula>$K$26</formula>
    </cfRule>
  </conditionalFormatting>
  <conditionalFormatting sqref="L27">
    <cfRule type="cellIs" dxfId="247" priority="450" stopIfTrue="1" operator="equal">
      <formula>$K$27</formula>
    </cfRule>
    <cfRule type="cellIs" dxfId="246" priority="451" stopIfTrue="1" operator="lessThan">
      <formula>$K$27</formula>
    </cfRule>
  </conditionalFormatting>
  <conditionalFormatting sqref="L28">
    <cfRule type="cellIs" dxfId="245" priority="453" stopIfTrue="1" operator="equal">
      <formula>$K$28</formula>
    </cfRule>
    <cfRule type="cellIs" dxfId="244" priority="452" stopIfTrue="1" operator="lessThan">
      <formula>$K$28</formula>
    </cfRule>
  </conditionalFormatting>
  <conditionalFormatting sqref="M4">
    <cfRule type="cellIs" dxfId="243" priority="455" stopIfTrue="1" operator="lessThan">
      <formula>$L$4</formula>
    </cfRule>
    <cfRule type="cellIs" dxfId="242" priority="454" stopIfTrue="1" operator="equal">
      <formula>$L$4</formula>
    </cfRule>
  </conditionalFormatting>
  <conditionalFormatting sqref="M5">
    <cfRule type="cellIs" dxfId="241" priority="456" stopIfTrue="1" operator="equal">
      <formula>$L$5</formula>
    </cfRule>
    <cfRule type="cellIs" dxfId="240" priority="457" stopIfTrue="1" operator="lessThan">
      <formula>$L$5</formula>
    </cfRule>
  </conditionalFormatting>
  <conditionalFormatting sqref="M6">
    <cfRule type="cellIs" dxfId="239" priority="458" stopIfTrue="1" operator="equal">
      <formula>$L$6</formula>
    </cfRule>
    <cfRule type="cellIs" dxfId="238" priority="459" stopIfTrue="1" operator="lessThan">
      <formula>$L$6</formula>
    </cfRule>
  </conditionalFormatting>
  <conditionalFormatting sqref="M7">
    <cfRule type="cellIs" dxfId="237" priority="460" stopIfTrue="1" operator="equal">
      <formula>$L$7</formula>
    </cfRule>
    <cfRule type="cellIs" dxfId="236" priority="461" stopIfTrue="1" operator="lessThan">
      <formula>$L$7</formula>
    </cfRule>
  </conditionalFormatting>
  <conditionalFormatting sqref="M8">
    <cfRule type="cellIs" dxfId="235" priority="462" stopIfTrue="1" operator="equal">
      <formula>$L$8</formula>
    </cfRule>
    <cfRule type="cellIs" dxfId="234" priority="463" stopIfTrue="1" operator="lessThan">
      <formula>$L$8</formula>
    </cfRule>
  </conditionalFormatting>
  <conditionalFormatting sqref="M9">
    <cfRule type="cellIs" dxfId="233" priority="464" stopIfTrue="1" operator="equal">
      <formula>$L$9</formula>
    </cfRule>
    <cfRule type="cellIs" dxfId="232" priority="465" stopIfTrue="1" operator="lessThan">
      <formula>$L$9</formula>
    </cfRule>
  </conditionalFormatting>
  <conditionalFormatting sqref="M10">
    <cfRule type="cellIs" dxfId="231" priority="466" stopIfTrue="1" operator="equal">
      <formula>$L$10</formula>
    </cfRule>
    <cfRule type="cellIs" dxfId="230" priority="467" stopIfTrue="1" operator="lessThan">
      <formula>$L$10</formula>
    </cfRule>
  </conditionalFormatting>
  <conditionalFormatting sqref="M11">
    <cfRule type="cellIs" dxfId="229" priority="488" stopIfTrue="1" operator="equal">
      <formula>$L$11</formula>
    </cfRule>
    <cfRule type="cellIs" dxfId="228" priority="489" stopIfTrue="1" operator="lessThan">
      <formula>$L$11</formula>
    </cfRule>
  </conditionalFormatting>
  <conditionalFormatting sqref="M12">
    <cfRule type="cellIs" dxfId="227" priority="468" stopIfTrue="1" operator="equal">
      <formula>$L$12</formula>
    </cfRule>
    <cfRule type="cellIs" dxfId="226" priority="469" stopIfTrue="1" operator="lessThan">
      <formula>$L$12</formula>
    </cfRule>
  </conditionalFormatting>
  <conditionalFormatting sqref="M13">
    <cfRule type="cellIs" dxfId="225" priority="470" stopIfTrue="1" operator="equal">
      <formula>$L$13</formula>
    </cfRule>
    <cfRule type="cellIs" dxfId="224" priority="471" stopIfTrue="1" operator="lessThan">
      <formula>$L$13</formula>
    </cfRule>
  </conditionalFormatting>
  <conditionalFormatting sqref="M14">
    <cfRule type="cellIs" dxfId="223" priority="473" stopIfTrue="1" operator="lessThan">
      <formula>$L$14</formula>
    </cfRule>
    <cfRule type="cellIs" dxfId="222" priority="472" stopIfTrue="1" operator="equal">
      <formula>$L$14</formula>
    </cfRule>
  </conditionalFormatting>
  <conditionalFormatting sqref="M15">
    <cfRule type="cellIs" dxfId="221" priority="474" stopIfTrue="1" operator="equal">
      <formula>$L$15</formula>
    </cfRule>
    <cfRule type="cellIs" dxfId="220" priority="475" stopIfTrue="1" operator="lessThan">
      <formula>$L$15</formula>
    </cfRule>
  </conditionalFormatting>
  <conditionalFormatting sqref="M16">
    <cfRule type="cellIs" dxfId="219" priority="476" stopIfTrue="1" operator="equal">
      <formula>$L$16</formula>
    </cfRule>
    <cfRule type="cellIs" dxfId="218" priority="477" stopIfTrue="1" operator="lessThan">
      <formula>$L$16</formula>
    </cfRule>
  </conditionalFormatting>
  <conditionalFormatting sqref="M17">
    <cfRule type="cellIs" dxfId="217" priority="478" stopIfTrue="1" operator="equal">
      <formula>$L$17</formula>
    </cfRule>
    <cfRule type="cellIs" dxfId="216" priority="479" stopIfTrue="1" operator="lessThan">
      <formula>$L$17</formula>
    </cfRule>
  </conditionalFormatting>
  <conditionalFormatting sqref="M18">
    <cfRule type="cellIs" dxfId="215" priority="480" stopIfTrue="1" operator="equal">
      <formula>$L$18</formula>
    </cfRule>
    <cfRule type="cellIs" dxfId="214" priority="481" stopIfTrue="1" operator="lessThan">
      <formula>$L$18</formula>
    </cfRule>
  </conditionalFormatting>
  <conditionalFormatting sqref="M19">
    <cfRule type="cellIs" dxfId="213" priority="482" stopIfTrue="1" operator="equal">
      <formula>$L$19</formula>
    </cfRule>
    <cfRule type="cellIs" dxfId="212" priority="483" stopIfTrue="1" operator="lessThan">
      <formula>$L$19</formula>
    </cfRule>
  </conditionalFormatting>
  <conditionalFormatting sqref="M20">
    <cfRule type="cellIs" dxfId="211" priority="484" stopIfTrue="1" operator="equal">
      <formula>$L$20</formula>
    </cfRule>
    <cfRule type="cellIs" dxfId="210" priority="485" stopIfTrue="1" operator="lessThan">
      <formula>$L$20</formula>
    </cfRule>
  </conditionalFormatting>
  <conditionalFormatting sqref="M21">
    <cfRule type="cellIs" dxfId="209" priority="486" stopIfTrue="1" operator="equal">
      <formula>$L$21</formula>
    </cfRule>
    <cfRule type="cellIs" dxfId="208" priority="487" stopIfTrue="1" operator="lessThan">
      <formula>$L$21</formula>
    </cfRule>
  </conditionalFormatting>
  <conditionalFormatting sqref="M22">
    <cfRule type="cellIs" dxfId="207" priority="490" stopIfTrue="1" operator="equal">
      <formula>$L$22</formula>
    </cfRule>
    <cfRule type="cellIs" dxfId="206" priority="491" stopIfTrue="1" operator="lessThan">
      <formula>$L$22</formula>
    </cfRule>
  </conditionalFormatting>
  <conditionalFormatting sqref="M23">
    <cfRule type="cellIs" dxfId="205" priority="493" stopIfTrue="1" operator="lessThan">
      <formula>$L$23</formula>
    </cfRule>
    <cfRule type="cellIs" dxfId="204" priority="492" stopIfTrue="1" operator="equal">
      <formula>$L$23</formula>
    </cfRule>
  </conditionalFormatting>
  <conditionalFormatting sqref="M24">
    <cfRule type="cellIs" dxfId="203" priority="495" stopIfTrue="1" operator="lessThan">
      <formula>$L$24</formula>
    </cfRule>
    <cfRule type="cellIs" dxfId="202" priority="494" stopIfTrue="1" operator="equal">
      <formula>$L$24</formula>
    </cfRule>
  </conditionalFormatting>
  <conditionalFormatting sqref="M25">
    <cfRule type="cellIs" dxfId="201" priority="496" stopIfTrue="1" operator="equal">
      <formula>$L$25</formula>
    </cfRule>
    <cfRule type="cellIs" dxfId="200" priority="497" stopIfTrue="1" operator="lessThan">
      <formula>$L$25</formula>
    </cfRule>
  </conditionalFormatting>
  <conditionalFormatting sqref="M26">
    <cfRule type="cellIs" dxfId="199" priority="498" stopIfTrue="1" operator="equal">
      <formula>$L$26</formula>
    </cfRule>
    <cfRule type="cellIs" dxfId="198" priority="499" stopIfTrue="1" operator="lessThan">
      <formula>$L$26</formula>
    </cfRule>
  </conditionalFormatting>
  <conditionalFormatting sqref="M27">
    <cfRule type="cellIs" dxfId="197" priority="500" stopIfTrue="1" operator="equal">
      <formula>$L$27</formula>
    </cfRule>
    <cfRule type="cellIs" dxfId="196" priority="501" stopIfTrue="1" operator="lessThan">
      <formula>$L$27</formula>
    </cfRule>
  </conditionalFormatting>
  <conditionalFormatting sqref="M28">
    <cfRule type="cellIs" dxfId="195" priority="502" stopIfTrue="1" operator="equal">
      <formula>$L$28</formula>
    </cfRule>
    <cfRule type="cellIs" dxfId="194" priority="503" stopIfTrue="1" operator="lessThan">
      <formula>$L$28</formula>
    </cfRule>
  </conditionalFormatting>
  <conditionalFormatting sqref="N4">
    <cfRule type="cellIs" dxfId="193" priority="504" stopIfTrue="1" operator="lessThan">
      <formula>$M$4</formula>
    </cfRule>
    <cfRule type="cellIs" dxfId="192" priority="505" stopIfTrue="1" operator="equal">
      <formula>$M$4</formula>
    </cfRule>
  </conditionalFormatting>
  <conditionalFormatting sqref="N5">
    <cfRule type="cellIs" dxfId="191" priority="506" stopIfTrue="1" operator="equal">
      <formula>$M$5</formula>
    </cfRule>
    <cfRule type="cellIs" dxfId="190" priority="507" stopIfTrue="1" operator="lessThan">
      <formula>$M$5</formula>
    </cfRule>
  </conditionalFormatting>
  <conditionalFormatting sqref="N6">
    <cfRule type="cellIs" dxfId="189" priority="508" stopIfTrue="1" operator="equal">
      <formula>$M$6</formula>
    </cfRule>
    <cfRule type="cellIs" dxfId="188" priority="509" stopIfTrue="1" operator="lessThan">
      <formula>$M$6</formula>
    </cfRule>
  </conditionalFormatting>
  <conditionalFormatting sqref="N7">
    <cfRule type="cellIs" dxfId="187" priority="510" stopIfTrue="1" operator="equal">
      <formula>$M$7</formula>
    </cfRule>
    <cfRule type="cellIs" dxfId="186" priority="511" stopIfTrue="1" operator="lessThan">
      <formula>$M$7</formula>
    </cfRule>
  </conditionalFormatting>
  <conditionalFormatting sqref="N8">
    <cfRule type="cellIs" dxfId="185" priority="513" stopIfTrue="1" operator="lessThan">
      <formula>$M$8</formula>
    </cfRule>
    <cfRule type="cellIs" dxfId="184" priority="512" stopIfTrue="1" operator="equal">
      <formula>$M$8</formula>
    </cfRule>
  </conditionalFormatting>
  <conditionalFormatting sqref="N9">
    <cfRule type="cellIs" dxfId="183" priority="514" stopIfTrue="1" operator="equal">
      <formula>$M$9</formula>
    </cfRule>
    <cfRule type="cellIs" dxfId="182" priority="515" stopIfTrue="1" operator="lessThan">
      <formula>$M$9</formula>
    </cfRule>
  </conditionalFormatting>
  <conditionalFormatting sqref="N10">
    <cfRule type="cellIs" dxfId="181" priority="516" stopIfTrue="1" operator="equal">
      <formula>$M$10</formula>
    </cfRule>
    <cfRule type="cellIs" dxfId="180" priority="517" stopIfTrue="1" operator="lessThan">
      <formula>$M$10</formula>
    </cfRule>
  </conditionalFormatting>
  <conditionalFormatting sqref="N11">
    <cfRule type="cellIs" dxfId="179" priority="518" stopIfTrue="1" operator="equal">
      <formula>$M$11</formula>
    </cfRule>
    <cfRule type="cellIs" dxfId="178" priority="519" stopIfTrue="1" operator="lessThan">
      <formula>$M$11</formula>
    </cfRule>
  </conditionalFormatting>
  <conditionalFormatting sqref="N12">
    <cfRule type="cellIs" dxfId="177" priority="520" stopIfTrue="1" operator="equal">
      <formula>$M$12</formula>
    </cfRule>
    <cfRule type="cellIs" dxfId="176" priority="521" stopIfTrue="1" operator="lessThan">
      <formula>$M$12</formula>
    </cfRule>
  </conditionalFormatting>
  <conditionalFormatting sqref="N13">
    <cfRule type="cellIs" dxfId="175" priority="522" stopIfTrue="1" operator="equal">
      <formula>$M$13</formula>
    </cfRule>
    <cfRule type="cellIs" dxfId="174" priority="523" stopIfTrue="1" operator="lessThan">
      <formula>$M$13</formula>
    </cfRule>
  </conditionalFormatting>
  <conditionalFormatting sqref="N14">
    <cfRule type="cellIs" dxfId="173" priority="524" stopIfTrue="1" operator="equal">
      <formula>$M$14</formula>
    </cfRule>
    <cfRule type="cellIs" dxfId="172" priority="525" stopIfTrue="1" operator="lessThan">
      <formula>$M$14</formula>
    </cfRule>
  </conditionalFormatting>
  <conditionalFormatting sqref="N15">
    <cfRule type="cellIs" dxfId="171" priority="526" stopIfTrue="1" operator="equal">
      <formula>$M$15</formula>
    </cfRule>
    <cfRule type="cellIs" dxfId="170" priority="527" stopIfTrue="1" operator="lessThan">
      <formula>$M$15</formula>
    </cfRule>
  </conditionalFormatting>
  <conditionalFormatting sqref="N16">
    <cfRule type="cellIs" dxfId="169" priority="528" stopIfTrue="1" operator="equal">
      <formula>$M$16</formula>
    </cfRule>
    <cfRule type="cellIs" dxfId="168" priority="529" stopIfTrue="1" operator="lessThan">
      <formula>$M$16</formula>
    </cfRule>
  </conditionalFormatting>
  <conditionalFormatting sqref="N17">
    <cfRule type="cellIs" dxfId="167" priority="530" stopIfTrue="1" operator="equal">
      <formula>$M$17</formula>
    </cfRule>
    <cfRule type="cellIs" dxfId="166" priority="531" stopIfTrue="1" operator="lessThan">
      <formula>$M$17</formula>
    </cfRule>
  </conditionalFormatting>
  <conditionalFormatting sqref="N18">
    <cfRule type="cellIs" dxfId="165" priority="533" stopIfTrue="1" operator="lessThan">
      <formula>$M$18</formula>
    </cfRule>
    <cfRule type="cellIs" dxfId="164" priority="532" stopIfTrue="1" operator="equal">
      <formula>$M$18</formula>
    </cfRule>
  </conditionalFormatting>
  <conditionalFormatting sqref="N19">
    <cfRule type="cellIs" dxfId="163" priority="535" stopIfTrue="1" operator="lessThan">
      <formula>$M$19</formula>
    </cfRule>
    <cfRule type="cellIs" dxfId="162" priority="534" stopIfTrue="1" operator="equal">
      <formula>$M$19</formula>
    </cfRule>
  </conditionalFormatting>
  <conditionalFormatting sqref="N20">
    <cfRule type="cellIs" dxfId="161" priority="536" stopIfTrue="1" operator="equal">
      <formula>$M$20</formula>
    </cfRule>
    <cfRule type="cellIs" dxfId="160" priority="537" stopIfTrue="1" operator="lessThan">
      <formula>$M$20</formula>
    </cfRule>
  </conditionalFormatting>
  <conditionalFormatting sqref="N21">
    <cfRule type="cellIs" dxfId="159" priority="538" stopIfTrue="1" operator="equal">
      <formula>$M$21</formula>
    </cfRule>
    <cfRule type="cellIs" dxfId="158" priority="539" stopIfTrue="1" operator="lessThan">
      <formula>$M$21</formula>
    </cfRule>
  </conditionalFormatting>
  <conditionalFormatting sqref="N22">
    <cfRule type="cellIs" dxfId="157" priority="540" stopIfTrue="1" operator="equal">
      <formula>$M$22</formula>
    </cfRule>
    <cfRule type="cellIs" dxfId="156" priority="541" stopIfTrue="1" operator="lessThan">
      <formula>$M$22</formula>
    </cfRule>
  </conditionalFormatting>
  <conditionalFormatting sqref="N23">
    <cfRule type="cellIs" dxfId="155" priority="542" stopIfTrue="1" operator="equal">
      <formula>$M$23</formula>
    </cfRule>
    <cfRule type="cellIs" dxfId="154" priority="543" stopIfTrue="1" operator="lessThan">
      <formula>$M$23</formula>
    </cfRule>
  </conditionalFormatting>
  <conditionalFormatting sqref="N24">
    <cfRule type="cellIs" dxfId="153" priority="544" stopIfTrue="1" operator="equal">
      <formula>$M$24</formula>
    </cfRule>
    <cfRule type="cellIs" dxfId="152" priority="545" stopIfTrue="1" operator="lessThan">
      <formula>$M$24</formula>
    </cfRule>
  </conditionalFormatting>
  <conditionalFormatting sqref="N25">
    <cfRule type="cellIs" dxfId="151" priority="546" stopIfTrue="1" operator="equal">
      <formula>$M$25</formula>
    </cfRule>
    <cfRule type="cellIs" dxfId="150" priority="547" stopIfTrue="1" operator="lessThan">
      <formula>$M$25</formula>
    </cfRule>
  </conditionalFormatting>
  <conditionalFormatting sqref="N26">
    <cfRule type="cellIs" dxfId="149" priority="548" stopIfTrue="1" operator="equal">
      <formula>$M$26</formula>
    </cfRule>
    <cfRule type="cellIs" dxfId="148" priority="549" stopIfTrue="1" operator="lessThan">
      <formula>$M$26</formula>
    </cfRule>
  </conditionalFormatting>
  <conditionalFormatting sqref="N27">
    <cfRule type="cellIs" dxfId="147" priority="550" stopIfTrue="1" operator="equal">
      <formula>$M$27</formula>
    </cfRule>
    <cfRule type="cellIs" dxfId="146" priority="551" stopIfTrue="1" operator="lessThan">
      <formula>$M$27</formula>
    </cfRule>
  </conditionalFormatting>
  <conditionalFormatting sqref="N28">
    <cfRule type="cellIs" dxfId="145" priority="553" stopIfTrue="1" operator="lessThan">
      <formula>$M$28</formula>
    </cfRule>
    <cfRule type="cellIs" dxfId="144" priority="552" stopIfTrue="1" operator="equal">
      <formula>$M$28</formula>
    </cfRule>
  </conditionalFormatting>
  <conditionalFormatting sqref="O4">
    <cfRule type="cellIs" dxfId="143" priority="554" stopIfTrue="1" operator="equal">
      <formula>$N$4</formula>
    </cfRule>
    <cfRule type="cellIs" dxfId="142" priority="555" stopIfTrue="1" operator="lessThan">
      <formula>$N$4</formula>
    </cfRule>
  </conditionalFormatting>
  <conditionalFormatting sqref="O5">
    <cfRule type="cellIs" dxfId="141" priority="556" stopIfTrue="1" operator="equal">
      <formula>$N$5</formula>
    </cfRule>
    <cfRule type="cellIs" dxfId="140" priority="557" stopIfTrue="1" operator="lessThan">
      <formula>$N$5</formula>
    </cfRule>
  </conditionalFormatting>
  <conditionalFormatting sqref="O6">
    <cfRule type="cellIs" dxfId="139" priority="558" stopIfTrue="1" operator="equal">
      <formula>$N$6</formula>
    </cfRule>
    <cfRule type="cellIs" dxfId="138" priority="559" stopIfTrue="1" operator="lessThan">
      <formula>$N$6</formula>
    </cfRule>
  </conditionalFormatting>
  <conditionalFormatting sqref="O7">
    <cfRule type="cellIs" dxfId="137" priority="560" stopIfTrue="1" operator="equal">
      <formula>$N$7</formula>
    </cfRule>
    <cfRule type="cellIs" dxfId="136" priority="561" stopIfTrue="1" operator="lessThan">
      <formula>$N$7</formula>
    </cfRule>
  </conditionalFormatting>
  <conditionalFormatting sqref="O8">
    <cfRule type="cellIs" dxfId="135" priority="562" stopIfTrue="1" operator="equal">
      <formula>$N$8</formula>
    </cfRule>
    <cfRule type="cellIs" dxfId="134" priority="563" stopIfTrue="1" operator="lessThan">
      <formula>$N$8</formula>
    </cfRule>
  </conditionalFormatting>
  <conditionalFormatting sqref="O9">
    <cfRule type="cellIs" dxfId="133" priority="564" stopIfTrue="1" operator="equal">
      <formula>$N$9</formula>
    </cfRule>
    <cfRule type="cellIs" dxfId="132" priority="565" stopIfTrue="1" operator="lessThan">
      <formula>$N$9</formula>
    </cfRule>
  </conditionalFormatting>
  <conditionalFormatting sqref="O10">
    <cfRule type="cellIs" dxfId="131" priority="566" stopIfTrue="1" operator="equal">
      <formula>$N$10</formula>
    </cfRule>
    <cfRule type="cellIs" dxfId="130" priority="567" stopIfTrue="1" operator="lessThan">
      <formula>$N$10</formula>
    </cfRule>
  </conditionalFormatting>
  <conditionalFormatting sqref="O11">
    <cfRule type="cellIs" dxfId="129" priority="568" stopIfTrue="1" operator="equal">
      <formula>$N$11</formula>
    </cfRule>
    <cfRule type="cellIs" dxfId="128" priority="569" stopIfTrue="1" operator="lessThan">
      <formula>$N$11</formula>
    </cfRule>
  </conditionalFormatting>
  <conditionalFormatting sqref="O12">
    <cfRule type="cellIs" dxfId="127" priority="570" stopIfTrue="1" operator="equal">
      <formula>$N$12</formula>
    </cfRule>
    <cfRule type="cellIs" dxfId="126" priority="571" stopIfTrue="1" operator="lessThan">
      <formula>$N$12</formula>
    </cfRule>
  </conditionalFormatting>
  <conditionalFormatting sqref="O13">
    <cfRule type="cellIs" dxfId="125" priority="573" stopIfTrue="1" operator="lessThan">
      <formula>$N$13</formula>
    </cfRule>
    <cfRule type="cellIs" dxfId="124" priority="572" stopIfTrue="1" operator="equal">
      <formula>$N$13</formula>
    </cfRule>
  </conditionalFormatting>
  <conditionalFormatting sqref="O14">
    <cfRule type="cellIs" dxfId="123" priority="575" stopIfTrue="1" operator="lessThan">
      <formula>$N$14</formula>
    </cfRule>
    <cfRule type="cellIs" dxfId="122" priority="574" stopIfTrue="1" operator="equal">
      <formula>$N$14</formula>
    </cfRule>
  </conditionalFormatting>
  <conditionalFormatting sqref="O15">
    <cfRule type="cellIs" dxfId="121" priority="576" stopIfTrue="1" operator="equal">
      <formula>$N$15</formula>
    </cfRule>
    <cfRule type="cellIs" dxfId="120" priority="577" stopIfTrue="1" operator="lessThan">
      <formula>$N$15</formula>
    </cfRule>
  </conditionalFormatting>
  <conditionalFormatting sqref="O16">
    <cfRule type="cellIs" dxfId="119" priority="578" stopIfTrue="1" operator="equal">
      <formula>$N$16</formula>
    </cfRule>
    <cfRule type="cellIs" dxfId="118" priority="579" stopIfTrue="1" operator="lessThan">
      <formula>$N$16</formula>
    </cfRule>
  </conditionalFormatting>
  <conditionalFormatting sqref="O17">
    <cfRule type="cellIs" dxfId="117" priority="580" stopIfTrue="1" operator="equal">
      <formula>$N$17</formula>
    </cfRule>
    <cfRule type="cellIs" dxfId="116" priority="581" stopIfTrue="1" operator="lessThan">
      <formula>$N$17</formula>
    </cfRule>
  </conditionalFormatting>
  <conditionalFormatting sqref="O18">
    <cfRule type="cellIs" dxfId="115" priority="582" stopIfTrue="1" operator="equal">
      <formula>$N$18</formula>
    </cfRule>
    <cfRule type="cellIs" dxfId="114" priority="583" stopIfTrue="1" operator="lessThan">
      <formula>$N$18</formula>
    </cfRule>
  </conditionalFormatting>
  <conditionalFormatting sqref="O19">
    <cfRule type="cellIs" dxfId="113" priority="584" stopIfTrue="1" operator="equal">
      <formula>$N$19</formula>
    </cfRule>
    <cfRule type="cellIs" dxfId="112" priority="585" stopIfTrue="1" operator="lessThan">
      <formula>$N$19</formula>
    </cfRule>
  </conditionalFormatting>
  <conditionalFormatting sqref="O20">
    <cfRule type="cellIs" dxfId="111" priority="586" stopIfTrue="1" operator="equal">
      <formula>$N$20</formula>
    </cfRule>
    <cfRule type="cellIs" dxfId="110" priority="587" stopIfTrue="1" operator="lessThan">
      <formula>$N$20</formula>
    </cfRule>
  </conditionalFormatting>
  <conditionalFormatting sqref="O21">
    <cfRule type="cellIs" dxfId="109" priority="588" stopIfTrue="1" operator="equal">
      <formula>$N$21</formula>
    </cfRule>
    <cfRule type="cellIs" dxfId="108" priority="589" stopIfTrue="1" operator="lessThan">
      <formula>$N$21</formula>
    </cfRule>
  </conditionalFormatting>
  <conditionalFormatting sqref="O22">
    <cfRule type="cellIs" dxfId="107" priority="590" stopIfTrue="1" operator="equal">
      <formula>$N$22</formula>
    </cfRule>
    <cfRule type="cellIs" dxfId="106" priority="591" stopIfTrue="1" operator="lessThan">
      <formula>$N$22</formula>
    </cfRule>
  </conditionalFormatting>
  <conditionalFormatting sqref="O23">
    <cfRule type="cellIs" dxfId="105" priority="593" stopIfTrue="1" operator="lessThan">
      <formula>$N$23</formula>
    </cfRule>
    <cfRule type="cellIs" dxfId="104" priority="592" stopIfTrue="1" operator="equal">
      <formula>$N$23</formula>
    </cfRule>
  </conditionalFormatting>
  <conditionalFormatting sqref="O24">
    <cfRule type="cellIs" dxfId="103" priority="595" stopIfTrue="1" operator="lessThan">
      <formula>$N$24</formula>
    </cfRule>
    <cfRule type="cellIs" dxfId="102" priority="594" stopIfTrue="1" operator="equal">
      <formula>$N$24</formula>
    </cfRule>
  </conditionalFormatting>
  <conditionalFormatting sqref="O25">
    <cfRule type="cellIs" dxfId="101" priority="596" stopIfTrue="1" operator="equal">
      <formula>$N$25</formula>
    </cfRule>
    <cfRule type="cellIs" dxfId="100" priority="597" stopIfTrue="1" operator="lessThan">
      <formula>$N$25</formula>
    </cfRule>
  </conditionalFormatting>
  <conditionalFormatting sqref="O26">
    <cfRule type="cellIs" dxfId="99" priority="598" stopIfTrue="1" operator="equal">
      <formula>$N$26</formula>
    </cfRule>
    <cfRule type="cellIs" dxfId="98" priority="599" stopIfTrue="1" operator="lessThan">
      <formula>$N$26</formula>
    </cfRule>
  </conditionalFormatting>
  <conditionalFormatting sqref="O27">
    <cfRule type="cellIs" dxfId="97" priority="600" stopIfTrue="1" operator="equal">
      <formula>$N$27</formula>
    </cfRule>
    <cfRule type="cellIs" dxfId="96" priority="601" stopIfTrue="1" operator="lessThan">
      <formula>$N$27</formula>
    </cfRule>
  </conditionalFormatting>
  <conditionalFormatting sqref="O28">
    <cfRule type="cellIs" dxfId="95" priority="602" stopIfTrue="1" operator="equal">
      <formula>$N$28</formula>
    </cfRule>
    <cfRule type="cellIs" dxfId="94" priority="603" stopIfTrue="1" operator="lessThan">
      <formula>$N$28</formula>
    </cfRule>
  </conditionalFormatting>
  <conditionalFormatting sqref="P4">
    <cfRule type="cellIs" dxfId="93" priority="604" stopIfTrue="1" operator="equal">
      <formula>$O$4</formula>
    </cfRule>
    <cfRule type="cellIs" dxfId="92" priority="605" stopIfTrue="1" operator="lessThan">
      <formula>$O$4</formula>
    </cfRule>
  </conditionalFormatting>
  <conditionalFormatting sqref="P5">
    <cfRule type="cellIs" dxfId="91" priority="606" stopIfTrue="1" operator="equal">
      <formula>$O$5</formula>
    </cfRule>
    <cfRule type="cellIs" dxfId="90" priority="607" stopIfTrue="1" operator="lessThan">
      <formula>$O$5</formula>
    </cfRule>
  </conditionalFormatting>
  <conditionalFormatting sqref="P6">
    <cfRule type="cellIs" dxfId="89" priority="608" stopIfTrue="1" operator="equal">
      <formula>$O$6</formula>
    </cfRule>
    <cfRule type="cellIs" dxfId="88" priority="609" stopIfTrue="1" operator="lessThan">
      <formula>$O$6</formula>
    </cfRule>
  </conditionalFormatting>
  <conditionalFormatting sqref="P7">
    <cfRule type="cellIs" dxfId="87" priority="610" stopIfTrue="1" operator="equal">
      <formula>$O$7</formula>
    </cfRule>
    <cfRule type="cellIs" dxfId="86" priority="611" stopIfTrue="1" operator="lessThan">
      <formula>$O$7</formula>
    </cfRule>
  </conditionalFormatting>
  <conditionalFormatting sqref="P8">
    <cfRule type="cellIs" dxfId="85" priority="613" stopIfTrue="1" operator="lessThan">
      <formula>$O$8</formula>
    </cfRule>
    <cfRule type="cellIs" dxfId="84" priority="612" stopIfTrue="1" operator="equal">
      <formula>$O$8</formula>
    </cfRule>
  </conditionalFormatting>
  <conditionalFormatting sqref="P9">
    <cfRule type="cellIs" dxfId="83" priority="615" stopIfTrue="1" operator="lessThan">
      <formula>$O$9</formula>
    </cfRule>
    <cfRule type="cellIs" dxfId="82" priority="614" stopIfTrue="1" operator="equal">
      <formula>$O$9</formula>
    </cfRule>
  </conditionalFormatting>
  <conditionalFormatting sqref="P10">
    <cfRule type="cellIs" dxfId="81" priority="616" stopIfTrue="1" operator="equal">
      <formula>$O$10</formula>
    </cfRule>
    <cfRule type="cellIs" dxfId="80" priority="617" stopIfTrue="1" operator="lessThan">
      <formula>$O$10</formula>
    </cfRule>
  </conditionalFormatting>
  <conditionalFormatting sqref="P11">
    <cfRule type="cellIs" dxfId="79" priority="618" stopIfTrue="1" operator="equal">
      <formula>$O$11</formula>
    </cfRule>
    <cfRule type="cellIs" dxfId="78" priority="619" stopIfTrue="1" operator="lessThan">
      <formula>$O$11</formula>
    </cfRule>
  </conditionalFormatting>
  <conditionalFormatting sqref="P12">
    <cfRule type="cellIs" dxfId="77" priority="620" stopIfTrue="1" operator="equal">
      <formula>$O$12</formula>
    </cfRule>
    <cfRule type="cellIs" dxfId="76" priority="621" stopIfTrue="1" operator="lessThan">
      <formula>$O$12</formula>
    </cfRule>
  </conditionalFormatting>
  <conditionalFormatting sqref="P13">
    <cfRule type="cellIs" dxfId="75" priority="622" stopIfTrue="1" operator="equal">
      <formula>$O$13</formula>
    </cfRule>
    <cfRule type="cellIs" dxfId="74" priority="623" stopIfTrue="1" operator="lessThan">
      <formula>$O$13</formula>
    </cfRule>
  </conditionalFormatting>
  <conditionalFormatting sqref="P14">
    <cfRule type="cellIs" dxfId="73" priority="624" stopIfTrue="1" operator="equal">
      <formula>$O$14</formula>
    </cfRule>
    <cfRule type="cellIs" dxfId="72" priority="625" stopIfTrue="1" operator="lessThan">
      <formula>$O$14</formula>
    </cfRule>
  </conditionalFormatting>
  <conditionalFormatting sqref="P15">
    <cfRule type="cellIs" dxfId="71" priority="626" stopIfTrue="1" operator="equal">
      <formula>$O$15</formula>
    </cfRule>
    <cfRule type="cellIs" dxfId="70" priority="627" stopIfTrue="1" operator="lessThan">
      <formula>$O$15</formula>
    </cfRule>
  </conditionalFormatting>
  <conditionalFormatting sqref="P16">
    <cfRule type="cellIs" dxfId="69" priority="628" stopIfTrue="1" operator="equal">
      <formula>$O$16</formula>
    </cfRule>
    <cfRule type="cellIs" dxfId="68" priority="629" stopIfTrue="1" operator="lessThan">
      <formula>$O$16</formula>
    </cfRule>
  </conditionalFormatting>
  <conditionalFormatting sqref="P17">
    <cfRule type="cellIs" dxfId="67" priority="630" stopIfTrue="1" operator="equal">
      <formula>$O$17</formula>
    </cfRule>
    <cfRule type="cellIs" dxfId="66" priority="631" stopIfTrue="1" operator="lessThan">
      <formula>$O$17</formula>
    </cfRule>
  </conditionalFormatting>
  <conditionalFormatting sqref="P18">
    <cfRule type="cellIs" dxfId="65" priority="633" stopIfTrue="1" operator="lessThan">
      <formula>$O$18</formula>
    </cfRule>
    <cfRule type="cellIs" dxfId="64" priority="632" stopIfTrue="1" operator="equal">
      <formula>$O$18</formula>
    </cfRule>
  </conditionalFormatting>
  <conditionalFormatting sqref="P19">
    <cfRule type="cellIs" dxfId="63" priority="634" stopIfTrue="1" operator="equal">
      <formula>$O$19</formula>
    </cfRule>
    <cfRule type="cellIs" dxfId="62" priority="635" stopIfTrue="1" operator="lessThan">
      <formula>$O$19</formula>
    </cfRule>
  </conditionalFormatting>
  <conditionalFormatting sqref="P20">
    <cfRule type="cellIs" dxfId="61" priority="636" stopIfTrue="1" operator="equal">
      <formula>$O$20</formula>
    </cfRule>
    <cfRule type="cellIs" dxfId="60" priority="637" stopIfTrue="1" operator="lessThan">
      <formula>$O$20</formula>
    </cfRule>
  </conditionalFormatting>
  <conditionalFormatting sqref="P21">
    <cfRule type="cellIs" dxfId="59" priority="638" stopIfTrue="1" operator="equal">
      <formula>$O$21</formula>
    </cfRule>
    <cfRule type="cellIs" dxfId="58" priority="639" stopIfTrue="1" operator="lessThan">
      <formula>$O$21</formula>
    </cfRule>
  </conditionalFormatting>
  <conditionalFormatting sqref="P22">
    <cfRule type="cellIs" dxfId="57" priority="640" stopIfTrue="1" operator="equal">
      <formula>$O$22</formula>
    </cfRule>
    <cfRule type="cellIs" dxfId="56" priority="641" stopIfTrue="1" operator="lessThan">
      <formula>$O$22</formula>
    </cfRule>
  </conditionalFormatting>
  <conditionalFormatting sqref="P23">
    <cfRule type="cellIs" dxfId="55" priority="642" stopIfTrue="1" operator="equal">
      <formula>$O$23</formula>
    </cfRule>
    <cfRule type="cellIs" dxfId="54" priority="643" stopIfTrue="1" operator="lessThan">
      <formula>$O$23</formula>
    </cfRule>
  </conditionalFormatting>
  <conditionalFormatting sqref="P24">
    <cfRule type="cellIs" dxfId="53" priority="644" stopIfTrue="1" operator="equal">
      <formula>$O$24</formula>
    </cfRule>
    <cfRule type="cellIs" dxfId="52" priority="645" stopIfTrue="1" operator="lessThan">
      <formula>$O$24</formula>
    </cfRule>
  </conditionalFormatting>
  <conditionalFormatting sqref="P25">
    <cfRule type="cellIs" dxfId="51" priority="646" stopIfTrue="1" operator="equal">
      <formula>$O$25</formula>
    </cfRule>
    <cfRule type="cellIs" dxfId="50" priority="647" stopIfTrue="1" operator="lessThan">
      <formula>$O$25</formula>
    </cfRule>
  </conditionalFormatting>
  <conditionalFormatting sqref="P26">
    <cfRule type="cellIs" dxfId="49" priority="648" stopIfTrue="1" operator="equal">
      <formula>$O$26</formula>
    </cfRule>
    <cfRule type="cellIs" dxfId="48" priority="649" stopIfTrue="1" operator="lessThan">
      <formula>$O$26</formula>
    </cfRule>
  </conditionalFormatting>
  <conditionalFormatting sqref="P27">
    <cfRule type="cellIs" dxfId="47" priority="650" stopIfTrue="1" operator="equal">
      <formula>$O$27</formula>
    </cfRule>
    <cfRule type="cellIs" dxfId="46" priority="651" stopIfTrue="1" operator="lessThan">
      <formula>$O$27</formula>
    </cfRule>
  </conditionalFormatting>
  <conditionalFormatting sqref="P28">
    <cfRule type="cellIs" dxfId="45" priority="653" stopIfTrue="1" operator="lessThan">
      <formula>$O$28</formula>
    </cfRule>
    <cfRule type="cellIs" dxfId="44" priority="652" stopIfTrue="1" operator="equal">
      <formula>$O$28</formula>
    </cfRule>
  </conditionalFormatting>
  <conditionalFormatting sqref="V4:AG23">
    <cfRule type="cellIs" dxfId="43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7"/>
  <sheetViews>
    <sheetView workbookViewId="0">
      <selection activeCell="G14" sqref="G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6.453125" style="33" customWidth="1"/>
    <col min="7" max="10" width="9.453125" style="33" customWidth="1"/>
    <col min="11" max="11" width="4.08984375" style="33" customWidth="1"/>
    <col min="12" max="15" width="8.1796875" style="285" customWidth="1"/>
    <col min="16" max="16" width="4.08984375" style="33" customWidth="1"/>
    <col min="17" max="20" width="8.1796875" style="33" customWidth="1"/>
    <col min="21" max="21" width="4.08984375" style="33" customWidth="1"/>
    <col min="22" max="25" width="8.1796875" style="33" customWidth="1"/>
    <col min="26" max="16384" width="9" style="33"/>
  </cols>
  <sheetData>
    <row r="1" spans="1:25" ht="18" x14ac:dyDescent="0.4">
      <c r="A1" s="34" t="s">
        <v>30</v>
      </c>
      <c r="B1" s="35">
        <v>2026</v>
      </c>
    </row>
    <row r="2" spans="1:25" x14ac:dyDescent="0.35">
      <c r="L2" s="285" t="s">
        <v>230</v>
      </c>
      <c r="Q2" s="259" t="s">
        <v>213</v>
      </c>
      <c r="R2" s="259"/>
      <c r="S2" s="259"/>
      <c r="T2" s="259"/>
      <c r="V2" s="249" t="s">
        <v>209</v>
      </c>
    </row>
    <row r="3" spans="1:25" ht="18" x14ac:dyDescent="0.4">
      <c r="A3" s="123" t="s">
        <v>31</v>
      </c>
      <c r="B3" s="124">
        <v>1850</v>
      </c>
      <c r="C3" s="124">
        <v>1851</v>
      </c>
      <c r="D3" s="124">
        <v>1852</v>
      </c>
      <c r="E3" s="124">
        <v>1853</v>
      </c>
      <c r="Q3" s="259"/>
      <c r="R3" s="259"/>
      <c r="S3" s="259"/>
      <c r="T3" s="259"/>
    </row>
    <row r="4" spans="1:25" x14ac:dyDescent="0.35">
      <c r="A4" s="36" t="s">
        <v>32</v>
      </c>
      <c r="B4" s="36">
        <f>'1850'!E4-'1850'!D4+'1850'!E6-'1850'!D6+'1850'!E8-'1850'!D8+'1850'!E10-'1850'!D10+'1850'!E12-'1850'!D12+'1850'!E14-'1850'!D14+'1850'!E16-'1850'!D16+'1850'!E18-'1850'!D18+'1850'!E20-'1850'!D20+'1850'!E22-'1850'!D22</f>
        <v>87.605000000000004</v>
      </c>
      <c r="C4" s="36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86.582000000000036</v>
      </c>
      <c r="D4" s="36">
        <f>'1852'!E4-'1852'!D4+'1852'!E6-'1852'!D6+'1852'!E8-'1852'!D8+'1852'!E10-'1852'!D10+'1852'!E12-'1852'!D12+'1852'!E14-'1852'!D14+'1852'!E16-'1852'!D16+'1852'!E18-'1852'!D18+'1852'!E20-'1852'!D20+'1852'!E22-'1852'!D22</f>
        <v>69.999999999999986</v>
      </c>
      <c r="E4" s="36">
        <f>'1853'!E4-'1853'!D4+'1853'!E6-'1853'!D6+'1853'!E8-'1853'!D8+'1853'!E10-'1853'!D10+'1853'!E12-'1853'!D12+'1853'!E14-'1853'!D14+'1853'!E16-'1853'!D16+'1853'!E18-'1853'!D18+'1853'!E20-'1853'!D20+'1853'!E22-'1853'!D22+'1853'!E26-'1853'!D26</f>
        <v>85.66700000000003</v>
      </c>
      <c r="G4" s="133">
        <f>1-B4/B5</f>
        <v>7.9779411764705155E-2</v>
      </c>
      <c r="H4" s="133">
        <f>1-C4/C5</f>
        <v>8.861052631578914E-2</v>
      </c>
      <c r="I4" s="133">
        <f>1-D4/D5</f>
        <v>9.5607235142120106E-2</v>
      </c>
      <c r="J4" s="133">
        <f>1-E4/E5</f>
        <v>0.23919182948490292</v>
      </c>
      <c r="L4" s="286">
        <v>0.12094059405940627</v>
      </c>
      <c r="M4" s="286">
        <v>8.2933333333333747E-2</v>
      </c>
      <c r="N4" s="286">
        <v>9.226530612245043E-2</v>
      </c>
      <c r="O4" s="286">
        <v>9.1522012578615808E-2</v>
      </c>
      <c r="Q4" s="260">
        <v>0.12214642262895303</v>
      </c>
      <c r="R4" s="260">
        <v>6.0734341252698276E-2</v>
      </c>
      <c r="S4" s="260">
        <v>9.9550209205024109E-2</v>
      </c>
      <c r="T4" s="260">
        <v>8.908571428571499E-2</v>
      </c>
      <c r="V4" s="248">
        <v>0.10776056338028184</v>
      </c>
      <c r="W4" s="248">
        <v>6.3344017094016269E-2</v>
      </c>
      <c r="X4" s="248">
        <v>0.1015005476451285</v>
      </c>
      <c r="Y4" s="248">
        <v>8.1363057324841503E-2</v>
      </c>
    </row>
    <row r="5" spans="1:25" x14ac:dyDescent="0.35">
      <c r="A5" s="36" t="s">
        <v>33</v>
      </c>
      <c r="B5" s="36">
        <f>'1850'!E26-'1850'!D26</f>
        <v>95.199999999999932</v>
      </c>
      <c r="C5" s="36">
        <f>'1851'!F26-'1851'!E26</f>
        <v>95</v>
      </c>
      <c r="D5" s="37">
        <f>'1852'!E26-'1852'!D26</f>
        <v>77.400000000000091</v>
      </c>
      <c r="E5" s="36">
        <f>'1853'!E27-'1853'!D27</f>
        <v>112.60000000000014</v>
      </c>
      <c r="Q5" s="260"/>
      <c r="R5" s="260"/>
      <c r="S5" s="260"/>
      <c r="T5" s="260"/>
      <c r="V5" s="248"/>
      <c r="W5" s="248"/>
      <c r="X5" s="248"/>
      <c r="Y5" s="248"/>
    </row>
    <row r="6" spans="1:25" x14ac:dyDescent="0.35">
      <c r="A6" s="36" t="s">
        <v>34</v>
      </c>
      <c r="B6" s="368">
        <f>B5+C5+D5+E5</f>
        <v>380.20000000000016</v>
      </c>
      <c r="C6" s="368"/>
      <c r="D6" s="368"/>
      <c r="E6" s="368"/>
      <c r="G6" s="133">
        <f>1-B6/B7</f>
        <v>3.7224613826270514E-2</v>
      </c>
      <c r="L6" s="286">
        <v>3.6982682712065729E-2</v>
      </c>
      <c r="Q6" s="260">
        <v>4.500450045004234E-2</v>
      </c>
      <c r="R6" s="260"/>
      <c r="S6" s="260"/>
      <c r="T6" s="260"/>
      <c r="V6" s="248">
        <v>4.2930738408704316E-2</v>
      </c>
      <c r="W6" s="248"/>
      <c r="X6" s="248"/>
      <c r="Y6" s="248"/>
    </row>
    <row r="7" spans="1:25" x14ac:dyDescent="0.35">
      <c r="A7" s="36" t="s">
        <v>35</v>
      </c>
      <c r="B7" s="368">
        <f>'1850'!E29-'1850'!D29</f>
        <v>394.89999999999418</v>
      </c>
      <c r="C7" s="368"/>
      <c r="D7" s="368"/>
      <c r="E7" s="368"/>
      <c r="Q7" s="260"/>
      <c r="R7" s="260"/>
      <c r="S7" s="260"/>
      <c r="T7" s="260"/>
      <c r="V7" s="248"/>
      <c r="W7" s="248"/>
      <c r="X7" s="248"/>
      <c r="Y7" s="248"/>
    </row>
    <row r="8" spans="1:25" ht="18" x14ac:dyDescent="0.4">
      <c r="A8" s="125" t="s">
        <v>36</v>
      </c>
      <c r="B8" s="126"/>
      <c r="C8" s="126"/>
      <c r="D8" s="126"/>
      <c r="E8" s="127"/>
      <c r="Q8" s="260"/>
      <c r="R8" s="260"/>
      <c r="S8" s="260"/>
      <c r="T8" s="260"/>
      <c r="V8" s="248"/>
      <c r="W8" s="248"/>
      <c r="X8" s="248"/>
      <c r="Y8" s="248"/>
    </row>
    <row r="9" spans="1:25" x14ac:dyDescent="0.35">
      <c r="A9" s="36" t="s">
        <v>37</v>
      </c>
      <c r="B9" s="36">
        <f>'1850'!E5-'1850'!D5+'1850'!E7-'1850'!D7+'1850'!E9-'1850'!D9+'1850'!E11-'1850'!D11+'1850'!E13-'1850'!D13+'1850'!E15-'1850'!D15+'1850'!E17-'1850'!D17+'1850'!E19-'1850'!D19+'1850'!E21-'1850'!D21+'1850'!E23-'1850'!D23</f>
        <v>46.051999999999978</v>
      </c>
      <c r="C9" s="36">
        <f>'1851'!F5-'1851'!E5+'1851'!F7-'1851'!E7+'1851'!F9-'1851'!E9+'1851'!F11-'1851'!E11+'1851'!F13-'1851'!E13+'1851'!F15-'1851'!E15+'1851'!F17-'1851'!E17+'1851'!F19-'1851'!E19+'1851'!F21-'1851'!E21+'1851'!F23-'1851'!E23</f>
        <v>48.775999999999996</v>
      </c>
      <c r="D9" s="36">
        <f>'1852'!E5-'1852'!D5+'1852'!E7-'1852'!D7+'1852'!E9-'1852'!D9+'1852'!E11-'1852'!D11+'1852'!E13-'1852'!D13+'1852'!E15-'1852'!D15+'1852'!E17-'1852'!D17+'1852'!E19-'1852'!D19+'1852'!E21-'1852'!D21+'1852'!E23-'1852'!D23</f>
        <v>47.740000000000009</v>
      </c>
      <c r="E9" s="36">
        <f>'1853'!E5-'1853'!D5+'1853'!E7-'1853'!D7+'1853'!E9-'1853'!D9+'1853'!E11-'1853'!D11+'1853'!E13-'1853'!D13+'1853'!E15-'1853'!D15+'1853'!E17-'1853'!D17+'1853'!E19-'1853'!D19+'1853'!E21-'1853'!D21+'1853'!E23-'1853'!D23</f>
        <v>45.828000000000017</v>
      </c>
      <c r="G9" s="133">
        <f>1-B9/B10</f>
        <v>3.2724217601345029E-2</v>
      </c>
      <c r="H9" s="133">
        <f>1-C9/C10</f>
        <v>6.5593869731801702E-2</v>
      </c>
      <c r="I9" s="133">
        <f>1-D9/D10</f>
        <v>4.2134831460674538E-2</v>
      </c>
      <c r="J9" s="133">
        <f>1-E9/E10</f>
        <v>5.450794305756157E-2</v>
      </c>
      <c r="L9" s="286">
        <v>8.9801627670396567E-2</v>
      </c>
      <c r="M9" s="286">
        <v>7.4682971014492505E-2</v>
      </c>
      <c r="N9" s="286">
        <v>4.8453608247422619E-2</v>
      </c>
      <c r="O9" s="286">
        <v>4.8181576851605623E-2</v>
      </c>
      <c r="Q9" s="260">
        <v>8.4226410445923161E-2</v>
      </c>
      <c r="R9" s="260">
        <v>0.10960399126909892</v>
      </c>
      <c r="S9" s="260">
        <v>6.2670765027321607E-2</v>
      </c>
      <c r="T9" s="260">
        <v>5.0868252170631401E-2</v>
      </c>
      <c r="V9" s="248">
        <v>7.274340208472041E-2</v>
      </c>
      <c r="W9" s="248">
        <v>9.7352024922118696E-2</v>
      </c>
      <c r="X9" s="248">
        <v>5.4242244028147812E-2</v>
      </c>
      <c r="Y9" s="248">
        <v>7.7654693968891686E-2</v>
      </c>
    </row>
    <row r="10" spans="1:25" x14ac:dyDescent="0.35">
      <c r="A10" s="36" t="s">
        <v>38</v>
      </c>
      <c r="B10" s="38">
        <f>('1850'!E27-'1850'!D27)</f>
        <v>47.610000000000014</v>
      </c>
      <c r="C10" s="43">
        <f>('1851'!F27-'1851'!E27)</f>
        <v>52.200000000000045</v>
      </c>
      <c r="D10" s="43">
        <f>('1852'!E27-'1852'!D27)</f>
        <v>49.840000000000032</v>
      </c>
      <c r="E10" s="43">
        <f>('1853'!E28-'1853'!D28)</f>
        <v>48.470000000000027</v>
      </c>
      <c r="Q10" s="260"/>
      <c r="R10" s="260"/>
      <c r="S10" s="260"/>
      <c r="T10" s="260"/>
      <c r="V10" s="248"/>
      <c r="W10" s="248"/>
      <c r="X10" s="248"/>
      <c r="Y10" s="248"/>
    </row>
    <row r="11" spans="1:25" ht="18" x14ac:dyDescent="0.4">
      <c r="A11" s="125" t="s">
        <v>39</v>
      </c>
      <c r="B11" s="126"/>
      <c r="C11" s="126"/>
      <c r="D11" s="126"/>
      <c r="E11" s="127"/>
      <c r="Q11" s="260"/>
      <c r="R11" s="260"/>
      <c r="S11" s="260"/>
      <c r="T11" s="260"/>
      <c r="V11" s="248"/>
      <c r="W11" s="248"/>
      <c r="X11" s="248"/>
      <c r="Y11" s="248"/>
    </row>
    <row r="12" spans="1:25" x14ac:dyDescent="0.35">
      <c r="A12" s="36" t="s">
        <v>40</v>
      </c>
      <c r="B12" s="39">
        <f>'1850'!E25-'1850'!D25</f>
        <v>263</v>
      </c>
      <c r="C12" s="39">
        <f>'1851'!F24-'1851'!E24</f>
        <v>214</v>
      </c>
      <c r="D12" s="39">
        <f>'1852'!E25-'1852'!D25</f>
        <v>183</v>
      </c>
      <c r="E12" s="39">
        <f>'1853'!E24-'1853'!D24</f>
        <v>165</v>
      </c>
      <c r="Q12" s="260"/>
      <c r="R12" s="260"/>
      <c r="S12" s="260"/>
      <c r="T12" s="260"/>
      <c r="V12" s="248"/>
      <c r="W12" s="248"/>
      <c r="X12" s="248"/>
      <c r="Y12" s="248"/>
    </row>
    <row r="13" spans="1:25" x14ac:dyDescent="0.35">
      <c r="B13" s="40"/>
      <c r="C13" s="40"/>
      <c r="D13" s="40"/>
      <c r="E13" s="40"/>
      <c r="G13" s="40"/>
      <c r="H13" s="40"/>
      <c r="I13" s="40"/>
      <c r="J13" s="40"/>
      <c r="L13" s="287"/>
      <c r="M13" s="287"/>
      <c r="N13" s="287"/>
      <c r="O13" s="287"/>
      <c r="Q13" s="260"/>
      <c r="R13" s="260"/>
      <c r="S13" s="260"/>
      <c r="T13" s="260"/>
      <c r="V13" s="248"/>
      <c r="W13" s="248"/>
      <c r="X13" s="248"/>
      <c r="Y13" s="248"/>
    </row>
    <row r="14" spans="1:25" x14ac:dyDescent="0.35">
      <c r="A14" s="33" t="s">
        <v>41</v>
      </c>
      <c r="B14" s="40">
        <f>'1853'!E25-'1853'!D25</f>
        <v>372</v>
      </c>
      <c r="C14" s="40"/>
      <c r="D14" s="40"/>
      <c r="E14" s="40"/>
      <c r="G14" s="40"/>
      <c r="H14" s="40"/>
      <c r="I14" s="40"/>
      <c r="J14" s="40"/>
      <c r="L14" s="287"/>
      <c r="M14" s="287"/>
      <c r="N14" s="287"/>
      <c r="O14" s="287"/>
      <c r="Q14" s="260"/>
      <c r="R14" s="260"/>
      <c r="S14" s="260"/>
      <c r="T14" s="260"/>
      <c r="V14" s="248"/>
      <c r="W14" s="248"/>
      <c r="X14" s="248"/>
      <c r="Y14" s="248"/>
    </row>
    <row r="15" spans="1:25" x14ac:dyDescent="0.35">
      <c r="A15" s="33" t="s">
        <v>42</v>
      </c>
      <c r="B15" s="41">
        <f>'1853'!E26-'1853'!D26</f>
        <v>0</v>
      </c>
      <c r="C15" s="40"/>
      <c r="D15" s="40"/>
      <c r="E15" s="40"/>
      <c r="G15" s="40"/>
      <c r="H15" s="40"/>
      <c r="I15" s="40"/>
      <c r="J15" s="40"/>
      <c r="L15" s="287"/>
      <c r="M15" s="287"/>
      <c r="N15" s="287"/>
      <c r="O15" s="287"/>
      <c r="Q15" s="260"/>
      <c r="R15" s="260"/>
      <c r="S15" s="260"/>
      <c r="T15" s="260"/>
      <c r="V15" s="248"/>
      <c r="W15" s="248"/>
      <c r="X15" s="248"/>
      <c r="Y15" s="248"/>
    </row>
    <row r="16" spans="1:25" x14ac:dyDescent="0.35">
      <c r="B16" s="40"/>
      <c r="C16" s="40"/>
      <c r="D16" s="40"/>
      <c r="E16" s="40"/>
      <c r="G16" s="40"/>
      <c r="H16" s="40"/>
      <c r="I16" s="40"/>
      <c r="J16" s="40"/>
      <c r="L16" s="287"/>
      <c r="M16" s="287"/>
      <c r="N16" s="287"/>
      <c r="O16" s="287"/>
      <c r="Q16" s="260"/>
      <c r="R16" s="260"/>
      <c r="S16" s="260"/>
      <c r="T16" s="260"/>
      <c r="V16" s="248"/>
      <c r="W16" s="248"/>
      <c r="X16" s="248"/>
      <c r="Y16" s="248"/>
    </row>
    <row r="17" spans="1:25" x14ac:dyDescent="0.35">
      <c r="Q17" s="260"/>
      <c r="R17" s="260"/>
      <c r="S17" s="260"/>
      <c r="T17" s="260"/>
      <c r="V17" s="248"/>
      <c r="W17" s="248"/>
      <c r="X17" s="248"/>
      <c r="Y17" s="248"/>
    </row>
    <row r="18" spans="1:25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Q18" s="260"/>
      <c r="R18" s="260"/>
      <c r="S18" s="260"/>
      <c r="T18" s="260"/>
      <c r="V18" s="248"/>
      <c r="W18" s="248"/>
      <c r="X18" s="248"/>
      <c r="Y18" s="248"/>
    </row>
    <row r="19" spans="1:25" x14ac:dyDescent="0.35">
      <c r="A19" s="36" t="s">
        <v>32</v>
      </c>
      <c r="B19" s="36">
        <f>'1854'!E4-'1854'!D4+'1854'!E6-'1854'!D6+'1854'!E8-'1854'!D8+'1854'!E10-'1854'!D10+'1854'!E12-'1854'!D12+'1854'!E14-'1854'!D14+'1854'!E16-'1854'!D16+'1854'!E18-'1854'!D18+'1854'!E20-'1854'!D20+'1854'!E22-'1854'!D22</f>
        <v>56.05</v>
      </c>
      <c r="C19" s="36">
        <f>'1855'!E4-'1855'!D4+'1855'!E6-'1855'!D6+'1855'!E8-'1855'!D8+'1855'!E10-'1855'!D10+'1855'!E12-'1855'!D12+'1855'!E14-'1855'!D14+'1855'!E16-'1855'!D16+'1855'!E18-'1855'!D18+'1855'!E20-'1855'!D20+'1855'!E22-'1855'!D22</f>
        <v>81.390999999999977</v>
      </c>
      <c r="D19" s="36">
        <f>'1856'!E4-'1856'!D4+'1856'!E6-'1856'!D6+'1856'!E8-'1856'!D8+'1856'!E10-'1856'!D10+'1856'!E12-'1856'!D12+'1856'!E14-'1856'!D14+'1856'!E16-'1856'!D16+'1856'!E18-'1856'!D18+'1856'!E20-'1856'!D20+'1856'!E22-'1856'!D22</f>
        <v>66.211999999999946</v>
      </c>
      <c r="E19" s="36">
        <f>'1857'!E4-'1857'!D4+'1857'!E6-'1857'!D6+'1857'!E8-'1857'!D8+'1857'!E10-'1857'!D10+'1857'!E12-'1857'!D12+'1857'!E14-'1857'!D14+'1857'!E16-'1857'!D16+'1857'!E18-'1857'!D18+'1857'!E20-'1857'!D20+'1857'!E22-'1857'!D22</f>
        <v>94.094000000000023</v>
      </c>
      <c r="G19" s="133">
        <f>1-B19/B20</f>
        <v>0.12694704049844152</v>
      </c>
      <c r="H19" s="133">
        <f>1-C19/C20</f>
        <v>6.0150115473442844E-2</v>
      </c>
      <c r="I19" s="133">
        <f>1-D19/D20</f>
        <v>0.12069057104913827</v>
      </c>
      <c r="J19" s="133">
        <f>1-E19/E20</f>
        <v>7.7509803921568365E-2</v>
      </c>
      <c r="L19" s="286">
        <v>0.10742753623188139</v>
      </c>
      <c r="M19" s="286">
        <v>0.13766497461928995</v>
      </c>
      <c r="N19" s="286">
        <v>7.1048951048948705E-2</v>
      </c>
      <c r="O19" s="286">
        <v>9.8954895489551387E-2</v>
      </c>
      <c r="Q19" s="260">
        <v>9.0062305295953937E-2</v>
      </c>
      <c r="R19" s="260">
        <v>0.10805405405405222</v>
      </c>
      <c r="S19" s="260">
        <v>9.1619156214365005E-2</v>
      </c>
      <c r="T19" s="260">
        <v>0.11914864864864871</v>
      </c>
      <c r="V19" s="248">
        <v>9.1895803183790092E-2</v>
      </c>
      <c r="W19" s="248">
        <v>0.1014319526627222</v>
      </c>
      <c r="X19" s="248">
        <v>9.2536136662284774E-2</v>
      </c>
      <c r="Y19" s="248">
        <v>9.1850060459489957E-2</v>
      </c>
    </row>
    <row r="20" spans="1:25" x14ac:dyDescent="0.35">
      <c r="A20" s="36" t="s">
        <v>33</v>
      </c>
      <c r="B20" s="36">
        <f>'1854'!E26-'1854'!D26</f>
        <v>64.199999999999932</v>
      </c>
      <c r="C20" s="36">
        <f>'1855'!E26-'1855'!D26</f>
        <v>86.600000000000136</v>
      </c>
      <c r="D20" s="36">
        <f>'1856'!E26-'1856'!D26</f>
        <v>75.300000000000068</v>
      </c>
      <c r="E20" s="36">
        <f>'1857'!E26-'1857'!D26</f>
        <v>102</v>
      </c>
      <c r="Q20" s="260"/>
      <c r="R20" s="260"/>
      <c r="S20" s="260"/>
      <c r="T20" s="260"/>
      <c r="V20" s="248"/>
      <c r="W20" s="248"/>
      <c r="X20" s="248"/>
      <c r="Y20" s="248"/>
    </row>
    <row r="21" spans="1:25" x14ac:dyDescent="0.35">
      <c r="A21" s="36" t="s">
        <v>34</v>
      </c>
      <c r="B21" s="368">
        <f>B20+C20+D20+E20</f>
        <v>328.10000000000014</v>
      </c>
      <c r="C21" s="368"/>
      <c r="D21" s="368"/>
      <c r="E21" s="368"/>
      <c r="G21" s="133">
        <f>1-B21/B22</f>
        <v>-4.5927740355178326E-3</v>
      </c>
      <c r="L21" s="286">
        <v>-5.0371872887087887E-2</v>
      </c>
      <c r="Q21" s="260">
        <v>-4.1319444444444686E-2</v>
      </c>
      <c r="R21" s="260"/>
      <c r="S21" s="260"/>
      <c r="T21" s="260"/>
      <c r="V21" s="248">
        <v>-3.9254823685958895E-2</v>
      </c>
      <c r="W21" s="248"/>
      <c r="X21" s="248"/>
      <c r="Y21" s="248"/>
    </row>
    <row r="22" spans="1:25" x14ac:dyDescent="0.35">
      <c r="A22" s="36" t="s">
        <v>35</v>
      </c>
      <c r="B22" s="368">
        <f>'1854'!E29-'1854'!D29</f>
        <v>326.60000000000002</v>
      </c>
      <c r="C22" s="368"/>
      <c r="D22" s="368"/>
      <c r="E22" s="368"/>
      <c r="Q22" s="260"/>
      <c r="R22" s="260"/>
      <c r="S22" s="260"/>
      <c r="T22" s="260"/>
      <c r="V22" s="248"/>
      <c r="W22" s="248"/>
      <c r="X22" s="248"/>
      <c r="Y22" s="248"/>
    </row>
    <row r="23" spans="1:25" ht="18" x14ac:dyDescent="0.4">
      <c r="A23" s="125" t="s">
        <v>36</v>
      </c>
      <c r="B23" s="126"/>
      <c r="C23" s="126"/>
      <c r="D23" s="126"/>
      <c r="E23" s="127"/>
      <c r="Q23" s="260"/>
      <c r="R23" s="260"/>
      <c r="S23" s="260"/>
      <c r="T23" s="260"/>
      <c r="V23" s="248"/>
      <c r="W23" s="248"/>
      <c r="X23" s="248"/>
      <c r="Y23" s="248"/>
    </row>
    <row r="24" spans="1:25" x14ac:dyDescent="0.35">
      <c r="A24" s="36" t="s">
        <v>37</v>
      </c>
      <c r="B24" s="36">
        <f>'1854'!E5-'1854'!D5+'1854'!E7-'1854'!D7+'1854'!E9-'1854'!D9+'1854'!E11-'1854'!D11+'1854'!E13-'1854'!D13+'1854'!E15-'1854'!D15+'1854'!E17-'1854'!D17+'1854'!E19-'1854'!D19+'1854'!E21-'1854'!D21+'1854'!E23-'1854'!D23</f>
        <v>45.352999999999973</v>
      </c>
      <c r="C24" s="36">
        <f>'1855'!E5-'1855'!D5+'1855'!E7-'1855'!D7+'1855'!E9-'1855'!D9+'1855'!E11-'1855'!D11+'1855'!E13-'1855'!D13+'1855'!E15-'1855'!D15+'1855'!E17-'1855'!D17+'1855'!E19-'1855'!D19+'1855'!E21-'1855'!D21+'1855'!E23-'1855'!D23</f>
        <v>47.02300000000001</v>
      </c>
      <c r="D24" s="36">
        <f>'1856'!E5-'1856'!D5+'1856'!E7-'1856'!D7+'1856'!E9-'1856'!D9+'1856'!E11-'1856'!D11+'1856'!E13-'1856'!D13+'1856'!E15-'1856'!D15+'1856'!E17-'1856'!D17+'1856'!E19-'1856'!D19+'1856'!E21-'1856'!D21+'1856'!E23-'1856'!D23</f>
        <v>46.228999999999985</v>
      </c>
      <c r="E24" s="36">
        <f>'1857'!E5-'1857'!D5+'1857'!E7-'1857'!D7+'1857'!E9-'1857'!D9+'1857'!E11-'1857'!D11+'1857'!E13-'1857'!D13+'1857'!E15-'1857'!D15+'1857'!E17-'1857'!D17+'1857'!E19-'1857'!D19+'1857'!E21-'1857'!D21+'1857'!E23-'1857'!D23</f>
        <v>47.80999999999996</v>
      </c>
      <c r="G24" s="133">
        <f>1-B24/B25</f>
        <v>7.4994901080970844E-2</v>
      </c>
      <c r="H24" s="133">
        <f>1-C24/C25</f>
        <v>8.9936133152696884E-2</v>
      </c>
      <c r="I24" s="133">
        <f>1-D24/D25</f>
        <v>6.0004066693775115E-2</v>
      </c>
      <c r="J24" s="133">
        <f>1-E24/E25</f>
        <v>8.1812944113696773E-2</v>
      </c>
      <c r="L24" s="286">
        <v>6.7762430939227847E-2</v>
      </c>
      <c r="M24" s="286">
        <v>7.0835345243842496E-2</v>
      </c>
      <c r="N24" s="286">
        <v>6.9851213782300969E-2</v>
      </c>
      <c r="O24" s="286">
        <v>9.6922313229088286E-2</v>
      </c>
      <c r="Q24" s="260">
        <v>7.2464219041692868E-2</v>
      </c>
      <c r="R24" s="260">
        <v>7.4006476302620583E-2</v>
      </c>
      <c r="S24" s="260">
        <v>8.6205817954331798E-2</v>
      </c>
      <c r="T24" s="260">
        <v>7.6633478531424659E-2</v>
      </c>
      <c r="V24" s="248">
        <v>5.8015267175572705E-2</v>
      </c>
      <c r="W24" s="248">
        <v>7.2727272727273196E-2</v>
      </c>
      <c r="X24" s="248">
        <v>7.8701986754966646E-2</v>
      </c>
      <c r="Y24" s="248">
        <v>8.7025071077797667E-2</v>
      </c>
    </row>
    <row r="25" spans="1:25" x14ac:dyDescent="0.35">
      <c r="A25" s="36" t="s">
        <v>38</v>
      </c>
      <c r="B25" s="43">
        <f>('1854'!E27-'1854'!D27)</f>
        <v>49.029999999999973</v>
      </c>
      <c r="C25" s="43">
        <f>('1855'!E27-'1855'!D27)</f>
        <v>51.669999999999845</v>
      </c>
      <c r="D25" s="43">
        <f>('1856'!E27-'1856'!D27)</f>
        <v>49.179999999999836</v>
      </c>
      <c r="E25" s="43">
        <f>('1857'!E27-'1857'!D27)</f>
        <v>52.070000000000164</v>
      </c>
    </row>
    <row r="26" spans="1:25" ht="18" x14ac:dyDescent="0.4">
      <c r="A26" s="125" t="s">
        <v>39</v>
      </c>
      <c r="B26" s="126"/>
      <c r="C26" s="126"/>
      <c r="D26" s="126"/>
      <c r="E26" s="127"/>
    </row>
    <row r="27" spans="1:25" x14ac:dyDescent="0.35">
      <c r="A27" s="36" t="s">
        <v>40</v>
      </c>
      <c r="B27" s="39">
        <f>'1854'!E25-'1854'!D25</f>
        <v>760</v>
      </c>
      <c r="C27" s="39">
        <f>'1855'!E25-'1855'!D25</f>
        <v>389</v>
      </c>
      <c r="D27" s="39">
        <f>'1856'!E25-'1856'!D25</f>
        <v>280</v>
      </c>
      <c r="E27" s="39">
        <f>'1857'!E25-'1857'!D25</f>
        <v>289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42" priority="3" stopIfTrue="1" operator="lessThan">
      <formula>0</formula>
    </cfRule>
  </conditionalFormatting>
  <conditionalFormatting sqref="L13:O17">
    <cfRule type="cellIs" dxfId="41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tabSelected="1"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6.7265625" style="33" customWidth="1"/>
    <col min="7" max="10" width="11.453125" style="33" customWidth="1"/>
    <col min="11" max="12" width="9" style="33" customWidth="1"/>
    <col min="13" max="16384" width="9" style="33"/>
  </cols>
  <sheetData>
    <row r="1" spans="1:10" ht="18" x14ac:dyDescent="0.4">
      <c r="A1" s="34" t="s">
        <v>43</v>
      </c>
      <c r="B1" s="35">
        <f>'S1'!B1</f>
        <v>2026</v>
      </c>
    </row>
    <row r="3" spans="1:10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0" x14ac:dyDescent="0.35">
      <c r="A4" s="42" t="s">
        <v>32</v>
      </c>
      <c r="B4" s="36">
        <f>'1850'!F4-'1850'!E4+'1850'!F6-'1850'!E6+'1850'!F8-'1850'!E8+'1850'!F10-'1850'!E10+'1850'!F12-'1850'!E12+'1850'!F14-'1850'!E14+'1850'!F16-'1850'!E16+'1850'!F18-'1850'!E18+'1850'!F20-'1850'!E20+'1850'!F22-'1850'!E22</f>
        <v>76.509000000000029</v>
      </c>
      <c r="C4" s="36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72.213999999999999</v>
      </c>
      <c r="D4" s="36">
        <f>'1852'!F4-'1852'!E4+'1852'!F6-'1852'!E6+'1852'!F8-'1852'!E8+'1852'!F10-'1852'!E10+'1852'!F12-'1852'!E12+'1852'!F14-'1852'!E14+'1852'!F16-'1852'!E16+'1852'!F18-'1852'!E18+'1852'!F20-'1852'!E20+'1852'!F22-'1852'!E22</f>
        <v>68.257999999999925</v>
      </c>
      <c r="E4" s="36">
        <f>'1853'!F4-'1853'!E4+'1853'!F6-'1853'!E6+'1853'!F8-'1853'!E8+'1853'!F10-'1853'!E10+'1853'!F12-'1853'!E12+'1853'!F14-'1853'!E14+'1853'!F16-'1853'!E16+'1853'!F18-'1853'!E18+'1853'!F20-'1853'!E20+'1853'!F22-'1853'!E22+'1853'!F26-'1853'!E26</f>
        <v>68.360000000000014</v>
      </c>
      <c r="G4" s="133">
        <f>1-B4/B5</f>
        <v>8.3724550898203298E-2</v>
      </c>
      <c r="H4" s="133">
        <f>1-C4/C5</f>
        <v>9.2788944723619649E-2</v>
      </c>
      <c r="I4" s="133">
        <f>1-D4/D5</f>
        <v>9.5920529801325483E-2</v>
      </c>
      <c r="J4" s="133">
        <f>1-E4/E5</f>
        <v>0.27584745762711749</v>
      </c>
    </row>
    <row r="5" spans="1:10" x14ac:dyDescent="0.35">
      <c r="A5" s="42" t="s">
        <v>33</v>
      </c>
      <c r="B5" s="36">
        <f>'1850'!F26-'1850'!E26</f>
        <v>83.5</v>
      </c>
      <c r="C5" s="36">
        <f>'1851'!G26-'1851'!F26</f>
        <v>79.600000000000136</v>
      </c>
      <c r="D5" s="36">
        <f>'1852'!F26-'1852'!E26</f>
        <v>75.5</v>
      </c>
      <c r="E5" s="36">
        <f>'1853'!F27-'1853'!E27</f>
        <v>94.399999999999864</v>
      </c>
    </row>
    <row r="6" spans="1:10" x14ac:dyDescent="0.35">
      <c r="A6" s="42" t="s">
        <v>34</v>
      </c>
      <c r="B6" s="368">
        <f>SUM(B5:E5)</f>
        <v>333</v>
      </c>
      <c r="C6" s="368"/>
      <c r="D6" s="368"/>
      <c r="E6" s="368"/>
      <c r="G6" s="133">
        <f>1-B6/B7</f>
        <v>3.4222737819033622E-2</v>
      </c>
    </row>
    <row r="7" spans="1:10" x14ac:dyDescent="0.35">
      <c r="A7" s="42" t="s">
        <v>35</v>
      </c>
      <c r="B7" s="368">
        <f>'1850'!F29-'1850'!E29</f>
        <v>344.80000000000291</v>
      </c>
      <c r="C7" s="368"/>
      <c r="D7" s="368"/>
      <c r="E7" s="368"/>
    </row>
    <row r="8" spans="1:10" ht="18" x14ac:dyDescent="0.4">
      <c r="A8" s="125" t="s">
        <v>36</v>
      </c>
      <c r="B8" s="128"/>
      <c r="C8" s="126"/>
      <c r="D8" s="126"/>
      <c r="E8" s="127"/>
    </row>
    <row r="9" spans="1:10" x14ac:dyDescent="0.35">
      <c r="A9" s="36" t="s">
        <v>37</v>
      </c>
      <c r="B9" s="36">
        <f>'1850'!F5-'1850'!E5+'1850'!F7-'1850'!E7+'1850'!F9-'1850'!E9+'1850'!F11-'1850'!E11+'1850'!F13-'1850'!E13+'1850'!F15-'1850'!E15+'1850'!F17-'1850'!E17+'1850'!F19-'1850'!E19+'1850'!F21-'1850'!E21+'1850'!F23-'1850'!E23</f>
        <v>29.648999999999987</v>
      </c>
      <c r="C9" s="36">
        <f>'1851'!G5-'1851'!F5+'1851'!G7-'1851'!F7+'1851'!G9-'1851'!F9+'1851'!G11-'1851'!F11+'1851'!G13-'1851'!F13+'1851'!G15-'1851'!F15+'1851'!G17-'1851'!F17+'1851'!G19-'1851'!F19+'1851'!G21-'1851'!F21+'1851'!G23-'1851'!F23</f>
        <v>31.620000000000019</v>
      </c>
      <c r="D9" s="36">
        <f>'1852'!F5-'1852'!E5+'1852'!F7-'1852'!E7+'1852'!F9-'1852'!E9+'1852'!F11-'1852'!E11+'1852'!F13-'1852'!E13+'1852'!F15-'1852'!E15+'1852'!F17-'1852'!E17+'1852'!F19-'1852'!E19+'1852'!F21-'1852'!E21+'1852'!F23-'1852'!E23</f>
        <v>28.867999999999952</v>
      </c>
      <c r="E9" s="36">
        <f>'1853'!F5-'1853'!E5+'1853'!F7-'1853'!E7+'1853'!F9-'1853'!E9+'1853'!F11-'1853'!E11+'1853'!F13-'1853'!E13+'1853'!F15-'1853'!E15+'1853'!F17-'1853'!E17+'1853'!F19-'1853'!E19+'1853'!F21-'1853'!E21+'1853'!F23-'1853'!E23</f>
        <v>28.883000000000024</v>
      </c>
      <c r="G9" s="133">
        <f>1-B9/B10</f>
        <v>1.4000665114732525E-2</v>
      </c>
      <c r="H9" s="133">
        <f>1-C9/C10</f>
        <v>5.6401074306176469E-2</v>
      </c>
      <c r="I9" s="133">
        <f>1-D9/D10</f>
        <v>1.8429105746347263E-2</v>
      </c>
      <c r="J9" s="133">
        <f>1-E9/E10</f>
        <v>2.3233006425430136E-2</v>
      </c>
    </row>
    <row r="10" spans="1:10" x14ac:dyDescent="0.35">
      <c r="A10" s="36" t="s">
        <v>38</v>
      </c>
      <c r="B10" s="43">
        <f>('1850'!F27-'1850'!E27)</f>
        <v>30.069999999999993</v>
      </c>
      <c r="C10" s="43">
        <f>('1851'!G27-'1851'!F27)</f>
        <v>33.509999999999991</v>
      </c>
      <c r="D10" s="43">
        <f>('1852'!F27-'1852'!E27)</f>
        <v>29.410000000000025</v>
      </c>
      <c r="E10" s="43">
        <f>('1853'!F28-'1853'!E28)</f>
        <v>29.569999999999993</v>
      </c>
    </row>
    <row r="11" spans="1:10" ht="18" x14ac:dyDescent="0.4">
      <c r="A11" s="125" t="s">
        <v>44</v>
      </c>
      <c r="B11" s="126"/>
      <c r="C11" s="126"/>
      <c r="D11" s="126"/>
      <c r="E11" s="127"/>
    </row>
    <row r="12" spans="1:10" x14ac:dyDescent="0.35">
      <c r="A12" s="36" t="s">
        <v>40</v>
      </c>
      <c r="B12" s="39">
        <f>'1850'!F25-'1850'!E25</f>
        <v>214</v>
      </c>
      <c r="C12" s="39">
        <f>'1851'!G24-'1851'!F24</f>
        <v>188</v>
      </c>
      <c r="D12" s="39">
        <f>'1852'!F25-'1852'!E25</f>
        <v>179</v>
      </c>
      <c r="E12" s="39">
        <f>'1853'!F24-'1853'!E24</f>
        <v>136</v>
      </c>
    </row>
    <row r="13" spans="1:10" x14ac:dyDescent="0.35">
      <c r="B13" s="40"/>
      <c r="C13" s="40"/>
      <c r="D13" s="40"/>
      <c r="E13" s="40"/>
      <c r="F13" s="40"/>
      <c r="G13" s="40"/>
      <c r="H13" s="40"/>
      <c r="I13" s="40"/>
      <c r="J13" s="40"/>
    </row>
    <row r="14" spans="1:10" x14ac:dyDescent="0.35">
      <c r="A14" s="33" t="s">
        <v>41</v>
      </c>
      <c r="B14" s="40">
        <f>'1853'!F25-'1853'!E25</f>
        <v>283</v>
      </c>
      <c r="C14" s="40"/>
      <c r="D14" s="40"/>
      <c r="E14" s="40"/>
      <c r="F14" s="40"/>
      <c r="G14" s="40"/>
      <c r="H14" s="40"/>
      <c r="I14" s="40"/>
      <c r="J14" s="40"/>
    </row>
    <row r="15" spans="1:10" x14ac:dyDescent="0.35">
      <c r="A15" s="33" t="s">
        <v>42</v>
      </c>
      <c r="B15" s="41">
        <f>'1853'!F26-'1853'!E26</f>
        <v>0</v>
      </c>
      <c r="C15" s="40"/>
      <c r="D15" s="40"/>
      <c r="E15" s="40"/>
      <c r="F15" s="40"/>
      <c r="G15" s="40"/>
      <c r="H15" s="40"/>
      <c r="I15" s="40"/>
      <c r="J15" s="40"/>
    </row>
    <row r="16" spans="1:10" x14ac:dyDescent="0.35">
      <c r="B16" s="40"/>
      <c r="C16" s="40"/>
      <c r="D16" s="40"/>
      <c r="E16" s="40"/>
      <c r="F16" s="40"/>
      <c r="G16" s="40"/>
      <c r="H16" s="40"/>
      <c r="I16" s="40"/>
      <c r="J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'1854'!F4-'1854'!E4+'1854'!F6-'1854'!E6+'1854'!F8-'1854'!E8+'1854'!F10-'1854'!E10+'1854'!F12-'1854'!E12+'1854'!F14-'1854'!E14+'1854'!F16-'1854'!E16+'1854'!F18-'1854'!E18+'1854'!F20-'1854'!E20+'1854'!F22-'1854'!E22</f>
        <v>56.033999999999992</v>
      </c>
      <c r="C19" s="36">
        <f>'1855'!F4-'1855'!E4+'1855'!F6-'1855'!E6+'1855'!F8-'1855'!E8+'1855'!F10-'1855'!E10+'1855'!F12-'1855'!E12+'1855'!F14-'1855'!E14+'1855'!F16-'1855'!E16+'1855'!F18-'1855'!E18+'1855'!F20-'1855'!E20+'1855'!F22-'1855'!E22</f>
        <v>67.43599999999995</v>
      </c>
      <c r="D19" s="36">
        <f>'1856'!F4-'1856'!E4+'1856'!F6-'1856'!E6+'1856'!F8-'1856'!E8+'1856'!F10-'1856'!E10+'1856'!F12-'1856'!E12+'1856'!F14-'1856'!E14+'1856'!F16-'1856'!E16+'1856'!F18-'1856'!E18+'1856'!F20-'1856'!E20+'1856'!F22-'1856'!E22</f>
        <v>51.168000000000049</v>
      </c>
      <c r="E19" s="36">
        <f>'1857'!F4-'1857'!E4+'1857'!F6-'1857'!E6+'1857'!F8-'1857'!E8+'1857'!F10-'1857'!E10+'1857'!F12-'1857'!E12+'1857'!F14-'1857'!E14+'1857'!F16-'1857'!E16+'1857'!F18-'1857'!E18+'1857'!F20-'1857'!E20+'1857'!F22-'1857'!E22</f>
        <v>76.108000000000033</v>
      </c>
      <c r="G19" s="133">
        <f>1-B19/B20</f>
        <v>3.7216494845361714E-2</v>
      </c>
      <c r="H19" s="133">
        <f>1-C19/C20</f>
        <v>6.5983379501383332E-2</v>
      </c>
      <c r="I19" s="133">
        <f>1-D19/D20</f>
        <v>0.18651828298886863</v>
      </c>
      <c r="J19" s="133">
        <f>1-E19/E20</f>
        <v>7.5236938031590817E-2</v>
      </c>
    </row>
    <row r="20" spans="1:10" x14ac:dyDescent="0.35">
      <c r="A20" s="36" t="s">
        <v>33</v>
      </c>
      <c r="B20" s="36">
        <f>'1854'!F26-'1854'!E26</f>
        <v>58.200000000000045</v>
      </c>
      <c r="C20" s="36">
        <f>'1855'!F26-'1855'!E26</f>
        <v>72.199999999999818</v>
      </c>
      <c r="D20" s="36">
        <f>'1856'!F26-'1856'!E26</f>
        <v>62.899999999999864</v>
      </c>
      <c r="E20" s="36">
        <f>'1857'!F26-'1857'!E26</f>
        <v>82.299999999999955</v>
      </c>
    </row>
    <row r="21" spans="1:10" x14ac:dyDescent="0.35">
      <c r="A21" s="36" t="s">
        <v>34</v>
      </c>
      <c r="B21" s="368">
        <f>SUM(B20:E20)</f>
        <v>275.59999999999968</v>
      </c>
      <c r="C21" s="368"/>
      <c r="D21" s="368"/>
      <c r="E21" s="368"/>
      <c r="G21" s="133">
        <f>1-B21/B22</f>
        <v>4.3352601156079196E-3</v>
      </c>
    </row>
    <row r="22" spans="1:10" x14ac:dyDescent="0.35">
      <c r="A22" s="36" t="s">
        <v>35</v>
      </c>
      <c r="B22" s="368">
        <f>'1854'!F29-'1854'!E29</f>
        <v>276.79999999999995</v>
      </c>
      <c r="C22" s="368"/>
      <c r="D22" s="368"/>
      <c r="E22" s="368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'1854'!F5-'1854'!E5+'1854'!F7-'1854'!E7+'1854'!F9-'1854'!E9+'1854'!F11-'1854'!E11+'1854'!F13-'1854'!E13+'1854'!F15-'1854'!E15+'1854'!F17-'1854'!E17+'1854'!F19-'1854'!E19+'1854'!F21-'1854'!E21+'1854'!F23-'1854'!E23</f>
        <v>29.126999999999953</v>
      </c>
      <c r="C24" s="36">
        <f>'1855'!F5-'1855'!E5+'1855'!F7-'1855'!E7+'1855'!F9-'1855'!E9+'1855'!F11-'1855'!E11+'1855'!F13-'1855'!E13+'1855'!F15-'1855'!E15+'1855'!F17-'1855'!E17+'1855'!F19-'1855'!E19+'1855'!F21-'1855'!E21+'1855'!F23-'1855'!E23</f>
        <v>28.854999999999961</v>
      </c>
      <c r="D24" s="36">
        <f>'1856'!F5-'1856'!E5+'1856'!F7-'1856'!E7+'1856'!F9-'1856'!E9+'1856'!F11-'1856'!E11+'1856'!F13-'1856'!E13+'1856'!F15-'1856'!E15+'1856'!F17-'1856'!E17+'1856'!F19-'1856'!E19+'1856'!F21-'1856'!E21+'1856'!F23-'1856'!E23</f>
        <v>26.30599999999999</v>
      </c>
      <c r="E24" s="36">
        <f>'1857'!F5-'1857'!E5+'1857'!F7-'1857'!E7+'1857'!F9-'1857'!E9+'1857'!F11-'1857'!E11+'1857'!F13-'1857'!E13+'1857'!F15-'1857'!E15+'1857'!F17-'1857'!E17+'1857'!F19-'1857'!E19+'1857'!F21-'1857'!E21+'1857'!F23-'1857'!E23</f>
        <v>29.89800000000001</v>
      </c>
      <c r="G24" s="133">
        <f>1-B24/B25</f>
        <v>8.1167192429024926E-2</v>
      </c>
      <c r="H24" s="133">
        <f>1-C24/C25</f>
        <v>8.9172979797982888E-2</v>
      </c>
      <c r="I24" s="133">
        <f>1-D24/D25</f>
        <v>4.2373498361850559E-2</v>
      </c>
      <c r="J24" s="133">
        <f>1-E24/E25</f>
        <v>8.7083969465648559E-2</v>
      </c>
    </row>
    <row r="25" spans="1:10" x14ac:dyDescent="0.35">
      <c r="A25" s="36" t="s">
        <v>38</v>
      </c>
      <c r="B25" s="43">
        <f>('1854'!F27-'1854'!E27)</f>
        <v>31.700000000000045</v>
      </c>
      <c r="C25" s="43">
        <f>('1855'!F27-'1855'!E27)</f>
        <v>31.680000000000064</v>
      </c>
      <c r="D25" s="43">
        <f>('1856'!F27-'1856'!E27)</f>
        <v>27.470000000000027</v>
      </c>
      <c r="E25" s="43">
        <f>('1857'!F27-'1857'!E27)</f>
        <v>32.75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'1854'!F25-'1854'!E25</f>
        <v>313</v>
      </c>
      <c r="C27" s="39">
        <f>'1855'!F25-'1855'!E25</f>
        <v>261</v>
      </c>
      <c r="D27" s="39">
        <f>'1856'!F25-'1856'!E25</f>
        <v>176</v>
      </c>
      <c r="E27" s="39">
        <f>'1857'!F25-'1857'!E25</f>
        <v>195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3:I13 G16:I17">
    <cfRule type="cellIs" dxfId="40" priority="4" stopIfTrue="1" operator="lessThan">
      <formula>0</formula>
    </cfRule>
  </conditionalFormatting>
  <conditionalFormatting sqref="G1:J2 G28:J65536">
    <cfRule type="cellIs" dxfId="39" priority="2" stopIfTrue="1" operator="lessThan">
      <formula>0</formula>
    </cfRule>
  </conditionalFormatting>
  <conditionalFormatting sqref="G13:J17">
    <cfRule type="cellIs" dxfId="38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9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9.81640625" style="33" customWidth="1"/>
    <col min="7" max="10" width="11.453125" style="33" customWidth="1"/>
    <col min="11" max="13" width="6.453125" style="33" customWidth="1"/>
    <col min="14" max="14" width="13.1796875" style="33" customWidth="1"/>
    <col min="15" max="15" width="6.453125" style="33" customWidth="1"/>
    <col min="16" max="16384" width="9" style="33"/>
  </cols>
  <sheetData>
    <row r="1" spans="1:11" ht="18" x14ac:dyDescent="0.4">
      <c r="A1" s="34" t="s">
        <v>45</v>
      </c>
      <c r="B1" s="35">
        <f>'S1'!B1</f>
        <v>2026</v>
      </c>
    </row>
    <row r="3" spans="1:11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1" x14ac:dyDescent="0.35">
      <c r="A4" s="42" t="s">
        <v>32</v>
      </c>
      <c r="B4" s="36">
        <f>'1850'!G4-'1850'!F4+'1850'!G6-'1850'!F6+'1850'!G8-'1850'!F8+'1850'!G10-'1850'!F10+'1850'!G12-'1850'!F12+'1850'!G14-'1850'!F14+'1850'!G16-'1850'!F16+'1850'!G18-'1850'!F18+'1850'!G20-'1850'!F20+'1850'!G22-'1850'!F22</f>
        <v>-1076.4769999999999</v>
      </c>
      <c r="C4" s="36">
        <f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-1203.5419999999997</v>
      </c>
      <c r="D4" s="36">
        <f>'1852'!G4-'1852'!F4+'1852'!G6-'1852'!F6+'1852'!G8-'1852'!F8+'1852'!G10-'1852'!F10+'1852'!G12-'1852'!F12+'1852'!G14-'1852'!F14+'1852'!G16-'1852'!F16+'1852'!G18-'1852'!F18+'1852'!G20-'1852'!F20+'1852'!G22-'1852'!F22</f>
        <v>-1089.8779999999999</v>
      </c>
      <c r="E4" s="36">
        <f>'1853'!G4-'1853'!F4+'1853'!G6-'1853'!F6+'1853'!G8-'1853'!F8+'1853'!G10-'1853'!F10+'1853'!G12-'1853'!F12+'1853'!G14-'1853'!F14+'1853'!G16-'1853'!F16+'1853'!G18-'1853'!F18+'1853'!G20-'1853'!F20+'1853'!G22-'1853'!F22+'1853'!G26-'1853'!F26</f>
        <v>-1840.7800000000002</v>
      </c>
      <c r="G4" s="133">
        <f>1-B4/B5</f>
        <v>8.4083212796732809E-2</v>
      </c>
      <c r="H4" s="133">
        <f>1-C4/C5</f>
        <v>8.4550087472427427E-2</v>
      </c>
      <c r="I4" s="293">
        <f>1-D4/D5</f>
        <v>0.11550235351404003</v>
      </c>
      <c r="J4" s="133">
        <f>1-E4/E5</f>
        <v>-0.33380189841315877</v>
      </c>
    </row>
    <row r="5" spans="1:11" x14ac:dyDescent="0.35">
      <c r="A5" s="42" t="s">
        <v>33</v>
      </c>
      <c r="B5" s="36">
        <f>'1850'!G26-'1850'!F26</f>
        <v>-1175.3</v>
      </c>
      <c r="C5" s="36">
        <f>'1851'!H26-'1851'!G26</f>
        <v>-1314.7</v>
      </c>
      <c r="D5" s="36">
        <f>'1852'!G26-'1852'!F26</f>
        <v>-1232.2</v>
      </c>
      <c r="E5" s="36">
        <f>'1853'!G27-'1853'!F27</f>
        <v>-1380.1</v>
      </c>
    </row>
    <row r="6" spans="1:11" x14ac:dyDescent="0.35">
      <c r="A6" s="42" t="s">
        <v>34</v>
      </c>
      <c r="B6" s="368">
        <f>SUM(B5:E5)</f>
        <v>-5102.2999999999993</v>
      </c>
      <c r="C6" s="368"/>
      <c r="D6" s="368"/>
      <c r="E6" s="368"/>
      <c r="G6" s="133">
        <f>1-B6/B7</f>
        <v>0.92291864633643383</v>
      </c>
    </row>
    <row r="7" spans="1:11" x14ac:dyDescent="0.35">
      <c r="A7" s="42" t="s">
        <v>35</v>
      </c>
      <c r="B7" s="368">
        <f>'1850'!G29-'1850'!F29</f>
        <v>-66193.7</v>
      </c>
      <c r="C7" s="368"/>
      <c r="D7" s="368"/>
      <c r="E7" s="368"/>
    </row>
    <row r="8" spans="1:11" ht="18" x14ac:dyDescent="0.4">
      <c r="A8" s="125" t="s">
        <v>36</v>
      </c>
      <c r="B8" s="128"/>
      <c r="C8" s="126"/>
      <c r="D8" s="126"/>
      <c r="E8" s="127"/>
    </row>
    <row r="9" spans="1:11" x14ac:dyDescent="0.35">
      <c r="A9" s="36" t="s">
        <v>37</v>
      </c>
      <c r="B9" s="36">
        <f>'1850'!G5-'1850'!F5+'1850'!G7-'1850'!F7+'1850'!G9-'1850'!F9+'1850'!G11-'1850'!F11+'1850'!G13-'1850'!F13+'1850'!G15-'1850'!F15+'1850'!G17-'1850'!F17+'1850'!G19-'1850'!F19+'1850'!G21-'1850'!F21+'1850'!G23-'1850'!F23</f>
        <v>-827.19800000000009</v>
      </c>
      <c r="C9" s="36">
        <f>'1851'!H5-'1851'!G5+'1851'!H7-'1851'!G7+'1851'!H9-'1851'!G9+'1851'!H11-'1851'!G11+'1851'!H13-'1851'!G13+'1851'!H15-'1851'!G15+'1851'!H17-'1851'!G17+'1851'!H19-'1851'!G19+'1851'!H21-'1851'!G21+'1851'!H23-'1851'!G23</f>
        <v>-1028.875</v>
      </c>
      <c r="D9" s="36">
        <f>'1852'!G5-'1852'!F5+'1852'!G7-'1852'!F7+'1852'!G9-'1852'!F9+'1852'!G11-'1852'!F11+'1852'!G13-'1852'!F13+'1852'!G15-'1852'!F15+'1852'!G17-'1852'!F17+'1852'!G19-'1852'!F19+'1852'!G21-'1852'!F21+'1852'!G23-'1852'!F23</f>
        <v>-954.31799999999998</v>
      </c>
      <c r="E9" s="36">
        <f>'1853'!G5-'1853'!F5+'1853'!G7-'1853'!F7+'1853'!G9-'1853'!F9+'1853'!G11-'1853'!F11+'1853'!G13-'1853'!F13+'1853'!G15-'1853'!F15+'1853'!G17-'1853'!F17+'1853'!G19-'1853'!F19+'1853'!G21-'1853'!F21+'1853'!G23-'1853'!F23</f>
        <v>-814.75200000000007</v>
      </c>
      <c r="G9" s="133">
        <f>1-B9/B10</f>
        <v>-0.732315553600972</v>
      </c>
      <c r="H9" s="133">
        <f>1-C9/C10</f>
        <v>-0.56876572386978719</v>
      </c>
      <c r="I9" s="133">
        <f>1-D9/D10</f>
        <v>-0.79023017614947366</v>
      </c>
      <c r="J9" s="133">
        <f>1-E9/E10</f>
        <v>-0.64642929313341146</v>
      </c>
    </row>
    <row r="10" spans="1:11" x14ac:dyDescent="0.35">
      <c r="A10" s="36" t="s">
        <v>38</v>
      </c>
      <c r="B10" s="43">
        <f>('1850'!G27-'1850'!F27)</f>
        <v>-477.51</v>
      </c>
      <c r="C10" s="43">
        <f>('1851'!H27-'1851'!G27)</f>
        <v>-655.85</v>
      </c>
      <c r="D10" s="43">
        <f>('1852'!G27-'1852'!F27)</f>
        <v>-533.07000000000005</v>
      </c>
      <c r="E10" s="43">
        <f>('1853'!G28-'1853'!F28)</f>
        <v>-494.86</v>
      </c>
    </row>
    <row r="11" spans="1:11" ht="18" x14ac:dyDescent="0.4">
      <c r="A11" s="125" t="s">
        <v>44</v>
      </c>
      <c r="B11" s="126"/>
      <c r="C11" s="126"/>
      <c r="D11" s="126"/>
      <c r="E11" s="127"/>
    </row>
    <row r="12" spans="1:11" x14ac:dyDescent="0.35">
      <c r="A12" s="36" t="s">
        <v>40</v>
      </c>
      <c r="B12" s="39">
        <f>'1850'!G25-'1850'!F25</f>
        <v>-9949</v>
      </c>
      <c r="C12" s="39">
        <f>'1851'!H24-'1851'!G24</f>
        <v>-17374</v>
      </c>
      <c r="D12" s="39">
        <f>'1852'!G25-'1852'!F25</f>
        <v>-14977</v>
      </c>
      <c r="E12" s="39">
        <f>'1853'!G24-'1853'!F24</f>
        <v>-13234</v>
      </c>
    </row>
    <row r="13" spans="1:11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</row>
    <row r="14" spans="1:11" x14ac:dyDescent="0.35">
      <c r="A14" s="33" t="s">
        <v>41</v>
      </c>
      <c r="B14" s="40">
        <f>'1853'!G25-'1853'!F25</f>
        <v>-22221</v>
      </c>
      <c r="C14" s="40"/>
      <c r="D14" s="40"/>
      <c r="E14" s="40"/>
      <c r="F14" s="40"/>
      <c r="G14" s="40"/>
      <c r="H14" s="40"/>
      <c r="I14" s="40"/>
      <c r="J14" s="40"/>
    </row>
    <row r="15" spans="1:11" x14ac:dyDescent="0.35">
      <c r="A15" s="33" t="s">
        <v>42</v>
      </c>
      <c r="B15" s="41">
        <f>'1853'!G26-'1853'!F26</f>
        <v>-746.37099999999998</v>
      </c>
      <c r="C15" s="40"/>
      <c r="D15" s="40"/>
      <c r="E15" s="40"/>
      <c r="F15" s="40"/>
      <c r="G15" s="40"/>
      <c r="H15" s="40"/>
      <c r="I15" s="40"/>
      <c r="J15" s="40"/>
    </row>
    <row r="16" spans="1:11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'1854'!G4-'1854'!F4+'1854'!G6-'1854'!F6+'1854'!G8-'1854'!F8+'1854'!G10-'1854'!F10+'1854'!G12-'1854'!F12+'1854'!G14-'1854'!F14+'1854'!G16-'1854'!F16+'1854'!G18-'1854'!F18+'1854'!G20-'1854'!F20+'1854'!G22-'1854'!F22</f>
        <v>-832.34199999999998</v>
      </c>
      <c r="C19" s="36">
        <f>'1855'!G4-'1855'!F4+'1855'!G6-'1855'!F6+'1855'!G8-'1855'!F8+'1855'!G10-'1855'!F10+'1855'!G12-'1855'!F12+'1855'!G14-'1855'!F14+'1855'!G16-'1855'!F16+'1855'!G18-'1855'!F18+'1855'!G20-'1855'!F20+'1855'!G22-'1855'!F22</f>
        <v>-1066.4250000000002</v>
      </c>
      <c r="D19" s="36">
        <f>'1856'!G4-'1856'!F4+'1856'!G6-'1856'!F6+'1856'!G8-'1856'!F8+'1856'!G10-'1856'!F10+'1856'!G12-'1856'!F12+'1856'!G14-'1856'!F14+'1856'!G16-'1856'!F16+'1856'!G18-'1856'!F18+'1856'!G20-'1856'!F20+'1856'!G22-'1856'!F22</f>
        <v>-943.52599999999995</v>
      </c>
      <c r="E19" s="36">
        <f>'1857'!G4-'1857'!F4+'1857'!G6-'1857'!F6+'1857'!G8-'1857'!F8+'1857'!G10-'1857'!F10+'1857'!G12-'1857'!F12+'1857'!G14-'1857'!F14+'1857'!G16-'1857'!F16+'1857'!G18-'1857'!F18+'1857'!G20-'1857'!F20+'1857'!G22-'1857'!F22</f>
        <v>-1115.932</v>
      </c>
      <c r="G19" s="133">
        <f>1-B19/B20</f>
        <v>8.1401611301180954E-2</v>
      </c>
      <c r="H19" s="133">
        <f>1-C19/C20</f>
        <v>5.801165974737188E-2</v>
      </c>
      <c r="I19" s="133">
        <f>1-D19/D20</f>
        <v>0.10106135670731708</v>
      </c>
      <c r="J19" s="133">
        <f>1-E19/E20</f>
        <v>9.384328055217217E-2</v>
      </c>
    </row>
    <row r="20" spans="1:10" x14ac:dyDescent="0.35">
      <c r="A20" s="36" t="s">
        <v>33</v>
      </c>
      <c r="B20" s="36">
        <f>'1854'!G26-'1854'!F26</f>
        <v>-906.1</v>
      </c>
      <c r="C20" s="36">
        <f>'1855'!G26-'1855'!F26</f>
        <v>-1132.0999999999999</v>
      </c>
      <c r="D20" s="36">
        <f>'1856'!G26-'1856'!F26</f>
        <v>-1049.5999999999999</v>
      </c>
      <c r="E20" s="36">
        <f>'1857'!G26-'1857'!F26</f>
        <v>-1231.5</v>
      </c>
    </row>
    <row r="21" spans="1:10" x14ac:dyDescent="0.35">
      <c r="A21" s="36" t="s">
        <v>34</v>
      </c>
      <c r="B21" s="368">
        <f>SUM(B20:E20)</f>
        <v>-4319.2999999999993</v>
      </c>
      <c r="C21" s="368"/>
      <c r="D21" s="368"/>
      <c r="E21" s="368"/>
      <c r="G21" s="133">
        <f>1-B21/B22</f>
        <v>-4.3036591355599203</v>
      </c>
    </row>
    <row r="22" spans="1:10" x14ac:dyDescent="0.35">
      <c r="A22" s="36" t="s">
        <v>35</v>
      </c>
      <c r="B22" s="368">
        <f>'1854'!G29-'1854'!F29</f>
        <v>-814.4</v>
      </c>
      <c r="C22" s="368"/>
      <c r="D22" s="368"/>
      <c r="E22" s="368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'1854'!G5-'1854'!F5+'1854'!G7-'1854'!F7+'1854'!G9-'1854'!F9+'1854'!G11-'1854'!F11+'1854'!G13-'1854'!F13+'1854'!G15-'1854'!F15+'1854'!G17-'1854'!F17+'1854'!G19-'1854'!F19+'1854'!G21-'1854'!F21+'1854'!G23-'1854'!F23</f>
        <v>-839.87699999999995</v>
      </c>
      <c r="C24" s="36">
        <f>'1855'!G5-'1855'!F5+'1855'!G7-'1855'!F7+'1855'!G9-'1855'!F9+'1855'!G11-'1855'!F11+'1855'!G13-'1855'!F13+'1855'!G15-'1855'!F15+'1855'!G17-'1855'!F17+'1855'!G19-'1855'!F19+'1855'!G21-'1855'!F21+'1855'!G23-'1855'!F23</f>
        <v>-890.56600000000003</v>
      </c>
      <c r="D24" s="36">
        <f>'1856'!G5-'1856'!F5+'1856'!G7-'1856'!F7+'1856'!G9-'1856'!F9+'1856'!G11-'1856'!F11+'1856'!G13-'1856'!F13+'1856'!G15-'1856'!F15+'1856'!G17-'1856'!F17+'1856'!G19-'1856'!F19+'1856'!G21-'1856'!F21+'1856'!G23-'1856'!F23</f>
        <v>-472.65999999999997</v>
      </c>
      <c r="E24" s="36">
        <f>'1857'!G5-'1857'!F5+'1857'!G7-'1857'!F7+'1857'!G9-'1857'!F9+'1857'!G11-'1857'!F11+'1857'!G13-'1857'!F13+'1857'!G15-'1857'!F15+'1857'!G17-'1857'!F17+'1857'!G19-'1857'!F19+'1857'!G21-'1857'!F21+'1857'!G23-'1857'!F23</f>
        <v>-867.38100000000009</v>
      </c>
      <c r="G24" s="133">
        <f>1-B24/B25</f>
        <v>0.27315471090687238</v>
      </c>
      <c r="H24" s="133">
        <f>1-C24/C25</f>
        <v>0.30465274253367169</v>
      </c>
      <c r="I24" s="133">
        <f>1-D24/D25</f>
        <v>0.57150886608405549</v>
      </c>
      <c r="J24" s="133">
        <f>1-E24/E25</f>
        <v>0.27365366740078878</v>
      </c>
    </row>
    <row r="25" spans="1:10" x14ac:dyDescent="0.35">
      <c r="A25" s="36" t="s">
        <v>38</v>
      </c>
      <c r="B25" s="43">
        <f>('1854'!G27-'1854'!F27)</f>
        <v>-1155.51</v>
      </c>
      <c r="C25" s="43">
        <f>('1855'!G27-'1855'!F27)</f>
        <v>-1280.75</v>
      </c>
      <c r="D25" s="43">
        <f>('1856'!G27-'1856'!F27)</f>
        <v>-1103.08</v>
      </c>
      <c r="E25" s="43">
        <f>('1857'!G27-'1857'!F27)</f>
        <v>-1194.17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'1854'!G25-'1854'!F25</f>
        <v>-5050</v>
      </c>
      <c r="C27" s="39">
        <f>'1855'!G25-'1855'!F25</f>
        <v>-6847</v>
      </c>
      <c r="D27" s="39">
        <f>'1856'!G25-'1856'!F25</f>
        <v>-4262</v>
      </c>
      <c r="E27" s="39">
        <f>'1857'!G25-'1857'!F25</f>
        <v>-40599</v>
      </c>
    </row>
    <row r="28" spans="1:10" x14ac:dyDescent="0.35">
      <c r="H28" s="33">
        <f>60*24</f>
        <v>1440</v>
      </c>
    </row>
    <row r="29" spans="1:10" x14ac:dyDescent="0.35">
      <c r="H29" s="33">
        <f>11*58</f>
        <v>638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37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5" width="11.453125" style="33" customWidth="1"/>
    <col min="6" max="6" width="6.81640625" style="33" customWidth="1"/>
    <col min="7" max="10" width="11.453125" style="33" customWidth="1"/>
    <col min="11" max="11" width="9.81640625" style="33" customWidth="1"/>
    <col min="12" max="15" width="9.7265625" style="33" customWidth="1"/>
    <col min="16" max="16" width="6.453125" style="33" customWidth="1"/>
    <col min="17" max="16384" width="9" style="33"/>
  </cols>
  <sheetData>
    <row r="1" spans="1:15" ht="18" x14ac:dyDescent="0.4">
      <c r="A1" s="34" t="s">
        <v>46</v>
      </c>
      <c r="B1" s="35">
        <f>'S1'!B1</f>
        <v>2026</v>
      </c>
    </row>
    <row r="2" spans="1:15" x14ac:dyDescent="0.35">
      <c r="L2" s="259" t="s">
        <v>216</v>
      </c>
    </row>
    <row r="3" spans="1:15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5" x14ac:dyDescent="0.35">
      <c r="A4" s="42" t="s">
        <v>32</v>
      </c>
      <c r="B4" s="36">
        <f>'1850'!H4-'1850'!G4+'1850'!H6-'1850'!G6+'1850'!H8-'1850'!G8+'1850'!H10-'1850'!G10+'1850'!H12-'1850'!G12+'1850'!H14-'1850'!G14+'1850'!H16-'1850'!G16+'1850'!H18-'1850'!G18+'1850'!H20-'1850'!G20+'1850'!H22-'1850'!G22</f>
        <v>0</v>
      </c>
      <c r="C4" s="36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0</v>
      </c>
      <c r="D4" s="36">
        <f>'1852'!H4-'1852'!G4+'1852'!H6-'1852'!G6+'1852'!H8-'1852'!G8+'1852'!H10-'1852'!G10+'1852'!H12-'1852'!G12+'1852'!H14-'1852'!G14+'1852'!H16-'1852'!G16+'1852'!H18-'1852'!G18+'1852'!H20-'1852'!G20+'1852'!H22-'1852'!G22</f>
        <v>0</v>
      </c>
      <c r="E4" s="36">
        <f>'1853'!H4-'1853'!G4+'1853'!H6-'1853'!G6+'1853'!H8-'1853'!G8+'1853'!H10-'1853'!G10+'1853'!H12-'1853'!G12+'1853'!H14-'1853'!G14+'1853'!H16-'1853'!G16+'1853'!H18-'1853'!G18+'1853'!H20-'1853'!G20+'1853'!H22-'1853'!G22+'1853'!H26-'1853'!G26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  <c r="L4" s="260">
        <v>0.12156089193824882</v>
      </c>
      <c r="M4" s="260">
        <v>6.317685589520039E-2</v>
      </c>
      <c r="N4" s="260">
        <v>8.7252873563218536E-2</v>
      </c>
      <c r="O4" s="260">
        <v>9.6567567567567014E-2</v>
      </c>
    </row>
    <row r="5" spans="1:15" x14ac:dyDescent="0.35">
      <c r="A5" s="42" t="s">
        <v>33</v>
      </c>
      <c r="B5" s="36">
        <f>'1850'!H26-'1850'!G26</f>
        <v>0</v>
      </c>
      <c r="C5" s="36">
        <f>'1851'!I26-'1851'!H26</f>
        <v>0</v>
      </c>
      <c r="D5" s="36">
        <f>'1852'!H26-'1852'!G26</f>
        <v>0</v>
      </c>
      <c r="E5" s="36">
        <f>'1853'!H27-'1853'!G27</f>
        <v>0</v>
      </c>
      <c r="L5" s="259"/>
      <c r="M5" s="259"/>
      <c r="N5" s="259"/>
      <c r="O5" s="259"/>
    </row>
    <row r="6" spans="1:15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  <c r="L6" s="260">
        <v>4.2795566502460636E-2</v>
      </c>
      <c r="M6" s="259"/>
      <c r="N6" s="259"/>
      <c r="O6" s="259"/>
    </row>
    <row r="7" spans="1:15" x14ac:dyDescent="0.35">
      <c r="A7" s="42" t="s">
        <v>35</v>
      </c>
      <c r="B7" s="368">
        <f>'1850'!H29-'1850'!G29</f>
        <v>0</v>
      </c>
      <c r="C7" s="368"/>
      <c r="D7" s="368"/>
      <c r="E7" s="368"/>
      <c r="L7" s="259"/>
      <c r="M7" s="259"/>
      <c r="N7" s="259"/>
      <c r="O7" s="259"/>
    </row>
    <row r="8" spans="1:15" ht="18" x14ac:dyDescent="0.4">
      <c r="A8" s="125" t="s">
        <v>36</v>
      </c>
      <c r="B8" s="128"/>
      <c r="C8" s="126"/>
      <c r="D8" s="126"/>
      <c r="E8" s="127"/>
      <c r="L8" s="259"/>
      <c r="M8" s="259"/>
      <c r="N8" s="259"/>
      <c r="O8" s="259"/>
    </row>
    <row r="9" spans="1:15" x14ac:dyDescent="0.35">
      <c r="A9" s="36" t="s">
        <v>37</v>
      </c>
      <c r="B9" s="36">
        <f>'1850'!H5-'1850'!G5+'1850'!H7-'1850'!G7+'1850'!H9-'1850'!G9+'1850'!H11-'1850'!G11+'1850'!H13-'1850'!G13+'1850'!H15-'1850'!G15+'1850'!H17-'1850'!G17+'1850'!H19-'1850'!G19+'1850'!H21-'1850'!G21+'1850'!H23-'1850'!G23</f>
        <v>0</v>
      </c>
      <c r="C9" s="36">
        <f>'1851'!I5-'1851'!H5+'1851'!I7-'1851'!H7+'1851'!I9-'1851'!H9+'1851'!I11-'1851'!H11+'1851'!I13-'1851'!H13+'1851'!I15-'1851'!H15+'1851'!I17-'1851'!H17+'1851'!I19-'1851'!H19+'1851'!I21-'1851'!H21+'1851'!I23-'1851'!H23</f>
        <v>0</v>
      </c>
      <c r="D9" s="36">
        <f>'1852'!H5-'1852'!G5+'1852'!H7-'1852'!G7+'1852'!H9-'1852'!G9+'1852'!H11-'1852'!G11+'1852'!H13-'1852'!G13+'1852'!H15-'1852'!G15+'1852'!H17-'1852'!G17+'1852'!H19-'1852'!G19+'1852'!H21-'1852'!G21+'1852'!H23-'1852'!G23</f>
        <v>0</v>
      </c>
      <c r="E9" s="36">
        <f>'1853'!H5-'1853'!G5+'1853'!H7-'1853'!G7+'1853'!H9-'1853'!G9+'1853'!H11-'1853'!G11+'1853'!H13-'1853'!G13+'1853'!H15-'1853'!G15+'1853'!H17-'1853'!G17+'1853'!H19-'1853'!G19+'1853'!H21-'1853'!G21+'1853'!H23-'1853'!G23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  <c r="L9" s="260">
        <v>5.2057094878253163E-2</v>
      </c>
      <c r="M9" s="260">
        <v>0.12181409295351819</v>
      </c>
      <c r="N9" s="260">
        <v>1.9920318725095143E-2</v>
      </c>
      <c r="O9" s="260">
        <v>3.7235627047957576E-2</v>
      </c>
    </row>
    <row r="10" spans="1:15" x14ac:dyDescent="0.35">
      <c r="A10" s="36" t="s">
        <v>38</v>
      </c>
      <c r="B10" s="43">
        <f>('1850'!H27-'1850'!G27)</f>
        <v>0</v>
      </c>
      <c r="C10" s="43">
        <f>('1851'!I27-'1851'!H27)</f>
        <v>0</v>
      </c>
      <c r="D10" s="43">
        <f>('1852'!H27-'1852'!G27)</f>
        <v>0</v>
      </c>
      <c r="E10" s="43">
        <f>('1853'!H28-'1853'!G28)</f>
        <v>0</v>
      </c>
      <c r="L10" s="259"/>
      <c r="M10" s="259"/>
      <c r="N10" s="259"/>
      <c r="O10" s="259"/>
    </row>
    <row r="11" spans="1:15" ht="18" x14ac:dyDescent="0.4">
      <c r="A11" s="125" t="s">
        <v>44</v>
      </c>
      <c r="B11" s="126"/>
      <c r="C11" s="126"/>
      <c r="D11" s="126"/>
      <c r="E11" s="127"/>
      <c r="L11" s="259"/>
      <c r="M11" s="259"/>
      <c r="N11" s="259"/>
      <c r="O11" s="259"/>
    </row>
    <row r="12" spans="1:15" x14ac:dyDescent="0.35">
      <c r="A12" s="36" t="s">
        <v>40</v>
      </c>
      <c r="B12" s="39">
        <f>'1850'!H25-'1850'!G25</f>
        <v>0</v>
      </c>
      <c r="C12" s="39">
        <f>'1851'!I24-'1851'!H24</f>
        <v>0</v>
      </c>
      <c r="D12" s="39">
        <f>'1852'!H25-'1852'!G25</f>
        <v>0</v>
      </c>
      <c r="E12" s="39">
        <f>'1853'!H24-'1853'!G24</f>
        <v>0</v>
      </c>
      <c r="L12" s="259"/>
      <c r="M12" s="259"/>
      <c r="N12" s="259"/>
      <c r="O12" s="259"/>
    </row>
    <row r="13" spans="1:15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261"/>
      <c r="M13" s="261"/>
      <c r="N13" s="261"/>
      <c r="O13" s="261"/>
    </row>
    <row r="14" spans="1:15" x14ac:dyDescent="0.35">
      <c r="A14" s="33" t="s">
        <v>41</v>
      </c>
      <c r="B14" s="40">
        <f>'1853'!H25-'1853'!G25</f>
        <v>0</v>
      </c>
      <c r="C14" s="40"/>
      <c r="D14" s="40"/>
      <c r="E14" s="40"/>
      <c r="F14" s="40"/>
      <c r="G14" s="40"/>
      <c r="H14" s="40"/>
      <c r="I14" s="40"/>
      <c r="J14" s="40"/>
      <c r="L14" s="261"/>
      <c r="M14" s="261"/>
      <c r="N14" s="261"/>
      <c r="O14" s="261"/>
    </row>
    <row r="15" spans="1:15" x14ac:dyDescent="0.35">
      <c r="A15" s="33" t="s">
        <v>42</v>
      </c>
      <c r="B15" s="41">
        <f>'1853'!H26-'1853'!G26</f>
        <v>0</v>
      </c>
      <c r="C15" s="40"/>
      <c r="D15" s="40"/>
      <c r="E15" s="40"/>
      <c r="F15" s="40"/>
      <c r="G15" s="40"/>
      <c r="H15" s="40"/>
      <c r="I15" s="40"/>
      <c r="J15" s="40"/>
      <c r="K15" s="40"/>
      <c r="L15" s="261"/>
      <c r="M15" s="261"/>
      <c r="N15" s="261"/>
      <c r="O15" s="261"/>
    </row>
    <row r="16" spans="1:15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261"/>
      <c r="M16" s="261"/>
      <c r="N16" s="261"/>
      <c r="O16" s="261"/>
    </row>
    <row r="17" spans="1:15" x14ac:dyDescent="0.35">
      <c r="L17" s="259"/>
      <c r="M17" s="259"/>
      <c r="N17" s="259"/>
      <c r="O17" s="259"/>
    </row>
    <row r="18" spans="1:15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L18" s="259"/>
      <c r="M18" s="259"/>
      <c r="N18" s="259"/>
      <c r="O18" s="259"/>
    </row>
    <row r="19" spans="1:15" x14ac:dyDescent="0.35">
      <c r="A19" s="36" t="s">
        <v>32</v>
      </c>
      <c r="B19" s="36">
        <f>'1854'!H4-'1854'!G4+'1854'!H6-'1854'!G6+'1854'!H8-'1854'!G8+'1854'!H10-'1854'!G10+'1854'!H12-'1854'!G12+'1854'!H14-'1854'!G14+'1854'!H16-'1854'!G16+'1854'!H18-'1854'!G18+'1854'!H20-'1854'!G20+'1854'!H22-'1854'!G22</f>
        <v>0</v>
      </c>
      <c r="C19" s="36">
        <f>'1855'!H4-'1855'!G4+'1855'!H6-'1855'!G6+'1855'!H8-'1855'!G8+'1855'!H10-'1855'!G10+'1855'!H12-'1855'!G12+'1855'!H14-'1855'!G14+'1855'!H16-'1855'!G16+'1855'!H18-'1855'!G18+'1855'!H20-'1855'!G20+'1855'!H22-'1855'!G22</f>
        <v>0</v>
      </c>
      <c r="D19" s="36">
        <f>'1856'!H4-'1856'!G4+'1856'!H6-'1856'!G6+'1856'!H8-'1856'!G8+'1856'!H10-'1856'!G10+'1856'!H12-'1856'!G12+'1856'!H14-'1856'!G14+'1856'!H16-'1856'!G16+'1856'!H18-'1856'!G18+'1856'!H20-'1856'!G20+'1856'!H22-'1856'!G22</f>
        <v>0</v>
      </c>
      <c r="E19" s="36">
        <f>'1857'!H4-'1857'!G4+'1857'!H6-'1857'!G6+'1857'!H8-'1857'!G8+'1857'!H10-'1857'!G10+'1857'!H12-'1857'!G12+'1857'!H14-'1857'!G14+'1857'!H16-'1857'!G16+'1857'!H18-'1857'!G18+'1857'!H20-'1857'!G20+'1857'!H22-'1857'!G22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  <c r="L19" s="260">
        <v>9.4204152249139472E-2</v>
      </c>
      <c r="M19" s="260">
        <v>0.12833558863329009</v>
      </c>
      <c r="N19" s="260">
        <v>9.7749683944373222E-2</v>
      </c>
      <c r="O19" s="260">
        <v>0.10306849315068489</v>
      </c>
    </row>
    <row r="20" spans="1:15" x14ac:dyDescent="0.35">
      <c r="A20" s="36" t="s">
        <v>33</v>
      </c>
      <c r="B20" s="36">
        <f>'1854'!H26-'1854'!G26</f>
        <v>0</v>
      </c>
      <c r="C20" s="36">
        <f>'1855'!H26-'1855'!G26</f>
        <v>0</v>
      </c>
      <c r="D20" s="36">
        <f>'1856'!H26-'1856'!G26</f>
        <v>0</v>
      </c>
      <c r="E20" s="36">
        <f>'1857'!H26-'1857'!G26</f>
        <v>0</v>
      </c>
      <c r="L20" s="259"/>
      <c r="M20" s="259"/>
      <c r="N20" s="259"/>
      <c r="O20" s="259"/>
    </row>
    <row r="21" spans="1:15" x14ac:dyDescent="0.35">
      <c r="A21" s="36" t="s">
        <v>34</v>
      </c>
      <c r="B21" s="368">
        <f>SUM(B20:E20)</f>
        <v>0</v>
      </c>
      <c r="C21" s="368"/>
      <c r="D21" s="368"/>
      <c r="E21" s="368"/>
      <c r="G21" s="133" t="e">
        <f>1-B21/B22</f>
        <v>#DIV/0!</v>
      </c>
      <c r="L21" s="260">
        <v>-4.7619047619042565E-2</v>
      </c>
      <c r="M21" s="259"/>
      <c r="N21" s="259"/>
      <c r="O21" s="259"/>
    </row>
    <row r="22" spans="1:15" x14ac:dyDescent="0.35">
      <c r="A22" s="36" t="s">
        <v>35</v>
      </c>
      <c r="B22" s="368">
        <f>'1854'!H29-'1854'!G29</f>
        <v>0</v>
      </c>
      <c r="C22" s="368"/>
      <c r="D22" s="368"/>
      <c r="E22" s="368"/>
      <c r="L22" s="259"/>
      <c r="M22" s="259"/>
      <c r="N22" s="259"/>
      <c r="O22" s="259"/>
    </row>
    <row r="23" spans="1:15" ht="18" x14ac:dyDescent="0.4">
      <c r="A23" s="125" t="s">
        <v>36</v>
      </c>
      <c r="B23" s="126"/>
      <c r="C23" s="126"/>
      <c r="D23" s="126"/>
      <c r="E23" s="127"/>
      <c r="L23" s="259"/>
      <c r="M23" s="259"/>
      <c r="N23" s="259"/>
      <c r="O23" s="259"/>
    </row>
    <row r="24" spans="1:15" x14ac:dyDescent="0.35">
      <c r="A24" s="36" t="s">
        <v>37</v>
      </c>
      <c r="B24" s="36">
        <f>'1854'!H5-'1854'!G5+'1854'!H7-'1854'!G7+'1854'!H9-'1854'!G9+'1854'!H11-'1854'!G11+'1854'!H13-'1854'!G13+'1854'!H15-'1854'!G15+'1854'!H17-'1854'!G17+'1854'!H19-'1854'!G19+'1854'!H21-'1854'!G21+'1854'!H23-'1854'!G23</f>
        <v>0</v>
      </c>
      <c r="C24" s="36">
        <f>'1855'!H5-'1855'!G5+'1855'!H7-'1855'!G7+'1855'!H9-'1855'!G9+'1855'!H11-'1855'!G11+'1855'!H13-'1855'!G13+'1855'!H15-'1855'!G15+'1855'!H17-'1855'!G17+'1855'!H19-'1855'!G19+'1855'!H21-'1855'!G21+'1855'!H23-'1855'!G23</f>
        <v>0</v>
      </c>
      <c r="D24" s="36">
        <f>'1856'!H5-'1856'!G5+'1856'!H7-'1856'!G7+'1856'!H9-'1856'!G9+'1856'!H11-'1856'!G11+'1856'!H13-'1856'!G13+'1856'!H15-'1856'!G15+'1856'!H17-'1856'!G17+'1856'!H19-'1856'!G19+'1856'!H21-'1856'!G21+'1856'!H23-'1856'!G23</f>
        <v>0</v>
      </c>
      <c r="E24" s="36">
        <f>'1857'!H5-'1857'!G5+'1857'!H7-'1857'!G7+'1857'!H9-'1857'!G9+'1857'!H11-'1857'!G11+'1857'!H13-'1857'!G13+'1857'!H15-'1857'!G15+'1857'!H17-'1857'!G17+'1857'!H19-'1857'!G19+'1857'!H21-'1857'!G21+'1857'!H23-'1857'!G23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  <c r="L24" s="260">
        <v>4.3912529550825363E-2</v>
      </c>
      <c r="M24" s="260">
        <v>9.7775242441528909E-2</v>
      </c>
      <c r="N24" s="260">
        <v>2.7994428969354668E-2</v>
      </c>
      <c r="O24" s="260">
        <v>7.4728588661038708E-2</v>
      </c>
    </row>
    <row r="25" spans="1:15" x14ac:dyDescent="0.35">
      <c r="A25" s="36" t="s">
        <v>38</v>
      </c>
      <c r="B25" s="43">
        <f>('1854'!H27-'1854'!G27)</f>
        <v>0</v>
      </c>
      <c r="C25" s="43">
        <f>('1855'!H27-'1855'!G27)</f>
        <v>0</v>
      </c>
      <c r="D25" s="43">
        <f>('1856'!H27-'1856'!G27)</f>
        <v>0</v>
      </c>
      <c r="E25" s="43">
        <f>('1857'!H27-'1857'!G27)</f>
        <v>0</v>
      </c>
    </row>
    <row r="26" spans="1:15" ht="18" x14ac:dyDescent="0.4">
      <c r="A26" s="125" t="s">
        <v>44</v>
      </c>
      <c r="B26" s="126"/>
      <c r="C26" s="126"/>
      <c r="D26" s="126"/>
      <c r="E26" s="127"/>
    </row>
    <row r="27" spans="1:15" x14ac:dyDescent="0.35">
      <c r="A27" s="36" t="s">
        <v>40</v>
      </c>
      <c r="B27" s="39">
        <f>'1854'!H25-'1854'!G25</f>
        <v>0</v>
      </c>
      <c r="C27" s="39">
        <f>'1855'!H25-'1855'!G25</f>
        <v>0</v>
      </c>
      <c r="D27" s="39">
        <f>'1856'!H25-'1856'!G25</f>
        <v>0</v>
      </c>
      <c r="E27" s="39">
        <f>'1857'!H25-'1857'!G25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13 C16:E20 C23:E65536">
    <cfRule type="cellIs" dxfId="36" priority="4" stopIfTrue="1" operator="lessThan">
      <formula>0</formula>
    </cfRule>
  </conditionalFormatting>
  <conditionalFormatting sqref="G1:J2 I13:J13 G13:J17 I16:J17 G28:J65536">
    <cfRule type="cellIs" dxfId="35" priority="2" stopIfTrue="1" operator="lessThan">
      <formula>0</formula>
    </cfRule>
  </conditionalFormatting>
  <conditionalFormatting sqref="L13:O17">
    <cfRule type="cellIs" dxfId="3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10" width="11.453125" style="33" customWidth="1"/>
    <col min="11" max="17" width="9.81640625" style="33" customWidth="1"/>
    <col min="18" max="21" width="6.453125" style="33" customWidth="1"/>
    <col min="22" max="16384" width="9" style="33"/>
  </cols>
  <sheetData>
    <row r="1" spans="1:17" ht="18" x14ac:dyDescent="0.4">
      <c r="A1" s="34" t="s">
        <v>47</v>
      </c>
      <c r="B1" s="35">
        <f>'S1'!B1</f>
        <v>2026</v>
      </c>
    </row>
    <row r="3" spans="1:17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17" x14ac:dyDescent="0.35">
      <c r="A4" s="42" t="s">
        <v>32</v>
      </c>
      <c r="B4" s="36">
        <f>'1850'!I4-'1850'!H4+'1850'!I6-'1850'!H6+'1850'!I8-'1850'!H8+'1850'!I10-'1850'!H10+'1850'!I12-'1850'!H12+'1850'!I14-'1850'!H14+'1850'!I16-'1850'!H16+'1850'!I18-'1850'!H18+'1850'!I20-'1850'!H20+'1850'!I22-'1850'!H22</f>
        <v>0</v>
      </c>
      <c r="C4" s="36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0</v>
      </c>
      <c r="D4" s="36">
        <f>'1852'!I4-'1852'!H4+'1852'!I6-'1852'!H6+'1852'!I8-'1852'!H8+'1852'!I10-'1852'!H10+'1852'!I12-'1852'!H12+'1852'!I14-'1852'!H14+'1852'!I16-'1852'!H16+'1852'!I18-'1852'!H18+'1852'!I20-'1852'!H20+'1852'!I22-'1852'!H22</f>
        <v>0</v>
      </c>
      <c r="E4" s="36">
        <f>'1853'!I4-'1853'!H4+'1853'!I6-'1853'!H6+'1853'!I8-'1853'!H8+'1853'!I10-'1853'!H10+'1853'!I12-'1853'!H12+'1853'!I14-'1853'!H14+'1853'!I16-'1853'!H16+'1853'!I18-'1853'!H18+'1853'!I20-'1853'!H20+'1853'!I22-'1853'!H22+'1853'!I26-'1853'!H26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17" x14ac:dyDescent="0.35">
      <c r="A5" s="42" t="s">
        <v>33</v>
      </c>
      <c r="B5" s="36">
        <f>'1850'!I26-'1850'!H26</f>
        <v>0</v>
      </c>
      <c r="C5" s="36">
        <f>'1851'!J26-'1851'!I26</f>
        <v>0</v>
      </c>
      <c r="D5" s="36">
        <f>'1852'!I26-'1852'!H26</f>
        <v>0</v>
      </c>
      <c r="E5" s="36">
        <f>'1853'!I27-'1853'!H27</f>
        <v>0</v>
      </c>
    </row>
    <row r="6" spans="1:17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17" x14ac:dyDescent="0.35">
      <c r="A7" s="42" t="s">
        <v>35</v>
      </c>
      <c r="B7" s="368">
        <f>'1850'!I29-'1850'!H29</f>
        <v>0</v>
      </c>
      <c r="C7" s="368"/>
      <c r="D7" s="368"/>
      <c r="E7" s="368"/>
    </row>
    <row r="8" spans="1:17" ht="18" x14ac:dyDescent="0.4">
      <c r="A8" s="125" t="s">
        <v>36</v>
      </c>
      <c r="B8" s="128"/>
      <c r="C8" s="128"/>
      <c r="D8" s="126"/>
      <c r="E8" s="127"/>
    </row>
    <row r="9" spans="1:17" x14ac:dyDescent="0.35">
      <c r="A9" s="36" t="s">
        <v>37</v>
      </c>
      <c r="B9" s="36">
        <f>'1850'!I5-'1850'!H5+'1850'!I7-'1850'!H7+'1850'!I9-'1850'!H9+'1850'!I11-'1850'!H11+'1850'!I13-'1850'!H13+'1850'!I15-'1850'!H15+'1850'!I17-'1850'!H17+'1850'!I19-'1850'!H19+'1850'!I21-'1850'!H21+'1850'!I23-'1850'!H23</f>
        <v>0</v>
      </c>
      <c r="C9" s="36">
        <f>'1851'!J5-'1851'!I5+'1851'!J7-'1851'!I7+'1851'!J9-'1851'!I9+'1851'!J11-'1851'!I11+'1851'!J13-'1851'!I13+'1851'!J15-'1851'!I15+'1851'!J17-'1851'!I17+'1851'!J19-'1851'!I19+'1851'!J21-'1851'!I21+'1851'!J23-'1851'!I23</f>
        <v>0</v>
      </c>
      <c r="D9" s="36">
        <f>'1852'!I5-'1852'!H5+'1852'!I7-'1852'!H7+'1852'!I9-'1852'!H9+'1852'!I11-'1852'!H11+'1852'!I13-'1852'!H13+'1852'!I15-'1852'!H15+'1852'!I17-'1852'!H17+'1852'!I19-'1852'!H19+'1852'!I21-'1852'!H21+'1852'!I23-'1852'!H23</f>
        <v>0</v>
      </c>
      <c r="E9" s="36">
        <f>'1853'!I5-'1853'!H5+'1853'!I7-'1853'!H7+'1853'!I9-'1853'!H9+'1853'!I11-'1853'!H11+'1853'!I13-'1853'!H13+'1853'!I15-'1853'!H15+'1853'!I17-'1853'!H17+'1853'!I19-'1853'!H19+'1853'!I21-'1853'!H21+'1853'!I23-'1853'!H23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17" x14ac:dyDescent="0.35">
      <c r="A10" s="36" t="s">
        <v>38</v>
      </c>
      <c r="B10" s="43">
        <f>('1850'!I27-'1850'!H27)</f>
        <v>0</v>
      </c>
      <c r="C10" s="43">
        <f>('1851'!J27-'1851'!I27)</f>
        <v>0</v>
      </c>
      <c r="D10" s="43">
        <f>('1852'!I27-'1852'!H27)</f>
        <v>0</v>
      </c>
      <c r="E10" s="43">
        <f>('1853'!I28-'1853'!H28)</f>
        <v>0</v>
      </c>
    </row>
    <row r="11" spans="1:17" ht="18" x14ac:dyDescent="0.4">
      <c r="A11" s="125" t="s">
        <v>44</v>
      </c>
      <c r="B11" s="126"/>
      <c r="C11" s="126"/>
      <c r="D11" s="126"/>
      <c r="E11" s="127"/>
    </row>
    <row r="12" spans="1:17" x14ac:dyDescent="0.35">
      <c r="A12" s="36" t="s">
        <v>40</v>
      </c>
      <c r="B12" s="39">
        <f>'1850'!I25-'1850'!H25</f>
        <v>0</v>
      </c>
      <c r="C12" s="39">
        <f>'1851'!J24-'1851'!I24</f>
        <v>0</v>
      </c>
      <c r="D12" s="39">
        <f>'1852'!I25-'1852'!H25</f>
        <v>0</v>
      </c>
      <c r="E12" s="39">
        <f>'1853'!I24-'1853'!H24</f>
        <v>0</v>
      </c>
    </row>
    <row r="13" spans="1:17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1:17" x14ac:dyDescent="0.35">
      <c r="A14" s="33" t="s">
        <v>41</v>
      </c>
      <c r="B14" s="40">
        <f>'1853'!I25-'1853'!H25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</row>
    <row r="15" spans="1:17" x14ac:dyDescent="0.35">
      <c r="A15" s="33" t="s">
        <v>42</v>
      </c>
      <c r="B15" s="41">
        <f>'1853'!I26-'1853'!H26</f>
        <v>0</v>
      </c>
      <c r="C15" s="41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</row>
    <row r="16" spans="1:17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8" spans="1:14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4" x14ac:dyDescent="0.35">
      <c r="A19" s="36" t="s">
        <v>32</v>
      </c>
      <c r="B19" s="36">
        <f>'1854'!I4-'1854'!H4+'1854'!I6-'1854'!H6+'1854'!I8-'1854'!H8+'1854'!I10-'1854'!H10+'1854'!I12-'1854'!H12+'1854'!I14-'1854'!H14+'1854'!I16-'1854'!H16+'1854'!I18-'1854'!H18+'1854'!I20-'1854'!H20+'1854'!I22-'1854'!H22</f>
        <v>0</v>
      </c>
      <c r="C19" s="36">
        <f>'1855'!I4-'1855'!H4+'1855'!I6-'1855'!H6+'1855'!I8-'1855'!H8+'1855'!I10-'1855'!H10+'1855'!I12-'1855'!H12+'1855'!I14-'1855'!H14+'1855'!I16-'1855'!H16+'1855'!I18-'1855'!H18+'1855'!I20-'1855'!H20+'1855'!I22-'1855'!H22</f>
        <v>0</v>
      </c>
      <c r="D19" s="36">
        <f>'1856'!I4-'1856'!H4+'1856'!I6-'1856'!H6+'1856'!I8-'1856'!H8+'1856'!I10-'1856'!H10+'1856'!I12-'1856'!H12+'1856'!I14-'1856'!H14+'1856'!I16-'1856'!H16+'1856'!I18-'1856'!H18+'1856'!I20-'1856'!H20+'1856'!I22-'1856'!H22</f>
        <v>0</v>
      </c>
      <c r="E19" s="36">
        <f>'1857'!I4-'1857'!H4+'1857'!I6-'1857'!H6+'1857'!I8-'1857'!H8+'1857'!I10-'1857'!H10+'1857'!I12-'1857'!H12+'1857'!I14-'1857'!H14+'1857'!I16-'1857'!H16+'1857'!I18-'1857'!H18+'1857'!I20-'1857'!H20+'1857'!I22-'1857'!H22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</row>
    <row r="20" spans="1:14" x14ac:dyDescent="0.35">
      <c r="A20" s="36" t="s">
        <v>33</v>
      </c>
      <c r="B20" s="36">
        <f>'1854'!I26-'1854'!H26</f>
        <v>0</v>
      </c>
      <c r="C20" s="36">
        <f>'1855'!I26-'1855'!H26</f>
        <v>0</v>
      </c>
      <c r="D20" s="36">
        <f>'1856'!I26-'1856'!H26</f>
        <v>0</v>
      </c>
      <c r="E20" s="36">
        <f>'1857'!I26-'1857'!H26</f>
        <v>0</v>
      </c>
    </row>
    <row r="21" spans="1:14" x14ac:dyDescent="0.35">
      <c r="A21" s="36" t="s">
        <v>34</v>
      </c>
      <c r="B21" s="368">
        <f>SUM(B20:E20)</f>
        <v>0</v>
      </c>
      <c r="C21" s="368"/>
      <c r="D21" s="368"/>
      <c r="E21" s="368"/>
      <c r="G21" s="133" t="e">
        <f>1-B21/B22</f>
        <v>#DIV/0!</v>
      </c>
    </row>
    <row r="22" spans="1:14" x14ac:dyDescent="0.35">
      <c r="A22" s="36" t="s">
        <v>35</v>
      </c>
      <c r="B22" s="368">
        <f>'1854'!I29-'1854'!H29</f>
        <v>0</v>
      </c>
      <c r="C22" s="368"/>
      <c r="D22" s="368"/>
      <c r="E22" s="368"/>
    </row>
    <row r="23" spans="1:14" ht="18" x14ac:dyDescent="0.4">
      <c r="A23" s="125" t="s">
        <v>36</v>
      </c>
      <c r="B23" s="126"/>
      <c r="C23" s="126"/>
      <c r="D23" s="126"/>
      <c r="E23" s="127"/>
    </row>
    <row r="24" spans="1:14" x14ac:dyDescent="0.35">
      <c r="A24" s="36" t="s">
        <v>37</v>
      </c>
      <c r="B24" s="36">
        <f>'1854'!I5-'1854'!H5+'1854'!I7-'1854'!H7+'1854'!I9-'1854'!H9+'1854'!I11-'1854'!H11+'1854'!I13-'1854'!H13+'1854'!I15-'1854'!H15+'1854'!I17-'1854'!H17+'1854'!I19-'1854'!H19+'1854'!I21-'1854'!H21+'1854'!I23-'1854'!H23</f>
        <v>0</v>
      </c>
      <c r="C24" s="36">
        <f>'1855'!I5-'1855'!H5+'1855'!I7-'1855'!H7+'1855'!I9-'1855'!H9+'1855'!I11-'1855'!H11+'1855'!I13-'1855'!H13+'1855'!I15-'1855'!H15+'1855'!I17-'1855'!H17+'1855'!I19-'1855'!H19+'1855'!I21-'1855'!H21+'1855'!I23-'1855'!H23</f>
        <v>0</v>
      </c>
      <c r="D24" s="36">
        <f>'1856'!I5-'1856'!H5+'1856'!I7-'1856'!H7+'1856'!I9-'1856'!H9+'1856'!I11-'1856'!H11+'1856'!I13-'1856'!H13+'1856'!I15-'1856'!H15+'1856'!I17-'1856'!H17+'1856'!I19-'1856'!H19+'1856'!I21-'1856'!H21+'1856'!I23-'1856'!H23</f>
        <v>0</v>
      </c>
      <c r="E24" s="36">
        <f>'1857'!I5-'1857'!H5+'1857'!I7-'1857'!H7+'1857'!I9-'1857'!H9+'1857'!I11-'1857'!H11+'1857'!I13-'1857'!H13+'1857'!I15-'1857'!H15+'1857'!I17-'1857'!H17+'1857'!I19-'1857'!H19+'1857'!I21-'1857'!H21+'1857'!I23-'1857'!H23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4" x14ac:dyDescent="0.35">
      <c r="A25" s="36" t="s">
        <v>38</v>
      </c>
      <c r="B25" s="43">
        <f>('1854'!I27-'1854'!H27)</f>
        <v>0</v>
      </c>
      <c r="C25" s="43">
        <f>('1855'!I27-'1855'!H27)</f>
        <v>0</v>
      </c>
      <c r="D25" s="43">
        <f>('1856'!I27-'1856'!H27)</f>
        <v>0</v>
      </c>
      <c r="E25" s="43">
        <f>('1857'!I27-'1857'!H27)</f>
        <v>0</v>
      </c>
    </row>
    <row r="26" spans="1:14" ht="18" x14ac:dyDescent="0.4">
      <c r="A26" s="125" t="s">
        <v>44</v>
      </c>
      <c r="B26" s="126"/>
      <c r="C26" s="126"/>
      <c r="D26" s="126"/>
      <c r="E26" s="127"/>
      <c r="N26" s="33" t="s">
        <v>220</v>
      </c>
    </row>
    <row r="27" spans="1:14" x14ac:dyDescent="0.35">
      <c r="A27" s="36" t="s">
        <v>40</v>
      </c>
      <c r="B27" s="39">
        <f>'1854'!I25-'1854'!H25</f>
        <v>0</v>
      </c>
      <c r="C27" s="39">
        <f>'1855'!I25-'1855'!H25</f>
        <v>0</v>
      </c>
      <c r="D27" s="39">
        <f>'1856'!I25-'1856'!H25</f>
        <v>0</v>
      </c>
      <c r="E27" s="39">
        <f>'1857'!I25-'1857'!H25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27:E27">
    <cfRule type="cellIs" dxfId="33" priority="1" stopIfTrue="1" operator="lessThan">
      <formula>0</formula>
    </cfRule>
  </conditionalFormatting>
  <conditionalFormatting sqref="C1:E5 B1:B26 C8:E20 C23:E26 F27:F65536 C28:E65536 B28:B1048576">
    <cfRule type="cellIs" dxfId="32" priority="5" stopIfTrue="1" operator="lessThan">
      <formula>0</formula>
    </cfRule>
  </conditionalFormatting>
  <conditionalFormatting sqref="F1:J2 F13:J13 G13:J17 F16:J17 G28:J65536">
    <cfRule type="cellIs" dxfId="31" priority="3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12" width="11.453125" style="33" customWidth="1"/>
    <col min="13" max="20" width="9.81640625" style="33" customWidth="1"/>
    <col min="21" max="24" width="6.453125" style="33" customWidth="1"/>
    <col min="25" max="16384" width="9" style="33"/>
  </cols>
  <sheetData>
    <row r="1" spans="1:20" ht="18" x14ac:dyDescent="0.4">
      <c r="A1" s="34" t="s">
        <v>48</v>
      </c>
      <c r="B1" s="35">
        <f>'S1'!B1</f>
        <v>2026</v>
      </c>
    </row>
    <row r="3" spans="1:20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0" x14ac:dyDescent="0.35">
      <c r="A4" s="42" t="s">
        <v>32</v>
      </c>
      <c r="B4" s="36">
        <f>'1850'!J4-'1850'!I4+'1850'!J6-'1850'!I6+'1850'!J8-'1850'!I8+'1850'!J10-'1850'!I10+'1850'!J12-'1850'!I12+'1850'!J14-'1850'!I14+'1850'!J16-'1850'!I16+'1850'!J18-'1850'!I18+'1850'!J20-'1850'!I20+'1850'!J22-'1850'!I22</f>
        <v>0</v>
      </c>
      <c r="C4" s="36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0</v>
      </c>
      <c r="D4" s="36">
        <f>'1852'!J4-'1852'!I4+'1852'!J6-'1852'!I6+'1852'!J8-'1852'!I8+'1852'!J10-'1852'!I10+'1852'!J12-'1852'!I12+'1852'!J14-'1852'!I14+'1852'!J16-'1852'!I16+'1852'!J18-'1852'!I18+'1852'!J20-'1852'!I20+'1852'!J22-'1852'!I22</f>
        <v>0</v>
      </c>
      <c r="E4" s="36">
        <f>'1853'!J4-'1853'!I4+'1853'!J6-'1853'!I6+'1853'!J8-'1853'!I8+'1853'!J10-'1853'!I10+'1853'!J12-'1853'!I12+'1853'!J14-'1853'!I14+'1853'!J16-'1853'!I16+'1853'!J18-'1853'!I18+'1853'!J20-'1853'!I20+'1853'!J22-'1853'!I22+'1853'!J26-'1853'!I26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20" x14ac:dyDescent="0.35">
      <c r="A5" s="42" t="s">
        <v>33</v>
      </c>
      <c r="B5" s="36">
        <f>'1850'!J26-'1850'!I26</f>
        <v>0</v>
      </c>
      <c r="C5" s="36">
        <f>'1851'!K26-'1851'!J26</f>
        <v>0</v>
      </c>
      <c r="D5" s="36">
        <f>'1852'!J26-'1852'!I26</f>
        <v>0</v>
      </c>
      <c r="E5" s="36">
        <f>'1853'!J27-'1853'!I27</f>
        <v>0</v>
      </c>
    </row>
    <row r="6" spans="1:20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20" x14ac:dyDescent="0.35">
      <c r="A7" s="42" t="s">
        <v>35</v>
      </c>
      <c r="B7" s="368">
        <f>'1850'!J29-'1850'!I29</f>
        <v>0</v>
      </c>
      <c r="C7" s="368"/>
      <c r="D7" s="368"/>
      <c r="E7" s="368"/>
    </row>
    <row r="8" spans="1:20" ht="18" x14ac:dyDescent="0.4">
      <c r="A8" s="125" t="s">
        <v>36</v>
      </c>
      <c r="B8" s="126"/>
      <c r="C8" s="126"/>
      <c r="D8" s="126"/>
      <c r="E8" s="127"/>
    </row>
    <row r="9" spans="1:20" x14ac:dyDescent="0.35">
      <c r="A9" s="36" t="s">
        <v>37</v>
      </c>
      <c r="B9" s="36">
        <f>'1850'!J5-'1850'!I5+'1850'!J7-'1850'!I7+'1850'!J9-'1850'!I9+'1850'!J11-'1850'!I11+'1850'!J13-'1850'!I13+'1850'!J15-'1850'!I15+'1850'!J17-'1850'!I17+'1850'!J19-'1850'!I19+'1850'!J21-'1850'!I21+'1850'!J23-'1850'!I23</f>
        <v>0</v>
      </c>
      <c r="C9" s="36">
        <f>'1851'!K5-'1851'!J5+'1851'!K7-'1851'!J7+'1851'!K9-'1851'!J9+'1851'!K11-'1851'!J11+'1851'!K13-'1851'!J13+'1851'!K15-'1851'!J15+'1851'!K17-'1851'!J17+'1851'!K19-'1851'!J19+'1851'!K21-'1851'!J21+'1851'!K23-'1851'!J23</f>
        <v>0</v>
      </c>
      <c r="D9" s="36">
        <f>'1852'!J5-'1852'!I5+'1852'!J7-'1852'!I7+'1852'!J9-'1852'!I9+'1852'!J11-'1852'!I11+'1852'!J13-'1852'!I13+'1852'!J15-'1852'!I15+'1852'!J17-'1852'!I17+'1852'!J19-'1852'!I19+'1852'!J21-'1852'!I21+'1852'!J23-'1852'!I23</f>
        <v>0</v>
      </c>
      <c r="E9" s="36">
        <f>'1853'!J5-'1853'!I5+'1853'!J7-'1853'!I7+'1853'!J9-'1853'!I9+'1853'!J11-'1853'!I11+'1853'!J13-'1853'!I13+'1853'!J15-'1853'!I15+'1853'!J17-'1853'!I17+'1853'!J19-'1853'!I19+'1853'!J21-'1853'!I21+'1853'!J23-'1853'!I23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20" x14ac:dyDescent="0.35">
      <c r="A10" s="36" t="s">
        <v>38</v>
      </c>
      <c r="B10" s="38">
        <f>('1850'!J27-'1850'!I27)</f>
        <v>0</v>
      </c>
      <c r="C10" s="43">
        <f>('1851'!K27-'1851'!J27)</f>
        <v>0</v>
      </c>
      <c r="D10" s="43">
        <f>('1852'!J27-'1852'!I27)</f>
        <v>0</v>
      </c>
      <c r="E10" s="43">
        <f>('1853'!J28-'1853'!I28)</f>
        <v>0</v>
      </c>
    </row>
    <row r="11" spans="1:20" ht="18" x14ac:dyDescent="0.4">
      <c r="A11" s="125" t="s">
        <v>44</v>
      </c>
      <c r="B11" s="126"/>
      <c r="C11" s="126"/>
      <c r="D11" s="126"/>
      <c r="E11" s="127"/>
    </row>
    <row r="12" spans="1:20" x14ac:dyDescent="0.35">
      <c r="A12" s="36" t="s">
        <v>40</v>
      </c>
      <c r="B12" s="39">
        <f>'1850'!J25-'1850'!I25</f>
        <v>0</v>
      </c>
      <c r="C12" s="39">
        <f>'1851'!K24-'1851'!J24</f>
        <v>0</v>
      </c>
      <c r="D12" s="39">
        <f>'1852'!J25-'1852'!I25</f>
        <v>0</v>
      </c>
      <c r="E12" s="39">
        <f>'1853'!J24-'1853'!I24</f>
        <v>0</v>
      </c>
    </row>
    <row r="13" spans="1:20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</row>
    <row r="14" spans="1:20" x14ac:dyDescent="0.35">
      <c r="A14" s="33" t="s">
        <v>41</v>
      </c>
      <c r="B14" s="40">
        <f>'1853'!J25-'1853'!I25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spans="1:20" x14ac:dyDescent="0.35">
      <c r="A15" s="33" t="s">
        <v>42</v>
      </c>
      <c r="B15" s="41">
        <f>'1853'!J26-'1853'!I26</f>
        <v>0</v>
      </c>
      <c r="C15" s="41"/>
      <c r="D15" s="41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</row>
    <row r="16" spans="1:20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'1854'!J4-'1854'!I4+'1854'!J6-'1854'!I6+'1854'!J8-'1854'!I8+'1854'!J10-'1854'!I10+'1854'!J12-'1854'!I12+'1854'!J14-'1854'!I14+'1854'!J16-'1854'!I16+'1854'!J18-'1854'!I18+'1854'!J20-'1854'!I20+'1854'!J22-'1854'!I22</f>
        <v>0</v>
      </c>
      <c r="C19" s="36">
        <f>'1855'!J4-'1855'!I4+'1855'!J6-'1855'!I6+'1855'!J8-'1855'!I8+'1855'!J10-'1855'!I10+'1855'!J12-'1855'!I12+'1855'!J14-'1855'!I14+'1855'!J16-'1855'!I16+'1855'!J18-'1855'!I18+'1855'!J20-'1855'!I20+'1855'!J22-'1855'!I22</f>
        <v>0</v>
      </c>
      <c r="D19" s="36">
        <f>'1856'!J4-'1856'!I4+'1856'!J6-'1856'!I6+'1856'!J8-'1856'!I8+'1856'!J10-'1856'!I10+'1856'!J12-'1856'!I12+'1856'!J14-'1856'!I14+'1856'!J16-'1856'!I16+'1856'!J18-'1856'!I18+'1856'!J20-'1856'!I20+'1856'!J22-'1856'!I22</f>
        <v>0</v>
      </c>
      <c r="E19" s="36">
        <f>'1857'!J4-'1857'!I4+'1857'!J6-'1857'!I6+'1857'!J8-'1857'!I8+'1857'!J10-'1857'!I10+'1857'!J12-'1857'!I12+'1857'!J14-'1857'!I14+'1857'!J16-'1857'!I16+'1857'!J18-'1857'!I18+'1857'!J20-'1857'!I20+'1857'!J22-'1857'!I22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</row>
    <row r="20" spans="1:10" x14ac:dyDescent="0.35">
      <c r="A20" s="36" t="s">
        <v>33</v>
      </c>
      <c r="B20" s="36">
        <f>'1854'!J26-'1854'!I26</f>
        <v>0</v>
      </c>
      <c r="C20" s="37">
        <f>'1855'!J26-'1855'!I26</f>
        <v>0</v>
      </c>
      <c r="D20" s="36">
        <f>'1856'!J26-'1856'!I26</f>
        <v>0</v>
      </c>
      <c r="E20" s="36">
        <f>'1857'!J26-'1857'!I26</f>
        <v>0</v>
      </c>
    </row>
    <row r="21" spans="1:10" x14ac:dyDescent="0.35">
      <c r="A21" s="36" t="s">
        <v>34</v>
      </c>
      <c r="B21" s="368">
        <f>SUM(B20:E20)</f>
        <v>0</v>
      </c>
      <c r="C21" s="368"/>
      <c r="D21" s="368"/>
      <c r="E21" s="368"/>
      <c r="G21" s="133" t="e">
        <f>1-B21/B22</f>
        <v>#DIV/0!</v>
      </c>
    </row>
    <row r="22" spans="1:10" x14ac:dyDescent="0.35">
      <c r="A22" s="36" t="s">
        <v>35</v>
      </c>
      <c r="B22" s="368">
        <f>'1854'!J29-'1854'!I29</f>
        <v>0</v>
      </c>
      <c r="C22" s="368"/>
      <c r="D22" s="368"/>
      <c r="E22" s="368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'1854'!J5-'1854'!I5+'1854'!J7-'1854'!I7+'1854'!J9-'1854'!I9+'1854'!J11-'1854'!I11+'1854'!J13-'1854'!I13+'1854'!J15-'1854'!I15+'1854'!J17-'1854'!I17+'1854'!J19-'1854'!I19+'1854'!J21-'1854'!I21+'1854'!J23-'1854'!I23</f>
        <v>0</v>
      </c>
      <c r="C24" s="36">
        <f>'1855'!J5-'1855'!I5+'1855'!J7-'1855'!I7+'1855'!J9-'1855'!I9+'1855'!J11-'1855'!I11+'1855'!J13-'1855'!I13+'1855'!J15-'1855'!I15+'1855'!J17-'1855'!I17+'1855'!J19-'1855'!I19+'1855'!J21-'1855'!I21+'1855'!J23-'1855'!I23</f>
        <v>0</v>
      </c>
      <c r="D24" s="36">
        <f>'1856'!J5-'1856'!I5+'1856'!J7-'1856'!I7+'1856'!J9-'1856'!I9+'1856'!J11-'1856'!I11+'1856'!J13-'1856'!I13+'1856'!J15-'1856'!I15+'1856'!J17-'1856'!I17+'1856'!J19-'1856'!I19+'1856'!J21-'1856'!I21+'1856'!J23-'1856'!I23</f>
        <v>0</v>
      </c>
      <c r="E24" s="36">
        <f>'1857'!J5-'1857'!I5+'1857'!J7-'1857'!I7+'1857'!J9-'1857'!I9+'1857'!J11-'1857'!I11+'1857'!J13-'1857'!I13+'1857'!J15-'1857'!I15+'1857'!J17-'1857'!I17+'1857'!J19-'1857'!I19+'1857'!J21-'1857'!I21+'1857'!J23-'1857'!I23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0" x14ac:dyDescent="0.35">
      <c r="A25" s="36" t="s">
        <v>38</v>
      </c>
      <c r="B25" s="43">
        <f>'1854'!J27-'1854'!I27</f>
        <v>0</v>
      </c>
      <c r="C25" s="43">
        <f>'1855'!J27-'1855'!I27</f>
        <v>0</v>
      </c>
      <c r="D25" s="43">
        <f>'1856'!J27-'1856'!I27</f>
        <v>0</v>
      </c>
      <c r="E25" s="43">
        <f>'1857'!J27-'1857'!I27</f>
        <v>0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'1854'!J25-'1854'!I25</f>
        <v>0</v>
      </c>
      <c r="C27" s="39">
        <f>'1855'!J25-'1855'!I25</f>
        <v>0</v>
      </c>
      <c r="D27" s="39">
        <f>'1856'!J25-'1856'!I25</f>
        <v>0</v>
      </c>
      <c r="E27" s="39">
        <f>'1857'!J25-'1857'!I25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F1:L2 C1:E5 B1:B65536 C8:E20 I13:L13 F13:H17 I16:L17 C23:E65536 F28:L65536">
    <cfRule type="cellIs" dxfId="3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15" width="11.453125" style="33" customWidth="1"/>
    <col min="16" max="23" width="9.81640625" style="33" customWidth="1"/>
    <col min="24" max="27" width="6.453125" style="33" customWidth="1"/>
    <col min="28" max="16384" width="9" style="33"/>
  </cols>
  <sheetData>
    <row r="1" spans="1:23" ht="18" x14ac:dyDescent="0.4">
      <c r="A1" s="34" t="s">
        <v>49</v>
      </c>
      <c r="B1" s="35">
        <f>'S1'!B1</f>
        <v>2026</v>
      </c>
    </row>
    <row r="3" spans="1:23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3" x14ac:dyDescent="0.35">
      <c r="A4" s="42" t="s">
        <v>32</v>
      </c>
      <c r="B4" s="36">
        <f>'1850'!K4-'1850'!J4+'1850'!K6-'1850'!J6+'1850'!K8-'1850'!J8+'1850'!K10-'1850'!J10+'1850'!K12-'1850'!J12+'1850'!K14-'1850'!J14+'1850'!K16-'1850'!J16+'1850'!K18-'1850'!J18+'1850'!K20-'1850'!J20+'1850'!K22-'1850'!J22</f>
        <v>0</v>
      </c>
      <c r="C4" s="36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0</v>
      </c>
      <c r="D4" s="36">
        <f>'1852'!K4-'1852'!J4+'1852'!K6-'1852'!J6+'1852'!K8-'1852'!J8+'1852'!K10-'1852'!J10+'1852'!K12-'1852'!J12+'1852'!K14-'1852'!J14+'1852'!K16-'1852'!J16+'1852'!K18-'1852'!J18+'1852'!K20-'1852'!J20+'1852'!K22-'1852'!J22</f>
        <v>0</v>
      </c>
      <c r="E4" s="36">
        <f>'1853'!K4-'1853'!J4+'1853'!K6-'1853'!J6+'1853'!K8-'1853'!J8+'1853'!K10-'1853'!J10+'1853'!K12-'1853'!J12+'1853'!K14-'1853'!J14+'1853'!K16-'1853'!J16+'1853'!K18-'1853'!J18+'1853'!K20-'1853'!J20+'1853'!K22-'1853'!J22+'1853'!K26-'1853'!J26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23" x14ac:dyDescent="0.35">
      <c r="A5" s="42" t="s">
        <v>33</v>
      </c>
      <c r="B5" s="36">
        <f>'1850'!K26-'1850'!J26</f>
        <v>0</v>
      </c>
      <c r="C5" s="36">
        <f>'1851'!L26-'1851'!K26</f>
        <v>0</v>
      </c>
      <c r="D5" s="36">
        <f>'1852'!K26-'1852'!J26</f>
        <v>0</v>
      </c>
      <c r="E5" s="36">
        <f>'1853'!K27-'1853'!J27</f>
        <v>0</v>
      </c>
    </row>
    <row r="6" spans="1:23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23" x14ac:dyDescent="0.35">
      <c r="A7" s="42" t="s">
        <v>35</v>
      </c>
      <c r="B7" s="368">
        <f>'1850'!K29-'1850'!J29</f>
        <v>0</v>
      </c>
      <c r="C7" s="368"/>
      <c r="D7" s="368"/>
      <c r="E7" s="368"/>
    </row>
    <row r="8" spans="1:23" ht="18" x14ac:dyDescent="0.4">
      <c r="A8" s="125" t="s">
        <v>36</v>
      </c>
      <c r="B8" s="126"/>
      <c r="C8" s="126"/>
      <c r="D8" s="126"/>
      <c r="E8" s="127"/>
    </row>
    <row r="9" spans="1:23" x14ac:dyDescent="0.35">
      <c r="A9" s="36" t="s">
        <v>37</v>
      </c>
      <c r="B9" s="36">
        <f>'1850'!K5-'1850'!J5+'1850'!K7-'1850'!J7+'1850'!K9-'1850'!J9+'1850'!K11-'1850'!J11+'1850'!K13-'1850'!J13+'1850'!K15-'1850'!J15+'1850'!K17-'1850'!J17+'1850'!K19-'1850'!J19+'1850'!K21-'1850'!J21+'1850'!K23-'1850'!J23</f>
        <v>0</v>
      </c>
      <c r="C9" s="36">
        <f>'1851'!L5-'1851'!K5+'1851'!L7-'1851'!K7+'1851'!L9-'1851'!K9+'1851'!L11-'1851'!K11+'1851'!L13-'1851'!K13+'1851'!L15-'1851'!K15+'1851'!L17-'1851'!K17+'1851'!L19-'1851'!K19+'1851'!L21-'1851'!K21+'1851'!L23-'1851'!K23</f>
        <v>0</v>
      </c>
      <c r="D9" s="36">
        <f>'1852'!K5-'1852'!J5+'1852'!K7-'1852'!J7+'1852'!K9-'1852'!J9+'1852'!K11-'1852'!J11+'1852'!K13-'1852'!J13+'1852'!K15-'1852'!J15+'1852'!K17-'1852'!J17+'1852'!K19-'1852'!J19+'1852'!K21-'1852'!J21+'1852'!K23-'1852'!J23</f>
        <v>0</v>
      </c>
      <c r="E9" s="36">
        <f>'1853'!K5-'1853'!J5+'1853'!K7-'1853'!J7+'1853'!K9-'1853'!J9+'1853'!K11-'1853'!J11+'1853'!K13-'1853'!J13+'1853'!K15-'1853'!J15+'1853'!K17-'1853'!J17+'1853'!K19-'1853'!J19+'1853'!K21-'1853'!J21+'1853'!K23-'1853'!J23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23" x14ac:dyDescent="0.35">
      <c r="A10" s="36" t="s">
        <v>38</v>
      </c>
      <c r="B10" s="43">
        <f>('1850'!K27-'1850'!J27)</f>
        <v>0</v>
      </c>
      <c r="C10" s="43">
        <f>('1851'!L27-'1851'!K27)</f>
        <v>0</v>
      </c>
      <c r="D10" s="43">
        <f>('1852'!K27-'1852'!J27)</f>
        <v>0</v>
      </c>
      <c r="E10" s="43">
        <f>('1853'!K28-'1853'!J28)</f>
        <v>0</v>
      </c>
    </row>
    <row r="11" spans="1:23" ht="18" x14ac:dyDescent="0.4">
      <c r="A11" s="125" t="s">
        <v>44</v>
      </c>
      <c r="B11" s="126"/>
      <c r="C11" s="126"/>
      <c r="D11" s="126"/>
      <c r="E11" s="127"/>
    </row>
    <row r="12" spans="1:23" x14ac:dyDescent="0.35">
      <c r="A12" s="36" t="s">
        <v>40</v>
      </c>
      <c r="B12" s="39">
        <f>'1850'!K25-'1850'!J25</f>
        <v>0</v>
      </c>
      <c r="C12" s="39">
        <f>'1851'!L24-'1851'!K24</f>
        <v>0</v>
      </c>
      <c r="D12" s="39">
        <f>'1852'!K25-'1852'!J25</f>
        <v>0</v>
      </c>
      <c r="E12" s="39">
        <f>'1853'!K24-'1853'!J24</f>
        <v>0</v>
      </c>
    </row>
    <row r="13" spans="1:23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spans="1:23" x14ac:dyDescent="0.35">
      <c r="A14" s="33" t="s">
        <v>41</v>
      </c>
      <c r="B14" s="40">
        <f>'1853'!K25-'1853'!J25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</row>
    <row r="15" spans="1:23" x14ac:dyDescent="0.35">
      <c r="A15" s="33" t="s">
        <v>42</v>
      </c>
      <c r="B15" s="41">
        <f>'1853'!K26-'1853'!J26</f>
        <v>0</v>
      </c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</row>
    <row r="16" spans="1:23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'1854'!K4-'1854'!J4+'1854'!K6-'1854'!J6+'1854'!K8-'1854'!J8+'1854'!K10-'1854'!J10+'1854'!K12-'1854'!J12+'1854'!K14-'1854'!J14+'1854'!K16-'1854'!J16+'1854'!K18-'1854'!J18+'1854'!K20-'1854'!J20+'1854'!K22-'1854'!J22</f>
        <v>0</v>
      </c>
      <c r="C19" s="36">
        <f>'1855'!K4-'1855'!J4+'1855'!K6-'1855'!J6+'1855'!K8-'1855'!J8+'1855'!K10-'1855'!J10+'1855'!K12-'1855'!J12+'1855'!K14-'1855'!J14+'1855'!K16-'1855'!J16+'1855'!K18-'1855'!J18+'1855'!K20-'1855'!J20+'1855'!K22-'1855'!J22</f>
        <v>0</v>
      </c>
      <c r="D19" s="36">
        <f>'1856'!K4-'1856'!J4+'1856'!K6-'1856'!J6+'1856'!K8-'1856'!J8+'1856'!K10-'1856'!J10+'1856'!K12-'1856'!J12+'1856'!K14-'1856'!J14+'1856'!K16-'1856'!J16+'1856'!K18-'1856'!J18+'1856'!K20-'1856'!J20+'1856'!K22-'1856'!J22</f>
        <v>0</v>
      </c>
      <c r="E19" s="36">
        <f>'1857'!K4-'1857'!J4+'1857'!K6-'1857'!J6+'1857'!K8-'1857'!J8+'1857'!K10-'1857'!J10+'1857'!K12-'1857'!J12+'1857'!K14-'1857'!J14+'1857'!K16-'1857'!J16+'1857'!K18-'1857'!J18+'1857'!K20-'1857'!J20+'1857'!K22-'1857'!J22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</row>
    <row r="20" spans="1:10" x14ac:dyDescent="0.35">
      <c r="A20" s="36" t="s">
        <v>33</v>
      </c>
      <c r="B20" s="36">
        <f>'1854'!K26-'1854'!J26</f>
        <v>0</v>
      </c>
      <c r="C20" s="36">
        <f>'1855'!K26-'1855'!J26</f>
        <v>0</v>
      </c>
      <c r="D20" s="36">
        <f>'1856'!K26-'1856'!J26</f>
        <v>0</v>
      </c>
      <c r="E20" s="36">
        <f>'1857'!K26-'1857'!J26</f>
        <v>0</v>
      </c>
    </row>
    <row r="21" spans="1:10" x14ac:dyDescent="0.35">
      <c r="A21" s="36" t="s">
        <v>34</v>
      </c>
      <c r="B21" s="368">
        <f>SUM(B20:E20)</f>
        <v>0</v>
      </c>
      <c r="C21" s="368"/>
      <c r="D21" s="368"/>
      <c r="E21" s="368"/>
      <c r="G21" s="133" t="e">
        <f>1-B21/B22</f>
        <v>#DIV/0!</v>
      </c>
    </row>
    <row r="22" spans="1:10" x14ac:dyDescent="0.35">
      <c r="A22" s="36" t="s">
        <v>35</v>
      </c>
      <c r="B22" s="368">
        <f>'1854'!K29-'1854'!J29</f>
        <v>0</v>
      </c>
      <c r="C22" s="368"/>
      <c r="D22" s="368"/>
      <c r="E22" s="368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'1854'!K5-'1854'!J5+'1854'!K7-'1854'!J7+'1854'!K9-'1854'!J9+'1854'!K11-'1854'!J11+'1854'!K13-'1854'!J13+'1854'!K15-'1854'!J15+'1854'!K17-'1854'!J17+'1854'!K19-'1854'!J19+'1854'!K21-'1854'!J21+'1854'!K23-'1854'!J23</f>
        <v>0</v>
      </c>
      <c r="C24" s="36">
        <f>'1855'!K5-'1855'!J5+'1855'!K7-'1855'!J7+'1855'!K9-'1855'!J9+'1855'!K11-'1855'!J11+'1855'!K13-'1855'!J13+'1855'!K15-'1855'!J15+'1855'!K17-'1855'!J17+'1855'!K19-'1855'!J19+'1855'!K21-'1855'!J21+'1855'!K23-'1855'!J23</f>
        <v>0</v>
      </c>
      <c r="D24" s="36">
        <f>'1856'!K5-'1856'!J5+'1856'!K7-'1856'!J7+'1856'!K9-'1856'!J9+'1856'!K11-'1856'!J11+'1856'!K13-'1856'!J13+'1856'!K15-'1856'!J15+'1856'!K17-'1856'!J17+'1856'!K19-'1856'!J19+'1856'!K21-'1856'!J21+'1856'!K23-'1856'!J23</f>
        <v>0</v>
      </c>
      <c r="E24" s="36">
        <f>'1857'!K5-'1857'!J5+'1857'!K7-'1857'!J7+'1857'!K9-'1857'!J9+'1857'!K11-'1857'!J11+'1857'!K13-'1857'!J13+'1857'!K15-'1857'!J15+'1857'!K17-'1857'!J17+'1857'!K19-'1857'!J19+'1857'!K21-'1857'!J21+'1857'!K23-'1857'!J23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0" x14ac:dyDescent="0.35">
      <c r="A25" s="36" t="s">
        <v>38</v>
      </c>
      <c r="B25" s="43">
        <f>'1854'!K27-'1854'!J27</f>
        <v>0</v>
      </c>
      <c r="C25" s="43">
        <f>'1855'!K27-'1855'!J27</f>
        <v>0</v>
      </c>
      <c r="D25" s="43">
        <f>'1856'!K27-'1856'!J27</f>
        <v>0</v>
      </c>
      <c r="E25" s="43">
        <f>'1857'!K27-'1857'!J27</f>
        <v>0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'1854'!K25-'1854'!J25</f>
        <v>0</v>
      </c>
      <c r="C27" s="39">
        <f>'1855'!K25-'1855'!J25</f>
        <v>0</v>
      </c>
      <c r="D27" s="39">
        <f>'1856'!K25-'1856'!J25</f>
        <v>0</v>
      </c>
      <c r="E27" s="39">
        <f>'1857'!K25-'1857'!J25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C23:E65536">
    <cfRule type="cellIs" dxfId="29" priority="2" stopIfTrue="1" operator="lessThan">
      <formula>0</formula>
    </cfRule>
  </conditionalFormatting>
  <conditionalFormatting sqref="F1:O2 I13:N13 F13:J17 I16:O17 F28:O65536">
    <cfRule type="cellIs" dxfId="28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18" width="11.453125" style="33" customWidth="1"/>
    <col min="19" max="26" width="9.81640625" style="33" customWidth="1"/>
    <col min="27" max="30" width="6.453125" style="33" customWidth="1"/>
    <col min="31" max="16384" width="9" style="33"/>
  </cols>
  <sheetData>
    <row r="1" spans="1:26" ht="18" x14ac:dyDescent="0.4">
      <c r="A1" s="34" t="s">
        <v>50</v>
      </c>
      <c r="B1" s="35">
        <f>'S1'!B1</f>
        <v>2026</v>
      </c>
    </row>
    <row r="3" spans="1:26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6" x14ac:dyDescent="0.35">
      <c r="A4" s="42" t="s">
        <v>32</v>
      </c>
      <c r="B4" s="36">
        <f>'1850'!L4-'1850'!K4+'1850'!L6-'1850'!K6+'1850'!L8-'1850'!K8+'1850'!L10-'1850'!K10+'1850'!L12-'1850'!K12+'1850'!L14-'1850'!K14+'1850'!L16-'1850'!K16+'1850'!L18-'1850'!K18+'1850'!L20-'1850'!K20+'1850'!L22-'1850'!K22</f>
        <v>0</v>
      </c>
      <c r="C4" s="36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0</v>
      </c>
      <c r="D4" s="36">
        <f>'1852'!L4-'1852'!K4+'1852'!L6-'1852'!K6+'1852'!L8-'1852'!K8+'1852'!L10-'1852'!K10+'1852'!L12-'1852'!K12+'1852'!L14-'1852'!K14+'1852'!L16-'1852'!K16+'1852'!L18-'1852'!K18+'1852'!L20-'1852'!K20+'1852'!L22-'1852'!K22</f>
        <v>0</v>
      </c>
      <c r="E4" s="36">
        <f>'1853'!L4-'1853'!K4+'1853'!L6-'1853'!K6+'1853'!L8-'1853'!K8+'1853'!L10-'1853'!K10+'1853'!L12-'1853'!K12+'1853'!L14-'1853'!K14+'1853'!L16-'1853'!K16+'1853'!L18-'1853'!K18+'1853'!L20-'1853'!K20+'1853'!L22-'1853'!K22+'1853'!L26-'1853'!K26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26" x14ac:dyDescent="0.35">
      <c r="A5" s="42" t="s">
        <v>33</v>
      </c>
      <c r="B5" s="36">
        <f>'1850'!L26-'1850'!K26</f>
        <v>0</v>
      </c>
      <c r="C5" s="36">
        <f>'1851'!M26-'1851'!L26</f>
        <v>0</v>
      </c>
      <c r="D5" s="36">
        <f>'1852'!L26-'1852'!K26</f>
        <v>0</v>
      </c>
      <c r="E5" s="36">
        <f>'1853'!L27-'1853'!K27</f>
        <v>0</v>
      </c>
    </row>
    <row r="6" spans="1:26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26" x14ac:dyDescent="0.35">
      <c r="A7" s="42" t="s">
        <v>35</v>
      </c>
      <c r="B7" s="368">
        <f>'1850'!L29-'1850'!K29</f>
        <v>0</v>
      </c>
      <c r="C7" s="368"/>
      <c r="D7" s="368"/>
      <c r="E7" s="368"/>
    </row>
    <row r="8" spans="1:26" ht="18" x14ac:dyDescent="0.4">
      <c r="A8" s="125" t="s">
        <v>36</v>
      </c>
      <c r="B8" s="126"/>
      <c r="C8" s="126"/>
      <c r="D8" s="126"/>
      <c r="E8" s="127"/>
    </row>
    <row r="9" spans="1:26" x14ac:dyDescent="0.35">
      <c r="A9" s="36" t="s">
        <v>37</v>
      </c>
      <c r="B9" s="36">
        <f>'1850'!L5-'1850'!K5+'1850'!L7-'1850'!K7+'1850'!L9-'1850'!K9+'1850'!L11-'1850'!K11+'1850'!L13-'1850'!K13+'1850'!L15-'1850'!K15+'1850'!L17-'1850'!K17+'1850'!L19-'1850'!K19+'1850'!L21-'1850'!K21+'1850'!L23-'1850'!K23</f>
        <v>0</v>
      </c>
      <c r="C9" s="36">
        <f>'1851'!M5-'1851'!L5+'1851'!M7-'1851'!L7+'1851'!M9-'1851'!L9+'1851'!M11-'1851'!L11+'1851'!M13-'1851'!L13+'1851'!M15-'1851'!L15+'1851'!M17-'1851'!L17+'1851'!M19-'1851'!L19+'1851'!M21-'1851'!L21+'1851'!M23-'1851'!L23</f>
        <v>0</v>
      </c>
      <c r="D9" s="36">
        <f>'1852'!L5-'1852'!K5+'1852'!L7-'1852'!K7+'1852'!L9-'1852'!K9+'1852'!L11-'1852'!K11+'1852'!L13-'1852'!K13+'1852'!L15-'1852'!K15+'1852'!L17-'1852'!K17+'1852'!L19-'1852'!K19+'1852'!L21-'1852'!K21+'1852'!L23-'1852'!K23</f>
        <v>0</v>
      </c>
      <c r="E9" s="36">
        <f>'1853'!L5-'1853'!K5+'1853'!L7-'1853'!K7+'1853'!L9-'1853'!K9+'1853'!L11-'1853'!K11+'1853'!L13-'1853'!K13+'1853'!L15-'1853'!K15+'1853'!L17-'1853'!K17+'1853'!L19-'1853'!K19+'1853'!L21-'1853'!K21+'1853'!L23-'1853'!K23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26" x14ac:dyDescent="0.35">
      <c r="A10" s="36" t="s">
        <v>38</v>
      </c>
      <c r="B10" s="38">
        <f>('1850'!L27-'1850'!K27)</f>
        <v>0</v>
      </c>
      <c r="C10" s="43">
        <f>('1851'!M27-'1851'!L27)</f>
        <v>0</v>
      </c>
      <c r="D10" s="43">
        <f>('1852'!L27-'1852'!K27)</f>
        <v>0</v>
      </c>
      <c r="E10" s="43">
        <f>('1853'!L28-'1853'!K28)</f>
        <v>0</v>
      </c>
    </row>
    <row r="11" spans="1:26" ht="18" x14ac:dyDescent="0.4">
      <c r="A11" s="125" t="s">
        <v>44</v>
      </c>
      <c r="B11" s="126"/>
      <c r="C11" s="126"/>
      <c r="D11" s="126"/>
      <c r="E11" s="127"/>
    </row>
    <row r="12" spans="1:26" x14ac:dyDescent="0.35">
      <c r="A12" s="36" t="s">
        <v>40</v>
      </c>
      <c r="B12" s="39">
        <f>'1850'!L25-'1850'!K25</f>
        <v>0</v>
      </c>
      <c r="C12" s="39">
        <f>'1851'!M24-'1851'!L24</f>
        <v>0</v>
      </c>
      <c r="D12" s="39">
        <f>'1852'!L25-'1852'!K25</f>
        <v>0</v>
      </c>
      <c r="E12" s="39">
        <f>'1853'!L24-'1853'!K24</f>
        <v>0</v>
      </c>
    </row>
    <row r="13" spans="1:26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</row>
    <row r="14" spans="1:26" x14ac:dyDescent="0.35">
      <c r="A14" s="33" t="s">
        <v>41</v>
      </c>
      <c r="B14" s="40">
        <f>'1853'!L25-'1853'!K25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</row>
    <row r="15" spans="1:26" x14ac:dyDescent="0.35">
      <c r="A15" s="33" t="s">
        <v>42</v>
      </c>
      <c r="B15" s="41">
        <f>'1853'!L26-'1853'!K26</f>
        <v>0</v>
      </c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</row>
    <row r="16" spans="1:26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'1854'!L4-'1854'!K4+'1854'!L6-'1854'!K6+'1854'!L8-'1854'!K8+'1854'!L10-'1854'!K10+'1854'!L12-'1854'!K12+'1854'!L14-'1854'!K14+'1854'!L16-'1854'!K16+'1854'!L18-'1854'!K18+'1854'!L20-'1854'!K20+'1854'!L22-'1854'!K22</f>
        <v>0</v>
      </c>
      <c r="C19" s="36">
        <f>'1855'!L4-'1855'!K4+'1855'!L6-'1855'!K6+'1855'!L8-'1855'!K8+'1855'!L10-'1855'!K10+'1855'!L12-'1855'!K12+'1855'!L14-'1855'!K14+'1855'!L16-'1855'!K16+'1855'!L18-'1855'!K18+'1855'!L20-'1855'!K20+'1855'!L22-'1855'!K22</f>
        <v>0</v>
      </c>
      <c r="D19" s="36">
        <f>'1856'!L4-'1856'!K4+'1856'!L6-'1856'!K6+'1856'!L8-'1856'!K8+'1856'!L10-'1856'!K10+'1856'!L12-'1856'!K12+'1856'!L14-'1856'!K14+'1856'!L16-'1856'!K16+'1856'!L18-'1856'!K18+'1856'!L20-'1856'!K20+'1856'!L22-'1856'!K22</f>
        <v>0</v>
      </c>
      <c r="E19" s="36">
        <f>'1857'!L4-'1857'!K4+'1857'!L6-'1857'!K6+'1857'!L8-'1857'!K8+'1857'!L10-'1857'!K10+'1857'!L12-'1857'!K12+'1857'!L14-'1857'!K14+'1857'!L16-'1857'!K16+'1857'!L18-'1857'!K18+'1857'!L20-'1857'!K20+'1857'!L22-'1857'!K22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</row>
    <row r="20" spans="1:10" x14ac:dyDescent="0.35">
      <c r="A20" s="36" t="s">
        <v>33</v>
      </c>
      <c r="B20" s="36">
        <f>'1854'!L26-'1854'!K26</f>
        <v>0</v>
      </c>
      <c r="C20" s="36">
        <f>'1855'!L26-'1855'!K26</f>
        <v>0</v>
      </c>
      <c r="D20" s="36">
        <f>'1856'!L26-'1856'!K26</f>
        <v>0</v>
      </c>
      <c r="E20" s="36">
        <f>'1857'!L26-'1857'!K26</f>
        <v>0</v>
      </c>
    </row>
    <row r="21" spans="1:10" x14ac:dyDescent="0.35">
      <c r="A21" s="36" t="s">
        <v>34</v>
      </c>
      <c r="B21" s="368">
        <f>SUM(B20:E20)</f>
        <v>0</v>
      </c>
      <c r="C21" s="368"/>
      <c r="D21" s="368"/>
      <c r="E21" s="368"/>
      <c r="G21" s="133" t="e">
        <f>1-B21/B22</f>
        <v>#DIV/0!</v>
      </c>
    </row>
    <row r="22" spans="1:10" x14ac:dyDescent="0.35">
      <c r="A22" s="36" t="s">
        <v>35</v>
      </c>
      <c r="B22" s="368">
        <f>'1854'!L29-'1854'!K29</f>
        <v>0</v>
      </c>
      <c r="C22" s="368"/>
      <c r="D22" s="368"/>
      <c r="E22" s="368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'1854'!L5-'1854'!K5+'1854'!L7-'1854'!K7+'1854'!L9-'1854'!K9+'1854'!L11-'1854'!K11+'1854'!L13-'1854'!K13+'1854'!L15-'1854'!K15+'1854'!L17-'1854'!K17+'1854'!L19-'1854'!K19+'1854'!L21-'1854'!K21+'1854'!L23-'1854'!K23</f>
        <v>0</v>
      </c>
      <c r="C24" s="36">
        <f>'1855'!L5-'1855'!K5+'1855'!L7-'1855'!K7+'1855'!L9-'1855'!K9+'1855'!L11-'1855'!K11+'1855'!L13-'1855'!K13+'1855'!L15-'1855'!K15+'1855'!L17-'1855'!K17+'1855'!L19-'1855'!K19+'1855'!L21-'1855'!K21+'1855'!L23-'1855'!K23</f>
        <v>0</v>
      </c>
      <c r="D24" s="36">
        <f>'1856'!L5-'1856'!K5+'1856'!L7-'1856'!K7+'1856'!L9-'1856'!K9+'1856'!L11-'1856'!K11+'1856'!L13-'1856'!K13+'1856'!L15-'1856'!K15+'1856'!L17-'1856'!K17+'1856'!L19-'1856'!K19+'1856'!L21-'1856'!K21+'1856'!L23-'1856'!K23</f>
        <v>0</v>
      </c>
      <c r="E24" s="36">
        <f>'1857'!L5-'1857'!K5+'1857'!L7-'1857'!K7+'1857'!L9-'1857'!K9+'1857'!L11-'1857'!K11+'1857'!L13-'1857'!K13+'1857'!L15-'1857'!K15+'1857'!L17-'1857'!K17+'1857'!L19-'1857'!K19+'1857'!L21-'1857'!K21+'1857'!L23-'1857'!K23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0" x14ac:dyDescent="0.35">
      <c r="A25" s="36" t="s">
        <v>38</v>
      </c>
      <c r="B25" s="38">
        <f>('1854'!L27-'1854'!K27)</f>
        <v>0</v>
      </c>
      <c r="C25" s="43">
        <f>('1855'!L27-'1855'!K27)</f>
        <v>0</v>
      </c>
      <c r="D25" s="43">
        <f>('1856'!L27-'1856'!K27)</f>
        <v>0</v>
      </c>
      <c r="E25" s="43">
        <f>('1857'!L27-'1857'!K27)</f>
        <v>0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'1854'!L25-'1854'!K25</f>
        <v>0</v>
      </c>
      <c r="C27" s="39">
        <f>'1855'!L25-'1855'!K25</f>
        <v>0</v>
      </c>
      <c r="D27" s="39">
        <f>'1856'!L25-'1856'!K25</f>
        <v>0</v>
      </c>
      <c r="E27" s="39">
        <f>'1857'!L25-'1857'!K25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M13:P13 M16:R17 C23:E65536">
    <cfRule type="cellIs" dxfId="27" priority="3" stopIfTrue="1" operator="lessThan">
      <formula>0</formula>
    </cfRule>
  </conditionalFormatting>
  <conditionalFormatting sqref="F1:R2 I13:J13 F13:L17 I16:J17 F28:R65536">
    <cfRule type="cellIs" dxfId="26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21" width="11.453125" style="33" customWidth="1"/>
    <col min="22" max="29" width="9.81640625" style="33" customWidth="1"/>
    <col min="30" max="33" width="6.453125" style="33" customWidth="1"/>
    <col min="34" max="16384" width="9" style="33"/>
  </cols>
  <sheetData>
    <row r="1" spans="1:29" ht="18" x14ac:dyDescent="0.4">
      <c r="A1" s="34" t="s">
        <v>51</v>
      </c>
      <c r="B1" s="35">
        <f>'S1'!B1</f>
        <v>2026</v>
      </c>
    </row>
    <row r="3" spans="1:29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29" x14ac:dyDescent="0.35">
      <c r="A4" s="42" t="s">
        <v>32</v>
      </c>
      <c r="B4" s="36">
        <f>'1850'!M4-'1850'!L4+'1850'!M6-'1850'!L6+'1850'!M8-'1850'!L8+'1850'!M10-'1850'!L10+'1850'!M12-'1850'!L12+'1850'!M14-'1850'!L14+'1850'!M16-'1850'!L16+'1850'!M18-'1850'!L18+'1850'!M20-'1850'!L20+'1850'!M22-'1850'!L22</f>
        <v>0</v>
      </c>
      <c r="C4" s="36">
        <f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0</v>
      </c>
      <c r="D4" s="36">
        <f>'1852'!M4-'1852'!L4+'1852'!M6-'1852'!L6+'1852'!M8-'1852'!L8+'1852'!M10-'1852'!L10+'1852'!M12-'1852'!L12+'1852'!M14-'1852'!L14+'1852'!M16-'1852'!L16+'1852'!M18-'1852'!L18+'1852'!M20-'1852'!L20+'1852'!M22-'1852'!L22</f>
        <v>0</v>
      </c>
      <c r="E4" s="36">
        <f>'1853'!M4-'1853'!L4+'1853'!M6-'1853'!L6+'1853'!M8-'1853'!L8+'1853'!M10-'1853'!L10+'1853'!M12-'1853'!L12+'1853'!M14-'1853'!L14+'1853'!M16-'1853'!L16+'1853'!M18-'1853'!L18+'1853'!M20-'1853'!L20+'1853'!M22-'1853'!L22+'1853'!M26-'1853'!L26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29" x14ac:dyDescent="0.35">
      <c r="A5" s="42" t="s">
        <v>33</v>
      </c>
      <c r="B5" s="36">
        <f>'1850'!M26-'1850'!L26</f>
        <v>0</v>
      </c>
      <c r="C5" s="36">
        <f>'1851'!N26-'1851'!M26</f>
        <v>0</v>
      </c>
      <c r="D5" s="36">
        <f>'1852'!M26-'1852'!L26</f>
        <v>0</v>
      </c>
      <c r="E5" s="36">
        <f>'1853'!M27-'1853'!L27</f>
        <v>0</v>
      </c>
    </row>
    <row r="6" spans="1:29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29" x14ac:dyDescent="0.35">
      <c r="A7" s="42" t="s">
        <v>35</v>
      </c>
      <c r="B7" s="368">
        <f>'1850'!M29-'1850'!L29</f>
        <v>0</v>
      </c>
      <c r="C7" s="368"/>
      <c r="D7" s="368"/>
      <c r="E7" s="368"/>
    </row>
    <row r="8" spans="1:29" ht="18" x14ac:dyDescent="0.4">
      <c r="A8" s="125" t="s">
        <v>36</v>
      </c>
      <c r="B8" s="126"/>
      <c r="C8" s="126"/>
      <c r="D8" s="126"/>
      <c r="E8" s="127"/>
    </row>
    <row r="9" spans="1:29" x14ac:dyDescent="0.35">
      <c r="A9" s="36" t="s">
        <v>37</v>
      </c>
      <c r="B9" s="36">
        <f>'1850'!M5-'1850'!L5+'1850'!M7-'1850'!L7+'1850'!M9-'1850'!L9+'1850'!M11-'1850'!L11+'1850'!M13-'1850'!L13+'1850'!M15-'1850'!L15+'1850'!M17-'1850'!L17+'1850'!M19-'1850'!L19+'1850'!M21-'1850'!L21+'1850'!M23-'1850'!L23</f>
        <v>0</v>
      </c>
      <c r="C9" s="36">
        <f>'1851'!N5-'1851'!M5+'1851'!N7-'1851'!M7+'1851'!N9-'1851'!M9+'1851'!N11-'1851'!M11+'1851'!N13-'1851'!M13+'1851'!N15-'1851'!M15+'1851'!N17-'1851'!M17+'1851'!N19-'1851'!M19+'1851'!N21-'1851'!M21+'1851'!N23-'1851'!M23</f>
        <v>0</v>
      </c>
      <c r="D9" s="36">
        <f>'1852'!M5-'1852'!L5+'1852'!M7-'1852'!L7+'1852'!M9-'1852'!L9+'1852'!M11-'1852'!L11+'1852'!M13-'1852'!L13+'1852'!M15-'1852'!L15+'1852'!M17-'1852'!L17+'1852'!M19-'1852'!L19+'1852'!M21-'1852'!L21+'1852'!M23-'1852'!L23</f>
        <v>0</v>
      </c>
      <c r="E9" s="36">
        <f>'1853'!M5-'1853'!L5+'1853'!M7-'1853'!L7+'1853'!M9-'1853'!L9+'1853'!M11-'1853'!L11+'1853'!M13-'1853'!L13+'1853'!M15-'1853'!L15+'1853'!M17-'1853'!L17+'1853'!M19-'1853'!L19+'1853'!M21-'1853'!L21+'1853'!M23-'1853'!L23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29" x14ac:dyDescent="0.35">
      <c r="A10" s="36" t="s">
        <v>38</v>
      </c>
      <c r="B10" s="38">
        <f>('1850'!M27-'1850'!L27)</f>
        <v>0</v>
      </c>
      <c r="C10" s="43">
        <f>('1851'!N27-'1851'!M27)</f>
        <v>0</v>
      </c>
      <c r="D10" s="43">
        <f>('1852'!M27-'1852'!L27)</f>
        <v>0</v>
      </c>
      <c r="E10" s="43">
        <f>('1853'!M28-'1853'!L28)</f>
        <v>0</v>
      </c>
    </row>
    <row r="11" spans="1:29" ht="18" x14ac:dyDescent="0.4">
      <c r="A11" s="125" t="s">
        <v>44</v>
      </c>
      <c r="B11" s="126"/>
      <c r="C11" s="126"/>
      <c r="D11" s="126"/>
      <c r="E11" s="127"/>
    </row>
    <row r="12" spans="1:29" x14ac:dyDescent="0.35">
      <c r="A12" s="36" t="s">
        <v>40</v>
      </c>
      <c r="B12" s="39">
        <f>'1850'!M25-'1850'!L25</f>
        <v>0</v>
      </c>
      <c r="C12" s="39">
        <f>'1851'!N24-'1851'!M24</f>
        <v>0</v>
      </c>
      <c r="D12" s="39">
        <f>'1852'!M25-'1852'!L25</f>
        <v>0</v>
      </c>
      <c r="E12" s="39">
        <f>'1853'!M24-'1853'!L24</f>
        <v>0</v>
      </c>
    </row>
    <row r="13" spans="1:29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</row>
    <row r="14" spans="1:29" x14ac:dyDescent="0.35">
      <c r="A14" s="33" t="s">
        <v>41</v>
      </c>
      <c r="B14" s="40">
        <f>'1853'!M25-'1853'!L25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</row>
    <row r="15" spans="1:29" x14ac:dyDescent="0.35">
      <c r="A15" s="33" t="s">
        <v>42</v>
      </c>
      <c r="B15" s="41">
        <f>'1853'!M26-'1853'!L26</f>
        <v>0</v>
      </c>
      <c r="C15" s="41"/>
      <c r="D15" s="41"/>
      <c r="E15" s="41"/>
      <c r="F15" s="41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</row>
    <row r="16" spans="1:29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</row>
    <row r="18" spans="1:10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0" x14ac:dyDescent="0.35">
      <c r="A19" s="36" t="s">
        <v>32</v>
      </c>
      <c r="B19" s="36">
        <f>'1854'!M4-'1854'!L4+'1854'!M6-'1854'!L6+'1854'!M8-'1854'!L8+'1854'!M10-'1854'!L10+'1854'!M12-'1854'!L12+'1854'!M14-'1854'!L14+'1854'!M16-'1854'!L16+'1854'!M18-'1854'!L18+'1854'!M20-'1854'!L20+'1854'!M22-'1854'!L22</f>
        <v>0</v>
      </c>
      <c r="C19" s="36">
        <f>'1855'!M4-'1855'!L4+'1855'!M6-'1855'!L6+'1855'!M8-'1855'!L8+'1855'!M10-'1855'!L10+'1855'!M12-'1855'!L12+'1855'!M14-'1855'!L14+'1855'!M16-'1855'!L16+'1855'!M18-'1855'!L18+'1855'!M20-'1855'!L20+'1855'!M22-'1855'!L22</f>
        <v>0</v>
      </c>
      <c r="D19" s="36">
        <f>'1856'!M4-'1856'!L4+'1856'!M6-'1856'!L6+'1856'!M8-'1856'!L8+'1856'!M10-'1856'!L10+'1856'!M12-'1856'!L12+'1856'!M14-'1856'!L14+'1856'!M16-'1856'!L16+'1856'!M18-'1856'!L18+'1856'!M20-'1856'!L20+'1856'!M22-'1856'!L22</f>
        <v>0</v>
      </c>
      <c r="E19" s="36">
        <f>'1857'!M4-'1857'!L4+'1857'!M6-'1857'!L6+'1857'!M8-'1857'!L8+'1857'!M10-'1857'!L10+'1857'!M12-'1857'!L12+'1857'!M14-'1857'!L14+'1857'!M16-'1857'!L16+'1857'!M18-'1857'!L18+'1857'!M20-'1857'!L20+'1857'!M22-'1857'!L22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</row>
    <row r="20" spans="1:10" x14ac:dyDescent="0.35">
      <c r="A20" s="36" t="s">
        <v>33</v>
      </c>
      <c r="B20" s="36">
        <f>'1854'!M26-'1854'!L26</f>
        <v>0</v>
      </c>
      <c r="C20" s="36">
        <f>'1855'!M26-'1855'!L26</f>
        <v>0</v>
      </c>
      <c r="D20" s="36">
        <f>'1856'!M26-'1856'!L26</f>
        <v>0</v>
      </c>
      <c r="E20" s="36">
        <f>'1857'!M26-'1857'!L26</f>
        <v>0</v>
      </c>
    </row>
    <row r="21" spans="1:10" x14ac:dyDescent="0.35">
      <c r="A21" s="36" t="s">
        <v>34</v>
      </c>
      <c r="B21" s="368">
        <f>SUM(B20:E20)</f>
        <v>0</v>
      </c>
      <c r="C21" s="368"/>
      <c r="D21" s="368"/>
      <c r="E21" s="368"/>
      <c r="G21" s="133" t="e">
        <f>1-B21/B22</f>
        <v>#DIV/0!</v>
      </c>
    </row>
    <row r="22" spans="1:10" x14ac:dyDescent="0.35">
      <c r="A22" s="36" t="s">
        <v>35</v>
      </c>
      <c r="B22" s="368">
        <f>'1854'!M29-'1854'!L29</f>
        <v>0</v>
      </c>
      <c r="C22" s="368"/>
      <c r="D22" s="368"/>
      <c r="E22" s="368"/>
    </row>
    <row r="23" spans="1:10" ht="18" x14ac:dyDescent="0.4">
      <c r="A23" s="125" t="s">
        <v>36</v>
      </c>
      <c r="B23" s="126"/>
      <c r="C23" s="126"/>
      <c r="D23" s="126"/>
      <c r="E23" s="127"/>
    </row>
    <row r="24" spans="1:10" x14ac:dyDescent="0.35">
      <c r="A24" s="36" t="s">
        <v>37</v>
      </c>
      <c r="B24" s="36">
        <f>'1854'!M5-'1854'!L5+'1854'!M7-'1854'!L7+'1854'!M9-'1854'!L9+'1854'!M11-'1854'!L11+'1854'!M13-'1854'!L13+'1854'!M15-'1854'!L15+'1854'!M17-'1854'!L17+'1854'!M19-'1854'!L19+'1854'!M21-'1854'!L21+'1854'!M23-'1854'!L23</f>
        <v>0</v>
      </c>
      <c r="C24" s="36">
        <f>'1855'!M5-'1855'!L5+'1855'!M7-'1855'!L7+'1855'!M9-'1855'!L9+'1855'!M11-'1855'!L11+'1855'!M13-'1855'!L13+'1855'!M15-'1855'!L15+'1855'!M17-'1855'!L17+'1855'!M19-'1855'!L19+'1855'!M21-'1855'!L21+'1855'!M23-'1855'!L23</f>
        <v>0</v>
      </c>
      <c r="D24" s="36">
        <f>'1856'!M5-'1856'!L5+'1856'!M7-'1856'!L7+'1856'!M9-'1856'!L9+'1856'!M11-'1856'!L11+'1856'!M13-'1856'!L13+'1856'!M15-'1856'!L15+'1856'!M17-'1856'!L17+'1856'!M19-'1856'!L19+'1856'!M21-'1856'!L21+'1856'!M23-'1856'!L23</f>
        <v>0</v>
      </c>
      <c r="E24" s="36">
        <f>'1857'!M5-'1857'!L5+'1857'!M7-'1857'!L7+'1857'!M9-'1857'!L9+'1857'!M11-'1857'!L11+'1857'!M13-'1857'!L13+'1857'!M15-'1857'!L15+'1857'!M17-'1857'!L17+'1857'!M19-'1857'!L19+'1857'!M21-'1857'!L21+'1857'!M23-'1857'!L23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0" x14ac:dyDescent="0.35">
      <c r="A25" s="36" t="s">
        <v>38</v>
      </c>
      <c r="B25" s="43">
        <f>('1854'!M27-'1854'!L27)</f>
        <v>0</v>
      </c>
      <c r="C25" s="43">
        <f>('1855'!M27-'1855'!L27)</f>
        <v>0</v>
      </c>
      <c r="D25" s="43">
        <f>('1856'!M27-'1856'!L27)</f>
        <v>0</v>
      </c>
      <c r="E25" s="43">
        <f>('1857'!M27-'1857'!L27)</f>
        <v>0</v>
      </c>
    </row>
    <row r="26" spans="1:10" ht="18" x14ac:dyDescent="0.4">
      <c r="A26" s="125" t="s">
        <v>44</v>
      </c>
      <c r="B26" s="126"/>
      <c r="C26" s="126"/>
      <c r="D26" s="126"/>
      <c r="E26" s="127"/>
    </row>
    <row r="27" spans="1:10" x14ac:dyDescent="0.35">
      <c r="A27" s="36" t="s">
        <v>40</v>
      </c>
      <c r="B27" s="39">
        <f>'1854'!M25-'1854'!L25</f>
        <v>0</v>
      </c>
      <c r="C27" s="39">
        <f>'1855'!M25-'1855'!L25</f>
        <v>0</v>
      </c>
      <c r="D27" s="39">
        <f>'1856'!M25-'1856'!L25</f>
        <v>0</v>
      </c>
      <c r="E27" s="39">
        <f>'1857'!M25-'1857'!L25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65536">
    <cfRule type="cellIs" dxfId="25" priority="4" stopIfTrue="1" operator="lessThan">
      <formula>0</formula>
    </cfRule>
  </conditionalFormatting>
  <conditionalFormatting sqref="C1:E5 C8:E20 O13:R13 O16:U17 C23:E65536">
    <cfRule type="cellIs" dxfId="24" priority="5" stopIfTrue="1" operator="lessThan">
      <formula>0</formula>
    </cfRule>
  </conditionalFormatting>
  <conditionalFormatting sqref="F1:U2 I13:J13 F13:N17 I16:J17 F28:U65536">
    <cfRule type="cellIs" dxfId="23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15" width="11.453125" style="33" customWidth="1"/>
    <col min="16" max="16" width="13.36328125" style="33" customWidth="1"/>
    <col min="17" max="24" width="11.453125" style="33" customWidth="1"/>
    <col min="25" max="32" width="9.81640625" style="33" customWidth="1"/>
    <col min="33" max="36" width="6.453125" style="33" customWidth="1"/>
    <col min="37" max="16384" width="9" style="33"/>
  </cols>
  <sheetData>
    <row r="1" spans="1:32" ht="18" x14ac:dyDescent="0.4">
      <c r="A1" s="34" t="s">
        <v>52</v>
      </c>
      <c r="B1" s="35">
        <f>'S1'!B1</f>
        <v>2026</v>
      </c>
      <c r="C1" s="35"/>
    </row>
    <row r="3" spans="1:32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32" x14ac:dyDescent="0.35">
      <c r="A4" s="42" t="s">
        <v>32</v>
      </c>
      <c r="B4" s="36">
        <f>'1850'!N4-'1850'!M4+'1850'!N6-'1850'!M6+'1850'!N8-'1850'!M8+'1850'!N10-'1850'!M10+'1850'!N12-'1850'!M12+'1850'!N14-'1850'!M14+'1850'!N16-'1850'!M16+'1850'!N18-'1850'!M18+'1850'!N20-'1850'!M20+'1850'!N22-'1850'!M22</f>
        <v>0</v>
      </c>
      <c r="C4" s="36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0</v>
      </c>
      <c r="D4" s="36">
        <f>'1852'!N4-'1852'!M4+'1852'!N6-'1852'!M6+'1852'!N8-'1852'!M8+'1852'!N10-'1852'!M10+'1852'!N12-'1852'!M12+'1852'!N14-'1852'!M14+'1852'!N16-'1852'!M16+'1852'!N18-'1852'!M18+'1852'!N20-'1852'!M20+'1852'!N22-'1852'!M22</f>
        <v>0</v>
      </c>
      <c r="E4" s="36">
        <f>'1853'!N4-'1853'!M4+'1853'!N6-'1853'!M6+'1853'!N8-'1853'!M8+'1853'!N10-'1853'!M10+'1853'!N12-'1853'!M12+'1853'!N14-'1853'!M14+'1853'!N16-'1853'!M16+'1853'!N18-'1853'!M18+'1853'!N20-'1853'!M20+'1853'!N22-'1853'!M22+'1853'!N26-'1853'!M26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32" x14ac:dyDescent="0.35">
      <c r="A5" s="42" t="s">
        <v>33</v>
      </c>
      <c r="B5" s="36">
        <f>'1850'!N26-'1850'!M26</f>
        <v>0</v>
      </c>
      <c r="C5" s="36">
        <f>'1851'!O26-'1851'!N26</f>
        <v>0</v>
      </c>
      <c r="D5" s="36">
        <f>'1852'!N26-'1852'!M26</f>
        <v>0</v>
      </c>
      <c r="E5" s="36">
        <f>'1853'!N27-'1853'!M27</f>
        <v>0</v>
      </c>
    </row>
    <row r="6" spans="1:32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32" x14ac:dyDescent="0.35">
      <c r="A7" s="42" t="s">
        <v>35</v>
      </c>
      <c r="B7" s="368">
        <f>'1850'!N29-'1850'!M29</f>
        <v>0</v>
      </c>
      <c r="C7" s="368"/>
      <c r="D7" s="368"/>
      <c r="E7" s="368"/>
    </row>
    <row r="8" spans="1:32" ht="18" x14ac:dyDescent="0.4">
      <c r="A8" s="125" t="s">
        <v>36</v>
      </c>
      <c r="B8" s="126"/>
      <c r="C8" s="126"/>
      <c r="D8" s="126"/>
      <c r="E8" s="127"/>
    </row>
    <row r="9" spans="1:32" x14ac:dyDescent="0.35">
      <c r="A9" s="36" t="s">
        <v>37</v>
      </c>
      <c r="B9" s="36">
        <f>'1850'!N5-'1850'!M5+'1850'!N7-'1850'!M7+'1850'!N9-'1850'!M9+'1850'!N11-'1850'!M11+'1850'!N13-'1850'!M13+'1850'!N15-'1850'!M15+'1850'!N17-'1850'!M17+'1850'!N19-'1850'!M19+'1850'!N21-'1850'!M21+'1850'!N23-'1850'!M23</f>
        <v>0</v>
      </c>
      <c r="C9" s="36">
        <f>'1851'!O5-'1851'!N5+'1851'!O7-'1851'!N7+'1851'!O9-'1851'!N9+'1851'!O11-'1851'!N11+'1851'!O13-'1851'!N13+'1851'!O15-'1851'!N15+'1851'!O17-'1851'!N17+'1851'!O19-'1851'!N19+'1851'!O21-'1851'!N21+'1851'!O23-'1851'!N23</f>
        <v>0</v>
      </c>
      <c r="D9" s="36">
        <f>'1852'!N5-'1852'!M5+'1852'!N7-'1852'!M7+'1852'!N9-'1852'!M9+'1852'!N11-'1852'!M11+'1852'!N13-'1852'!M13+'1852'!N15-'1852'!M15+'1852'!N17-'1852'!M17+'1852'!N19-'1852'!M19+'1852'!N21-'1852'!M21+'1852'!N23-'1852'!M23</f>
        <v>0</v>
      </c>
      <c r="E9" s="36">
        <f>'1853'!N5-'1853'!M5+'1853'!N7-'1853'!M7+'1853'!N9-'1853'!M9+'1853'!N11-'1853'!M11+'1853'!N13-'1853'!M13+'1853'!N15-'1853'!M15+'1853'!N17-'1853'!M17+'1853'!N19-'1853'!M19+'1853'!N21-'1853'!M21+'1853'!N23-'1853'!M23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32" x14ac:dyDescent="0.35">
      <c r="A10" s="36" t="s">
        <v>38</v>
      </c>
      <c r="B10" s="43">
        <f>('1850'!N27-'1850'!M27)</f>
        <v>0</v>
      </c>
      <c r="C10" s="43">
        <f>('1851'!O27-'1851'!N27)</f>
        <v>0</v>
      </c>
      <c r="D10" s="43">
        <f>('1852'!N27-'1852'!M27)</f>
        <v>0</v>
      </c>
      <c r="E10" s="43">
        <f>('1853'!N28-'1853'!M28)</f>
        <v>0</v>
      </c>
    </row>
    <row r="11" spans="1:32" ht="18" x14ac:dyDescent="0.4">
      <c r="A11" s="125" t="s">
        <v>44</v>
      </c>
      <c r="B11" s="126"/>
      <c r="C11" s="126"/>
      <c r="D11" s="126"/>
      <c r="E11" s="127"/>
    </row>
    <row r="12" spans="1:32" x14ac:dyDescent="0.35">
      <c r="A12" s="36" t="s">
        <v>40</v>
      </c>
      <c r="B12" s="39">
        <f>'1850'!N25-'1850'!M25</f>
        <v>0</v>
      </c>
      <c r="C12" s="39">
        <f>'1851'!O24-'1851'!N24</f>
        <v>0</v>
      </c>
      <c r="D12" s="39">
        <f>'1852'!N25-'1852'!M25</f>
        <v>0</v>
      </c>
      <c r="E12" s="39">
        <f>'1853'!N24-'1853'!M24</f>
        <v>0</v>
      </c>
    </row>
    <row r="13" spans="1:32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32" x14ac:dyDescent="0.35">
      <c r="A14" s="33" t="s">
        <v>41</v>
      </c>
      <c r="B14" s="40">
        <f>'1853'!N25-'1853'!M25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1:32" x14ac:dyDescent="0.35">
      <c r="A15" s="33" t="s">
        <v>42</v>
      </c>
      <c r="B15" s="41">
        <f>'1853'!N26-'1853'!M26</f>
        <v>0</v>
      </c>
      <c r="C15" s="41"/>
      <c r="D15" s="41"/>
      <c r="E15" s="41"/>
      <c r="F15" s="41"/>
      <c r="G15" s="40"/>
      <c r="H15" s="40"/>
      <c r="I15" s="40"/>
      <c r="J15" s="40"/>
      <c r="K15" s="41"/>
      <c r="L15" s="41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32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</row>
    <row r="18" spans="1:16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</row>
    <row r="19" spans="1:16" x14ac:dyDescent="0.35">
      <c r="A19" s="36" t="s">
        <v>32</v>
      </c>
      <c r="B19" s="36">
        <f>'1854'!N4-'1854'!M4+'1854'!N6-'1854'!M6+'1854'!N8-'1854'!M8+'1854'!N10-'1854'!M10+'1854'!N12-'1854'!M12+'1854'!N14-'1854'!M14+'1854'!N16-'1854'!M16+'1854'!N18-'1854'!M18+'1854'!N20-'1854'!M20+'1854'!N22-'1854'!M22</f>
        <v>0</v>
      </c>
      <c r="C19" s="36">
        <f>'1855'!N4-'1855'!M4+'1855'!N6-'1855'!M6+'1855'!N8-'1855'!M8+'1855'!N10-'1855'!M10+'1855'!N12-'1855'!M12+'1855'!N14-'1855'!M14+'1855'!N16-'1855'!M16+'1855'!N18-'1855'!M18+'1855'!N20-'1855'!M20+'1855'!N22-'1855'!M22</f>
        <v>0</v>
      </c>
      <c r="D19" s="36">
        <f>'1856'!N4-'1856'!M4+'1856'!N6-'1856'!M6+'1856'!N8-'1856'!M8+'1856'!N10-'1856'!M10+'1856'!N12-'1856'!M12+'1856'!N14-'1856'!M14+'1856'!N16-'1856'!M16+'1856'!N18-'1856'!M18+'1856'!N20-'1856'!M20+'1856'!N22-'1856'!M22</f>
        <v>0</v>
      </c>
      <c r="E19" s="36">
        <f>'1857'!N4-'1857'!M4+'1857'!N6-'1857'!M6+'1857'!N8-'1857'!M8+'1857'!N10-'1857'!M10+'1857'!N12-'1857'!M12+'1857'!N14-'1857'!M14+'1857'!N16-'1857'!M16+'1857'!N18-'1857'!M18+'1857'!N20-'1857'!M20+'1857'!N22-'1857'!M22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</row>
    <row r="20" spans="1:16" x14ac:dyDescent="0.35">
      <c r="A20" s="36" t="s">
        <v>33</v>
      </c>
      <c r="B20" s="36">
        <f>'1854'!N26-'1854'!M26</f>
        <v>0</v>
      </c>
      <c r="C20" s="36">
        <f>'1855'!N26-'1855'!M26</f>
        <v>0</v>
      </c>
      <c r="D20" s="36">
        <f>'1856'!N26-'1856'!M26</f>
        <v>0</v>
      </c>
      <c r="E20" s="36">
        <f>'1857'!N26-'1857'!M26</f>
        <v>0</v>
      </c>
    </row>
    <row r="21" spans="1:16" x14ac:dyDescent="0.35">
      <c r="A21" s="36" t="s">
        <v>34</v>
      </c>
      <c r="B21" s="368">
        <f>SUM(B20:E20)</f>
        <v>0</v>
      </c>
      <c r="C21" s="368"/>
      <c r="D21" s="368"/>
      <c r="E21" s="368"/>
      <c r="G21" s="292" t="e">
        <f>1-B21/B22</f>
        <v>#DIV/0!</v>
      </c>
      <c r="M21" s="33">
        <f>B21</f>
        <v>0</v>
      </c>
      <c r="O21" s="292">
        <f>1-M21/M22</f>
        <v>1</v>
      </c>
    </row>
    <row r="22" spans="1:16" x14ac:dyDescent="0.35">
      <c r="A22" s="36" t="s">
        <v>35</v>
      </c>
      <c r="B22" s="392">
        <f>'1854'!N29-'1854'!M29</f>
        <v>0</v>
      </c>
      <c r="C22" s="392"/>
      <c r="D22" s="392"/>
      <c r="E22" s="392"/>
      <c r="M22" s="33">
        <f>B22+165</f>
        <v>165</v>
      </c>
    </row>
    <row r="23" spans="1:16" ht="18" x14ac:dyDescent="0.4">
      <c r="A23" s="125" t="s">
        <v>36</v>
      </c>
      <c r="B23" s="126"/>
      <c r="C23" s="126"/>
      <c r="D23" s="126"/>
      <c r="E23" s="127"/>
      <c r="O23" s="257"/>
      <c r="P23" s="66"/>
    </row>
    <row r="24" spans="1:16" x14ac:dyDescent="0.35">
      <c r="A24" s="36" t="s">
        <v>37</v>
      </c>
      <c r="B24" s="36">
        <f>'1854'!N5-'1854'!M5+'1854'!N7-'1854'!M7+'1854'!N9-'1854'!M9+'1854'!N11-'1854'!M11+'1854'!N13-'1854'!M13+'1854'!N15-'1854'!M15+'1854'!N17-'1854'!M17+'1854'!N19-'1854'!M19+'1854'!N21-'1854'!M21+'1854'!N23-'1854'!M23</f>
        <v>0</v>
      </c>
      <c r="C24" s="36">
        <f>'1855'!N5-'1855'!M5+'1855'!N7-'1855'!M7+'1855'!N9-'1855'!M9+'1855'!N11-'1855'!M11+'1855'!N13-'1855'!M13+'1855'!N15-'1855'!M15+'1855'!N17-'1855'!M17+'1855'!N19-'1855'!M19+'1855'!N21-'1855'!M21+'1855'!N23-'1855'!M23</f>
        <v>0</v>
      </c>
      <c r="D24" s="36">
        <f>'1856'!N5-'1856'!M5+'1856'!N7-'1856'!M7+'1856'!N9-'1856'!M9+'1856'!N11-'1856'!M11+'1856'!N13-'1856'!M13+'1856'!N15-'1856'!M15+'1856'!N17-'1856'!M17+'1856'!N19-'1856'!M19+'1856'!N21-'1856'!M21+'1856'!N23-'1856'!M23</f>
        <v>0</v>
      </c>
      <c r="E24" s="36">
        <f>'1857'!N5-'1857'!M5+'1857'!N7-'1857'!M7+'1857'!N9-'1857'!M9+'1857'!N11-'1857'!M11+'1857'!N13-'1857'!M13+'1857'!N15-'1857'!M15+'1857'!N17-'1857'!M17+'1857'!N19-'1857'!M19+'1857'!N21-'1857'!M21+'1857'!N23-'1857'!M23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  <c r="O24" s="257"/>
      <c r="P24" s="258"/>
    </row>
    <row r="25" spans="1:16" x14ac:dyDescent="0.35">
      <c r="A25" s="36" t="s">
        <v>38</v>
      </c>
      <c r="B25" s="43">
        <f>('1854'!N27-'1854'!M27)</f>
        <v>0</v>
      </c>
      <c r="C25" s="43">
        <f>('1855'!N27-'1855'!M27)</f>
        <v>0</v>
      </c>
      <c r="D25" s="43">
        <f>('1856'!N27-'1856'!M27)</f>
        <v>0</v>
      </c>
      <c r="E25" s="43">
        <f>('1857'!N27-'1857'!M27)</f>
        <v>0</v>
      </c>
    </row>
    <row r="26" spans="1:16" ht="18" x14ac:dyDescent="0.4">
      <c r="A26" s="125" t="s">
        <v>44</v>
      </c>
      <c r="B26" s="126"/>
      <c r="C26" s="126"/>
      <c r="D26" s="126"/>
      <c r="E26" s="127"/>
    </row>
    <row r="27" spans="1:16" x14ac:dyDescent="0.35">
      <c r="A27" s="36" t="s">
        <v>40</v>
      </c>
      <c r="B27" s="39">
        <f>'1854'!N25-'1854'!M25</f>
        <v>0</v>
      </c>
      <c r="C27" s="39">
        <f>'1855'!N25-'1855'!M25</f>
        <v>0</v>
      </c>
      <c r="D27" s="39">
        <f>'1856'!N25-'1856'!M25</f>
        <v>0</v>
      </c>
      <c r="E27" s="39">
        <f>'1857'!N25-'1857'!M25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Q13:T13 Q16:X17 C23:E65536">
    <cfRule type="cellIs" dxfId="22" priority="5" stopIfTrue="1" operator="lessThan">
      <formula>0</formula>
    </cfRule>
  </conditionalFormatting>
  <conditionalFormatting sqref="F1:X2 I13:J13 F13:P17 I16:J17 F28:X65536">
    <cfRule type="cellIs" dxfId="21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7"/>
  <sheetViews>
    <sheetView workbookViewId="0">
      <selection activeCell="L14" sqref="L14"/>
    </sheetView>
  </sheetViews>
  <sheetFormatPr defaultColWidth="9" defaultRowHeight="17.5" x14ac:dyDescent="0.35"/>
  <cols>
    <col min="1" max="1" width="35" style="33" customWidth="1"/>
    <col min="2" max="6" width="11.453125" style="33" customWidth="1"/>
    <col min="7" max="7" width="12.08984375" style="33" bestFit="1" customWidth="1"/>
    <col min="8" max="27" width="11.453125" style="33" customWidth="1"/>
    <col min="28" max="35" width="9.81640625" style="33" customWidth="1"/>
    <col min="36" max="39" width="6.453125" style="33" customWidth="1"/>
    <col min="40" max="16384" width="9" style="33"/>
  </cols>
  <sheetData>
    <row r="1" spans="1:35" ht="18" x14ac:dyDescent="0.4">
      <c r="A1" s="34" t="s">
        <v>53</v>
      </c>
      <c r="B1" s="35">
        <f>'S1'!B1</f>
        <v>2026</v>
      </c>
      <c r="C1" s="35"/>
      <c r="D1" s="35"/>
      <c r="E1" s="35"/>
    </row>
    <row r="3" spans="1:35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35" x14ac:dyDescent="0.35">
      <c r="A4" s="42" t="s">
        <v>32</v>
      </c>
      <c r="B4" s="36">
        <f>'1850'!O4-'1850'!N4+'1850'!O6-'1850'!N6+'1850'!O8-'1850'!N8+'1850'!O10-'1850'!N10+'1850'!O12-'1850'!N12+'1850'!O14-'1850'!N14+'1850'!O16-'1850'!N16+'1850'!O18-'1850'!N18+'1850'!O20-'1850'!N20+'1850'!O22-'1850'!N22</f>
        <v>0</v>
      </c>
      <c r="C4" s="253">
        <f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0</v>
      </c>
      <c r="D4" s="253">
        <f>'1852'!O4-'1852'!N4+'1852'!O6-'1852'!N6+'1852'!O8-'1852'!N8+'1852'!O10-'1852'!N10+'1852'!O12-'1852'!N12+'1852'!O14-'1852'!N14+'1852'!O16-'1852'!N16+'1852'!O18-'1852'!N18+'1852'!O20-'1852'!N20+'1852'!O22-'1852'!N22</f>
        <v>0</v>
      </c>
      <c r="E4" s="36">
        <f>'1853'!O4-'1853'!N4+'1853'!O6-'1853'!N6+'1853'!O8-'1853'!N8+'1853'!O10-'1853'!N10+'1853'!O12-'1853'!N12+'1853'!O14-'1853'!N14+'1853'!O16-'1853'!N16+'1853'!O18-'1853'!N18+'1853'!O20-'1853'!N20+'1853'!O22-'1853'!N22+'1853'!O26-'1853'!N26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35" x14ac:dyDescent="0.35">
      <c r="A5" s="42" t="s">
        <v>33</v>
      </c>
      <c r="B5" s="36">
        <f>'1850'!O26-'1850'!N26</f>
        <v>0</v>
      </c>
      <c r="C5" s="36">
        <f>'1851'!P26-'1851'!O26</f>
        <v>0</v>
      </c>
      <c r="D5" s="36">
        <f>'1852'!O26-'1852'!N26</f>
        <v>0</v>
      </c>
      <c r="E5" s="36">
        <f>'1853'!O27-'1853'!N27</f>
        <v>0</v>
      </c>
    </row>
    <row r="6" spans="1:35" x14ac:dyDescent="0.35">
      <c r="A6" s="42" t="s">
        <v>34</v>
      </c>
      <c r="B6" s="368">
        <f>SUM(B5:E5)</f>
        <v>0</v>
      </c>
      <c r="C6" s="368"/>
      <c r="D6" s="368"/>
      <c r="E6" s="368"/>
      <c r="G6" s="133" t="e">
        <f>1-B6/B7</f>
        <v>#DIV/0!</v>
      </c>
    </row>
    <row r="7" spans="1:35" x14ac:dyDescent="0.35">
      <c r="A7" s="42" t="s">
        <v>35</v>
      </c>
      <c r="B7" s="368">
        <f>'1850'!O29-'1850'!N29</f>
        <v>0</v>
      </c>
      <c r="C7" s="368"/>
      <c r="D7" s="368"/>
      <c r="E7" s="368"/>
    </row>
    <row r="8" spans="1:35" ht="18" x14ac:dyDescent="0.4">
      <c r="A8" s="125" t="s">
        <v>36</v>
      </c>
      <c r="B8" s="126"/>
      <c r="C8" s="126"/>
      <c r="D8" s="126"/>
      <c r="E8" s="127"/>
    </row>
    <row r="9" spans="1:35" x14ac:dyDescent="0.35">
      <c r="A9" s="36" t="s">
        <v>37</v>
      </c>
      <c r="B9" s="36">
        <f>'1850'!O5-'1850'!N5+'1850'!O7-'1850'!N7+'1850'!O9-'1850'!N9+'1850'!O11-'1850'!N11+'1850'!O13-'1850'!N13+'1850'!O15-'1850'!N15+'1850'!O17-'1850'!N17+'1850'!O19-'1850'!N19+'1850'!O21-'1850'!N21+'1850'!O23-'1850'!N23</f>
        <v>0</v>
      </c>
      <c r="C9" s="36">
        <f>'1851'!P5-'1851'!O5+'1851'!P7-'1851'!O7+'1851'!P9-'1851'!O9+'1851'!P11-'1851'!O11+'1851'!P13-'1851'!O13+'1851'!P15-'1851'!O15+'1851'!P17-'1851'!O17+'1851'!P19-'1851'!O19+'1851'!P21-'1851'!O21+'1851'!P23-'1851'!O23</f>
        <v>0</v>
      </c>
      <c r="D9" s="36">
        <f>'1852'!O5-'1852'!N5+'1852'!O7-'1852'!N7+'1852'!O9-'1852'!N9+'1852'!O11-'1852'!N11+'1852'!O13-'1852'!N13+'1852'!O15-'1852'!N15+'1852'!O17-'1852'!N17+'1852'!O19-'1852'!N19+'1852'!O21-'1852'!N21+'1852'!O23-'1852'!N23</f>
        <v>0</v>
      </c>
      <c r="E9" s="36">
        <f>'1853'!O5-'1853'!N5+'1853'!O7-'1853'!N7+'1853'!O9-'1853'!N9+'1853'!O11-'1853'!N11+'1853'!O13-'1853'!N13+'1853'!O15-'1853'!N15+'1853'!O17-'1853'!N17+'1853'!O19-'1853'!N19+'1853'!O21-'1853'!N21+'1853'!O23-'1853'!N23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35" x14ac:dyDescent="0.35">
      <c r="A10" s="36" t="s">
        <v>38</v>
      </c>
      <c r="B10" s="43">
        <f>('1850'!O27-'1850'!N27)</f>
        <v>0</v>
      </c>
      <c r="C10" s="43">
        <f>('1851'!P27-'1851'!O27)</f>
        <v>0</v>
      </c>
      <c r="D10" s="43">
        <f>('1852'!O27-'1852'!N27)</f>
        <v>0</v>
      </c>
      <c r="E10" s="43">
        <f>('1853'!O28-'1853'!N28)</f>
        <v>0</v>
      </c>
    </row>
    <row r="11" spans="1:35" ht="18" x14ac:dyDescent="0.4">
      <c r="A11" s="125" t="s">
        <v>44</v>
      </c>
      <c r="B11" s="126"/>
      <c r="C11" s="126"/>
      <c r="D11" s="126"/>
      <c r="E11" s="127"/>
    </row>
    <row r="12" spans="1:35" x14ac:dyDescent="0.35">
      <c r="A12" s="36" t="s">
        <v>40</v>
      </c>
      <c r="B12" s="39">
        <f>'1850'!O25-'1850'!N25</f>
        <v>0</v>
      </c>
      <c r="C12" s="39">
        <f>'1851'!P24-'1851'!O24</f>
        <v>0</v>
      </c>
      <c r="D12" s="39">
        <f>'1852'!O25-'1852'!N25</f>
        <v>0</v>
      </c>
      <c r="E12" s="39">
        <f>'1853'!O24-'1853'!N24</f>
        <v>0</v>
      </c>
    </row>
    <row r="13" spans="1:35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</row>
    <row r="14" spans="1:35" x14ac:dyDescent="0.35">
      <c r="A14" s="33" t="s">
        <v>41</v>
      </c>
      <c r="B14" s="40">
        <f>'1853'!O25-'1853'!N25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spans="1:35" x14ac:dyDescent="0.35">
      <c r="A15" s="33" t="s">
        <v>42</v>
      </c>
      <c r="B15" s="41">
        <f>'1853'!O26-'1853'!N26</f>
        <v>0</v>
      </c>
      <c r="C15" s="41"/>
      <c r="D15" s="41"/>
      <c r="E15" s="41"/>
      <c r="F15" s="41"/>
      <c r="G15" s="40"/>
      <c r="H15" s="40"/>
      <c r="I15" s="40"/>
      <c r="J15" s="40"/>
      <c r="K15" s="41"/>
      <c r="L15" s="41"/>
      <c r="M15" s="41"/>
      <c r="N15" s="41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35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283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</row>
    <row r="17" spans="1:15" x14ac:dyDescent="0.35">
      <c r="M17" s="66"/>
    </row>
    <row r="18" spans="1:15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M18" s="66"/>
    </row>
    <row r="19" spans="1:15" x14ac:dyDescent="0.35">
      <c r="A19" s="36" t="s">
        <v>32</v>
      </c>
      <c r="B19" s="253">
        <f>'1854'!O4-'1854'!N4+'1854'!O6-'1854'!N6+'1854'!O8-'1854'!N8+'1854'!O10-'1854'!N10+'1854'!O12-'1854'!N12+'1854'!O14-'1854'!N14+'1854'!O16-'1854'!N16+'1854'!O18-'1854'!N18+'1854'!O20-'1854'!N20+'1854'!O22-'1854'!N22</f>
        <v>0</v>
      </c>
      <c r="C19" s="36">
        <f>'1855'!O4-'1855'!N4+'1855'!O6-'1855'!N6+'1855'!O8-'1855'!N8+'1855'!O10-'1855'!N10+'1855'!O12-'1855'!N12+'1855'!O14-'1855'!N14+'1855'!O16-'1855'!N16+'1855'!O18-'1855'!N18+'1855'!O20-'1855'!N20+'1855'!O22-'1855'!N22</f>
        <v>0</v>
      </c>
      <c r="D19" s="36">
        <f>'1856'!O4-'1856'!N4+'1856'!O6-'1856'!N6+'1856'!O8-'1856'!N8+'1856'!O10-'1856'!N10+'1856'!O12-'1856'!N12+'1856'!O14-'1856'!N14+'1856'!O16-'1856'!N16+'1856'!O18-'1856'!N18+'1856'!O20-'1856'!N20+'1856'!O22-'1856'!N22</f>
        <v>0</v>
      </c>
      <c r="E19" s="36">
        <f>'1857'!O4-'1857'!N4+'1857'!O6-'1857'!N6+'1857'!O8-'1857'!N8+'1857'!O10-'1857'!N10+'1857'!O12-'1857'!N12+'1857'!O14-'1857'!N14+'1857'!O16-'1857'!N16+'1857'!O18-'1857'!N18+'1857'!O20-'1857'!N20+'1857'!O22-'1857'!N22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  <c r="M19" s="133"/>
    </row>
    <row r="20" spans="1:15" x14ac:dyDescent="0.35">
      <c r="A20" s="36" t="s">
        <v>33</v>
      </c>
      <c r="B20" s="36">
        <f>'1854'!O26-'1854'!N26</f>
        <v>0</v>
      </c>
      <c r="C20" s="36">
        <f>'1855'!O26-'1855'!N26</f>
        <v>0</v>
      </c>
      <c r="D20" s="36">
        <f>'1856'!O26-'1856'!N26</f>
        <v>0</v>
      </c>
      <c r="E20" s="36">
        <f>'1857'!O26-'1857'!N26</f>
        <v>0</v>
      </c>
    </row>
    <row r="21" spans="1:15" x14ac:dyDescent="0.35">
      <c r="A21" s="36" t="s">
        <v>34</v>
      </c>
      <c r="B21" s="368">
        <f>SUM(B20:E20)</f>
        <v>0</v>
      </c>
      <c r="C21" s="368"/>
      <c r="D21" s="368"/>
      <c r="E21" s="368"/>
      <c r="G21" s="292" t="e">
        <f>1-B21/B22</f>
        <v>#DIV/0!</v>
      </c>
      <c r="M21" s="33">
        <f>B21</f>
        <v>0</v>
      </c>
      <c r="O21" s="292">
        <f>1-M21/M22</f>
        <v>1</v>
      </c>
    </row>
    <row r="22" spans="1:15" x14ac:dyDescent="0.35">
      <c r="A22" s="36" t="s">
        <v>35</v>
      </c>
      <c r="B22" s="368">
        <f>'1854'!O29-'1854'!N29</f>
        <v>0</v>
      </c>
      <c r="C22" s="368"/>
      <c r="D22" s="368"/>
      <c r="E22" s="368"/>
      <c r="M22" s="33">
        <f>B22+35</f>
        <v>35</v>
      </c>
    </row>
    <row r="23" spans="1:15" ht="18" x14ac:dyDescent="0.4">
      <c r="A23" s="125" t="s">
        <v>36</v>
      </c>
      <c r="B23" s="126"/>
      <c r="C23" s="126"/>
      <c r="D23" s="126"/>
      <c r="E23" s="127"/>
    </row>
    <row r="24" spans="1:15" x14ac:dyDescent="0.35">
      <c r="A24" s="36" t="s">
        <v>37</v>
      </c>
      <c r="B24" s="36">
        <f>'1854'!O5-'1854'!N5+'1854'!O7-'1854'!N7+'1854'!O9-'1854'!N9+'1854'!O11-'1854'!N11+'1854'!O13-'1854'!N13+'1854'!O15-'1854'!N15+'1854'!O17-'1854'!N17+'1854'!O19-'1854'!N19+'1854'!O21-'1854'!N21+'1854'!O23-'1854'!N23</f>
        <v>0</v>
      </c>
      <c r="C24" s="36">
        <f>'1855'!O5-'1855'!N5+'1855'!O7-'1855'!N7+'1855'!O9-'1855'!N9+'1855'!O11-'1855'!N11+'1855'!O13-'1855'!N13+'1855'!O15-'1855'!N15+'1855'!O17-'1855'!N17+'1855'!O19-'1855'!N19+'1855'!O21-'1855'!N21+'1855'!O23-'1855'!N23</f>
        <v>0</v>
      </c>
      <c r="D24" s="36">
        <f>'1856'!O5-'1856'!N5+'1856'!O7-'1856'!N7+'1856'!O9-'1856'!N9+'1856'!O11-'1856'!N11+'1856'!O13-'1856'!N13+'1856'!O15-'1856'!N15+'1856'!O17-'1856'!N17+'1856'!O19-'1856'!N19+'1856'!O21-'1856'!N21+'1856'!O23-'1856'!N23</f>
        <v>0</v>
      </c>
      <c r="E24" s="36">
        <f>'1857'!O5-'1857'!N5+'1857'!O7-'1857'!N7+'1857'!O9-'1857'!N9+'1857'!O11-'1857'!N11+'1857'!O13-'1857'!N13+'1857'!O15-'1857'!N15+'1857'!O17-'1857'!N17+'1857'!O19-'1857'!N19+'1857'!O21-'1857'!N21+'1857'!O23-'1857'!N23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5" x14ac:dyDescent="0.35">
      <c r="A25" s="36" t="s">
        <v>38</v>
      </c>
      <c r="B25" s="43">
        <f>('1854'!O27-'1854'!N27)</f>
        <v>0</v>
      </c>
      <c r="C25" s="43">
        <f>('1855'!O27-'1855'!N27)</f>
        <v>0</v>
      </c>
      <c r="D25" s="43">
        <f>('1856'!O27-'1856'!N27)</f>
        <v>0</v>
      </c>
      <c r="E25" s="43">
        <f>('1857'!O27-'1857'!N27)</f>
        <v>0</v>
      </c>
    </row>
    <row r="26" spans="1:15" ht="18" x14ac:dyDescent="0.4">
      <c r="A26" s="125" t="s">
        <v>44</v>
      </c>
      <c r="B26" s="126"/>
      <c r="C26" s="126"/>
      <c r="D26" s="126"/>
      <c r="E26" s="127"/>
    </row>
    <row r="27" spans="1:15" x14ac:dyDescent="0.35">
      <c r="A27" s="36" t="s">
        <v>40</v>
      </c>
      <c r="B27" s="39">
        <f>'1854'!O25-'1854'!N25</f>
        <v>0</v>
      </c>
      <c r="C27" s="39">
        <f>'1855'!O25-'1855'!N25</f>
        <v>0</v>
      </c>
      <c r="D27" s="39">
        <f>'1856'!O25-'1856'!N25</f>
        <v>0</v>
      </c>
      <c r="E27" s="39">
        <f>'1857'!O25-'1857'!N25</f>
        <v>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S13:V13 S16:AA17 C23:E65536">
    <cfRule type="cellIs" dxfId="20" priority="6" stopIfTrue="1" operator="lessThan">
      <formula>0</formula>
    </cfRule>
  </conditionalFormatting>
  <conditionalFormatting sqref="F1:AA2 I13:J13 F13:R17 I16:J17 F28:AA65536">
    <cfRule type="cellIs" dxfId="1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H27"/>
  <sheetViews>
    <sheetView workbookViewId="0">
      <selection activeCell="L14" sqref="L14"/>
    </sheetView>
  </sheetViews>
  <sheetFormatPr defaultColWidth="9" defaultRowHeight="17.5" x14ac:dyDescent="0.35"/>
  <cols>
    <col min="1" max="1" width="36.26953125" style="33" customWidth="1"/>
    <col min="2" max="30" width="11.453125" style="33" customWidth="1"/>
    <col min="31" max="38" width="9.81640625" style="33" customWidth="1"/>
    <col min="39" max="42" width="6.453125" style="33" customWidth="1"/>
    <col min="43" max="16384" width="9" style="33"/>
  </cols>
  <sheetData>
    <row r="1" spans="1:34" ht="18" x14ac:dyDescent="0.4">
      <c r="A1" s="34" t="s">
        <v>54</v>
      </c>
      <c r="B1" s="35">
        <f>'S1'!B1</f>
        <v>2026</v>
      </c>
      <c r="C1" s="35"/>
      <c r="D1" s="35"/>
      <c r="E1" s="35"/>
      <c r="F1" s="35"/>
    </row>
    <row r="2" spans="1:34" x14ac:dyDescent="0.35">
      <c r="N2" s="278" t="s">
        <v>220</v>
      </c>
      <c r="O2" s="278"/>
    </row>
    <row r="3" spans="1:34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</row>
    <row r="4" spans="1:34" x14ac:dyDescent="0.35">
      <c r="A4" s="42" t="s">
        <v>32</v>
      </c>
      <c r="B4" s="36">
        <f>'1850'!P4-'1850'!O4+'1850'!P6-'1850'!O6+'1850'!P8-'1850'!O8+'1850'!P10-'1850'!O10+'1850'!P12-'1850'!O12+'1850'!P14-'1850'!O14+'1850'!P16-'1850'!O16+'1850'!P18-'1850'!O18+'1850'!P20-'1850'!O20+'1850'!P22-'1850'!O22</f>
        <v>0</v>
      </c>
      <c r="C4" s="36">
        <f>'1851'!Q4-'1851'!P4+'1851'!Q6-'1851'!P6+'1851'!Q8-'1851'!P8+'1851'!Q10-'1851'!P10+'1851'!Q12-'1851'!P12+'1851'!Q14-'1851'!P14+'1851'!Q16-'1851'!P16+'1851'!Q18-'1851'!P18+'1851'!Q20-'1851'!P20+'1851'!Q22-'1851'!P22+'1851'!Q33-'1851'!P33+'1851'!Q34-'1851'!P34+'1851'!Q35-'1851'!P35+'1851'!Q36-'1851'!P36+'1851'!Q37-'1851'!P37+'1851'!Q40-'1851'!P40+'1851'!Q41-'1851'!P41+'1851'!Q42-'1851'!P42+'1851'!Q43-'1851'!P43+'1851'!Q44-'1851'!P44+'1851'!Q45-'1851'!P45+'1851'!Q46-'1851'!P46+'1851'!Q47-'1851'!P47+'1851'!Q48-'1851'!P48+'1851'!Q49-'1851'!P49</f>
        <v>0</v>
      </c>
      <c r="D4" s="36">
        <f>'1852'!P4-'1852'!O4+'1852'!P6-'1852'!O6+'1852'!P8-'1852'!O8+'1852'!P10-'1852'!O10+'1852'!P12-'1852'!O12+'1852'!P14-'1852'!O14+'1852'!P16-'1852'!O16+'1852'!P18-'1852'!O18+'1852'!P20-'1852'!O20+'1852'!P22-'1852'!O22</f>
        <v>0</v>
      </c>
      <c r="E4" s="36">
        <f>'1853'!P4-'1853'!O4+'1853'!P6-'1853'!O6+'1853'!P8-'1853'!O8+'1853'!P10-'1853'!O10+'1853'!P12-'1853'!O12+'1853'!P14-'1853'!O14+'1853'!P16-'1853'!O16+'1853'!P18-'1853'!O18+'1853'!P20-'1853'!O20+'1853'!P22-'1853'!O22+'1853'!P26-'1853'!O26</f>
        <v>0</v>
      </c>
      <c r="G4" s="133" t="e">
        <f>1-B4/B5</f>
        <v>#DIV/0!</v>
      </c>
      <c r="H4" s="133" t="e">
        <f>1-C4/C5</f>
        <v>#DIV/0!</v>
      </c>
      <c r="I4" s="133" t="e">
        <f>1-D4/D5</f>
        <v>#DIV/0!</v>
      </c>
      <c r="J4" s="133" t="e">
        <f>1-E4/E5</f>
        <v>#DIV/0!</v>
      </c>
    </row>
    <row r="5" spans="1:34" x14ac:dyDescent="0.35">
      <c r="A5" s="42" t="s">
        <v>33</v>
      </c>
      <c r="B5" s="36">
        <f>'1850'!P26-'1850'!O26</f>
        <v>0</v>
      </c>
      <c r="C5" s="36">
        <f>'1851'!Q26-'1851'!P26</f>
        <v>0</v>
      </c>
      <c r="D5" s="36">
        <f>'1852'!P26-'1852'!O26</f>
        <v>0</v>
      </c>
      <c r="E5" s="36">
        <f>'1853'!P27-'1853'!O27</f>
        <v>0</v>
      </c>
    </row>
    <row r="6" spans="1:34" x14ac:dyDescent="0.35">
      <c r="A6" s="42" t="s">
        <v>34</v>
      </c>
      <c r="B6" s="368">
        <f>SUM(B5:E5)</f>
        <v>0</v>
      </c>
      <c r="C6" s="368"/>
      <c r="D6" s="368"/>
      <c r="E6" s="368"/>
      <c r="G6" s="133">
        <f>1-B6/B7</f>
        <v>1</v>
      </c>
    </row>
    <row r="7" spans="1:34" x14ac:dyDescent="0.35">
      <c r="A7" s="42" t="s">
        <v>35</v>
      </c>
      <c r="B7" s="392">
        <f>'1850'!P29-'1850'!F33+'1850'!F32-'1850'!O29</f>
        <v>-33175</v>
      </c>
      <c r="C7" s="392"/>
      <c r="D7" s="392"/>
      <c r="E7" s="392"/>
      <c r="L7" s="300" t="s">
        <v>243</v>
      </c>
      <c r="M7" s="300"/>
      <c r="N7" s="392">
        <f>'1850'!AB29-'1850'!AA29</f>
        <v>0</v>
      </c>
      <c r="O7" s="392"/>
      <c r="P7" s="392"/>
      <c r="Q7" s="392"/>
    </row>
    <row r="8" spans="1:34" ht="18" x14ac:dyDescent="0.4">
      <c r="A8" s="125" t="s">
        <v>36</v>
      </c>
      <c r="B8" s="126"/>
      <c r="C8" s="126"/>
      <c r="D8" s="126"/>
      <c r="E8" s="127"/>
    </row>
    <row r="9" spans="1:34" x14ac:dyDescent="0.35">
      <c r="A9" s="36" t="s">
        <v>37</v>
      </c>
      <c r="B9" s="36">
        <f>'1850'!P5-'1850'!O5+'1850'!P7-'1850'!O7+'1850'!P9-'1850'!O9+'1850'!P11-'1850'!O11+'1850'!P13-'1850'!O13+'1850'!P15-'1850'!O15+'1850'!P17-'1850'!O17+'1850'!P19-'1850'!O19+'1850'!P21-'1850'!O21+'1850'!P23-'1850'!O23</f>
        <v>0</v>
      </c>
      <c r="C9" s="36">
        <f>'1851'!Q5-'1851'!P5+'1851'!Q7-'1851'!P7+'1851'!Q9-'1851'!P9+'1851'!Q11-'1851'!P11+'1851'!Q13-'1851'!P13+'1851'!Q15-'1851'!P15+'1851'!Q17-'1851'!P17+'1851'!Q19-'1851'!P19+'1851'!Q21-'1851'!P21+'1851'!Q23-'1851'!P23</f>
        <v>0</v>
      </c>
      <c r="D9" s="36">
        <f>'1852'!P5-'1852'!O5+'1852'!P7-'1852'!O7+'1852'!P9-'1852'!O9+'1852'!P11-'1852'!O11+'1852'!P13-'1852'!O13+'1852'!P15-'1852'!O15+'1852'!P17-'1852'!O17+'1852'!P19-'1852'!O19+'1852'!P21-'1852'!O21+'1852'!P23-'1852'!O23</f>
        <v>0</v>
      </c>
      <c r="E9" s="36">
        <f>'1853'!P5-'1853'!O5+'1853'!P7-'1853'!O7+'1853'!P9-'1853'!O9+'1853'!P11-'1853'!O11+'1853'!P13-'1853'!O13+'1853'!P15-'1853'!O15+'1853'!P17-'1853'!O17+'1853'!P19-'1853'!O19+'1853'!P21-'1853'!O21+'1853'!P23-'1853'!O23</f>
        <v>0</v>
      </c>
      <c r="G9" s="133" t="e">
        <f>1-B9/B10</f>
        <v>#DIV/0!</v>
      </c>
      <c r="H9" s="133" t="e">
        <f>1-C9/C10</f>
        <v>#DIV/0!</v>
      </c>
      <c r="I9" s="133" t="e">
        <f>1-D9/D10</f>
        <v>#DIV/0!</v>
      </c>
      <c r="J9" s="133" t="e">
        <f>1-E9/E10</f>
        <v>#DIV/0!</v>
      </c>
    </row>
    <row r="10" spans="1:34" x14ac:dyDescent="0.35">
      <c r="A10" s="36" t="s">
        <v>38</v>
      </c>
      <c r="B10" s="38">
        <f>('1850'!P27-'1850'!O27)</f>
        <v>0</v>
      </c>
      <c r="C10" s="43">
        <f>('1851'!Q27-'1851'!P27)</f>
        <v>0</v>
      </c>
      <c r="D10" s="43">
        <f>('1852'!P27-'1852'!O27)</f>
        <v>0</v>
      </c>
      <c r="E10" s="43">
        <f>('1853'!P28-'1853'!O28)</f>
        <v>0</v>
      </c>
    </row>
    <row r="11" spans="1:34" ht="18" x14ac:dyDescent="0.4">
      <c r="A11" s="125" t="s">
        <v>44</v>
      </c>
      <c r="B11" s="126"/>
      <c r="C11" s="126"/>
      <c r="D11" s="126"/>
      <c r="E11" s="127"/>
    </row>
    <row r="12" spans="1:34" x14ac:dyDescent="0.35">
      <c r="A12" s="36" t="s">
        <v>40</v>
      </c>
      <c r="B12" s="39">
        <f>'1850'!P25-'1850'!O25</f>
        <v>0</v>
      </c>
      <c r="C12" s="39">
        <f>'1851'!Q24-'1851'!P24</f>
        <v>0</v>
      </c>
      <c r="D12" s="39">
        <f>'1852'!P25-'1852'!O25</f>
        <v>0</v>
      </c>
      <c r="E12" s="39">
        <f>'1853'!P24-'1853'!O24</f>
        <v>0</v>
      </c>
    </row>
    <row r="13" spans="1:34" x14ac:dyDescent="0.35"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</row>
    <row r="14" spans="1:34" x14ac:dyDescent="0.35">
      <c r="A14" s="33" t="s">
        <v>41</v>
      </c>
      <c r="B14" s="40">
        <f>'1853'!P25-'1853'!O25</f>
        <v>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</row>
    <row r="15" spans="1:34" x14ac:dyDescent="0.35">
      <c r="A15" s="33" t="s">
        <v>42</v>
      </c>
      <c r="B15" s="41">
        <f>'1853'!P26-'1853'!O26</f>
        <v>0</v>
      </c>
      <c r="C15" s="41"/>
      <c r="D15" s="41"/>
      <c r="E15" s="41"/>
      <c r="F15" s="41"/>
      <c r="G15" s="40"/>
      <c r="H15" s="40"/>
      <c r="I15" s="40"/>
      <c r="J15" s="40"/>
      <c r="K15" s="41"/>
      <c r="L15" s="41"/>
      <c r="M15" s="41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</row>
    <row r="16" spans="1:34" x14ac:dyDescent="0.35"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</row>
    <row r="17" spans="1:17" x14ac:dyDescent="0.35">
      <c r="L17" s="304" t="s">
        <v>241</v>
      </c>
      <c r="M17" s="305" t="s">
        <v>242</v>
      </c>
    </row>
    <row r="18" spans="1:17" ht="18" x14ac:dyDescent="0.4">
      <c r="A18" s="123" t="s">
        <v>31</v>
      </c>
      <c r="B18" s="124">
        <v>1854</v>
      </c>
      <c r="C18" s="124">
        <v>1855</v>
      </c>
      <c r="D18" s="124">
        <v>1856</v>
      </c>
      <c r="E18" s="124">
        <v>1857</v>
      </c>
      <c r="L18" s="303" t="s">
        <v>239</v>
      </c>
      <c r="M18" s="302" t="s">
        <v>240</v>
      </c>
    </row>
    <row r="19" spans="1:17" x14ac:dyDescent="0.35">
      <c r="A19" s="36" t="s">
        <v>32</v>
      </c>
      <c r="B19" s="36">
        <f>'1854'!P4-'1854'!O4+'1854'!P6-'1854'!O6+'1854'!P8-'1854'!O8+'1854'!P10-'1854'!O10+'1854'!P12-'1854'!O12+'1854'!P14-'1854'!O14+'1854'!P16-'1854'!O16+'1854'!P18-'1854'!O18+'1854'!P20-'1854'!O20+'1854'!P22-'1854'!O22</f>
        <v>0</v>
      </c>
      <c r="C19" s="36">
        <f>'1855'!P4-'1855'!O4+'1855'!P6-'1855'!O6+'1855'!P8-'1855'!O8+'1855'!P10-'1855'!O10+'1855'!P12-'1855'!O12+'1855'!P14-'1855'!O14+'1855'!P16-'1855'!O16+'1855'!P18-'1855'!O18+'1855'!P20-'1855'!O20+'1855'!P22-'1855'!O22</f>
        <v>0</v>
      </c>
      <c r="D19" s="36">
        <f>'1856'!P4-'1856'!O4+'1856'!P6-'1856'!O6+'1856'!P8-'1856'!O8+'1856'!P10-'1856'!O10+'1856'!P12-'1856'!O12+'1856'!P14-'1856'!O14+'1856'!P16-'1856'!O16+'1856'!P18-'1856'!O18+'1856'!P20-'1856'!O20+'1856'!P22-'1856'!O22</f>
        <v>0</v>
      </c>
      <c r="E19" s="36">
        <f>'1857'!P4-'1857'!O4+'1857'!P6-'1857'!O6+'1857'!P8-'1857'!O8+'1857'!P10-'1857'!O10+'1857'!P12-'1857'!O12+'1857'!P14-'1857'!O14+'1857'!P16-'1857'!O16+'1857'!P18-'1857'!O18+'1857'!P20-'1857'!O20+'1857'!P22-'1857'!O22</f>
        <v>0</v>
      </c>
      <c r="G19" s="133" t="e">
        <f>1-B19/B20</f>
        <v>#DIV/0!</v>
      </c>
      <c r="H19" s="133" t="e">
        <f>1-C19/C20</f>
        <v>#DIV/0!</v>
      </c>
      <c r="I19" s="133" t="e">
        <f>1-D19/D20</f>
        <v>#DIV/0!</v>
      </c>
      <c r="J19" s="133" t="e">
        <f>1-E19/E20</f>
        <v>#DIV/0!</v>
      </c>
      <c r="L19" s="300">
        <f>39.712+63.302+54.127+60.075</f>
        <v>217.21600000000001</v>
      </c>
      <c r="M19" s="301">
        <f>1-L19/L20</f>
        <v>-2.9459715639810424E-2</v>
      </c>
    </row>
    <row r="20" spans="1:17" x14ac:dyDescent="0.35">
      <c r="A20" s="36" t="s">
        <v>33</v>
      </c>
      <c r="B20" s="36">
        <f>'1854'!P26-'1854'!O26</f>
        <v>0</v>
      </c>
      <c r="C20" s="36">
        <f>'1855'!P26-'1855'!O26</f>
        <v>0</v>
      </c>
      <c r="D20" s="36">
        <f>'1856'!P26-'1856'!O26</f>
        <v>0</v>
      </c>
      <c r="E20" s="36">
        <f>'1857'!P26-'1857'!O26</f>
        <v>0</v>
      </c>
      <c r="L20" s="300">
        <v>211</v>
      </c>
      <c r="M20" s="300"/>
    </row>
    <row r="21" spans="1:17" x14ac:dyDescent="0.35">
      <c r="A21" s="36" t="s">
        <v>34</v>
      </c>
      <c r="B21" s="368">
        <f>SUM(B20:E20)</f>
        <v>0</v>
      </c>
      <c r="C21" s="368"/>
      <c r="D21" s="368"/>
      <c r="E21" s="368"/>
      <c r="G21" s="133">
        <f>1-B21/B22</f>
        <v>1</v>
      </c>
      <c r="L21" s="295">
        <v>94.200000000000045</v>
      </c>
      <c r="M21" s="296">
        <f>1-L21/L22</f>
        <v>-4.0883977900552981E-2</v>
      </c>
    </row>
    <row r="22" spans="1:17" x14ac:dyDescent="0.35">
      <c r="A22" s="36" t="s">
        <v>35</v>
      </c>
      <c r="B22" s="392">
        <f>'1854'!P29-'1854'!N35+'1854'!N33-'1854'!O29</f>
        <v>17286</v>
      </c>
      <c r="C22" s="392"/>
      <c r="D22" s="392"/>
      <c r="E22" s="392"/>
      <c r="L22" s="295">
        <v>90.5</v>
      </c>
      <c r="M22" s="295"/>
      <c r="N22" s="392">
        <f>'1854'!AB29-'1854'!AA29</f>
        <v>0</v>
      </c>
      <c r="O22" s="392"/>
      <c r="P22" s="392"/>
      <c r="Q22" s="392"/>
    </row>
    <row r="23" spans="1:17" ht="18" x14ac:dyDescent="0.4">
      <c r="A23" s="125" t="s">
        <v>36</v>
      </c>
      <c r="B23" s="126"/>
      <c r="C23" s="126"/>
      <c r="D23" s="126"/>
      <c r="E23" s="127"/>
    </row>
    <row r="24" spans="1:17" x14ac:dyDescent="0.35">
      <c r="A24" s="36" t="s">
        <v>37</v>
      </c>
      <c r="B24" s="36">
        <f>'1854'!P5-'1854'!O5+'1854'!P7-'1854'!O7+'1854'!P9-'1854'!O9+'1854'!P11-'1854'!O11+'1854'!P13-'1854'!O13+'1854'!P15-'1854'!O15+'1854'!P17-'1854'!O17+'1854'!P19-'1854'!O19+'1854'!P21-'1854'!O21+'1854'!P23-'1854'!O23</f>
        <v>0</v>
      </c>
      <c r="C24" s="36">
        <f>'1855'!P5-'1855'!O5+'1855'!P7-'1855'!O7+'1855'!P9-'1855'!O9+'1855'!P11-'1855'!O11+'1855'!P13-'1855'!O13+'1855'!P15-'1855'!O15+'1855'!P17-'1855'!O17+'1855'!P19-'1855'!O19+'1855'!P21-'1855'!O21+'1855'!P23-'1855'!O23</f>
        <v>0</v>
      </c>
      <c r="D24" s="36">
        <f>'1856'!P5-'1856'!O5+'1856'!P7-'1856'!O7+'1856'!P9-'1856'!O9+'1856'!P11-'1856'!O11+'1856'!P13-'1856'!O13+'1856'!P15-'1856'!O15+'1856'!P17-'1856'!O17+'1856'!P19-'1856'!O19+'1856'!P21-'1856'!O21+'1856'!P23-'1856'!O23</f>
        <v>0</v>
      </c>
      <c r="E24" s="36">
        <f>'1857'!P5-'1857'!O5+'1857'!P7-'1857'!O7+'1857'!P9-'1857'!O9+'1857'!P11-'1857'!O11+'1857'!P13-'1857'!O13+'1857'!P15-'1857'!O15+'1857'!P17-'1857'!O17+'1857'!P19-'1857'!O19+'1857'!P21-'1857'!O21+'1857'!P23-'1857'!O23</f>
        <v>0</v>
      </c>
      <c r="G24" s="133" t="e">
        <f>1-B24/B25</f>
        <v>#DIV/0!</v>
      </c>
      <c r="H24" s="133" t="e">
        <f>1-C24/C25</f>
        <v>#DIV/0!</v>
      </c>
      <c r="I24" s="133" t="e">
        <f>1-D24/D25</f>
        <v>#DIV/0!</v>
      </c>
      <c r="J24" s="133" t="e">
        <f>1-E24/E25</f>
        <v>#DIV/0!</v>
      </c>
    </row>
    <row r="25" spans="1:17" x14ac:dyDescent="0.35">
      <c r="A25" s="36" t="s">
        <v>38</v>
      </c>
      <c r="B25" s="43">
        <f>('1854'!P27-'1854'!O27)</f>
        <v>0</v>
      </c>
      <c r="C25" s="43">
        <f>('1855'!P27-'1855'!O27)</f>
        <v>0</v>
      </c>
      <c r="D25" s="43">
        <f>('1856'!P27-'1856'!O27)</f>
        <v>0</v>
      </c>
      <c r="E25" s="43">
        <f>('1857'!P27-'1857'!O27)</f>
        <v>0</v>
      </c>
    </row>
    <row r="26" spans="1:17" ht="18" x14ac:dyDescent="0.4">
      <c r="A26" s="125" t="s">
        <v>44</v>
      </c>
      <c r="B26" s="126"/>
      <c r="C26" s="126"/>
      <c r="D26" s="126"/>
      <c r="E26" s="127"/>
    </row>
    <row r="27" spans="1:17" x14ac:dyDescent="0.35">
      <c r="A27" s="36" t="s">
        <v>40</v>
      </c>
      <c r="B27" s="39">
        <f>'1854'!P25-'1854'!O25</f>
        <v>0</v>
      </c>
      <c r="C27" s="284">
        <f>'1855'!P25-'1855'!O25</f>
        <v>0</v>
      </c>
      <c r="D27" s="39">
        <f>'1856'!P25-'1856'!O25</f>
        <v>0</v>
      </c>
      <c r="E27" s="39">
        <f>'1857'!P25-'1857'!O25</f>
        <v>0</v>
      </c>
    </row>
  </sheetData>
  <sheetProtection selectLockedCells="1" selectUnlockedCells="1"/>
  <mergeCells count="6">
    <mergeCell ref="B6:E6"/>
    <mergeCell ref="B7:E7"/>
    <mergeCell ref="B21:E21"/>
    <mergeCell ref="B22:E22"/>
    <mergeCell ref="N7:Q7"/>
    <mergeCell ref="N22:Q22"/>
  </mergeCells>
  <conditionalFormatting sqref="B6:B1048576">
    <cfRule type="cellIs" dxfId="18" priority="2" stopIfTrue="1" operator="lessThan">
      <formula>0</formula>
    </cfRule>
  </conditionalFormatting>
  <conditionalFormatting sqref="B1:E5">
    <cfRule type="cellIs" dxfId="17" priority="6" stopIfTrue="1" operator="lessThan">
      <formula>0</formula>
    </cfRule>
  </conditionalFormatting>
  <conditionalFormatting sqref="C8:E20">
    <cfRule type="cellIs" dxfId="16" priority="4" stopIfTrue="1" operator="lessThan">
      <formula>0</formula>
    </cfRule>
  </conditionalFormatting>
  <conditionalFormatting sqref="F1:AD1 F2:M2 O2:AD2 F28:AD65536">
    <cfRule type="cellIs" dxfId="15" priority="10" stopIfTrue="1" operator="lessThan">
      <formula>0</formula>
    </cfRule>
  </conditionalFormatting>
  <conditionalFormatting sqref="N7">
    <cfRule type="cellIs" dxfId="14" priority="3" stopIfTrue="1" operator="lessThan">
      <formula>0</formula>
    </cfRule>
  </conditionalFormatting>
  <conditionalFormatting sqref="N22">
    <cfRule type="cellIs" dxfId="13" priority="1" stopIfTrue="1" operator="lessThan">
      <formula>0</formula>
    </cfRule>
  </conditionalFormatting>
  <conditionalFormatting sqref="Q13:U13 F13:P17 Q16:Z17 C23:E65536">
    <cfRule type="cellIs" dxfId="12" priority="16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A40"/>
  <sheetViews>
    <sheetView workbookViewId="0">
      <selection activeCell="B8" sqref="A8:XFD9"/>
    </sheetView>
  </sheetViews>
  <sheetFormatPr defaultColWidth="9.1796875" defaultRowHeight="14.5" x14ac:dyDescent="0.35"/>
  <cols>
    <col min="1" max="1" width="9.1796875" style="44"/>
    <col min="2" max="2" width="10.26953125" style="44" customWidth="1"/>
    <col min="3" max="4" width="7" style="44" customWidth="1"/>
    <col min="5" max="5" width="9" style="44" customWidth="1"/>
    <col min="6" max="7" width="7" style="44" customWidth="1"/>
    <col min="8" max="8" width="7.7265625" style="44" customWidth="1"/>
    <col min="9" max="9" width="7" style="44" customWidth="1"/>
    <col min="10" max="10" width="6.81640625" style="44" customWidth="1"/>
    <col min="11" max="11" width="9" style="44" customWidth="1"/>
    <col min="12" max="19" width="7" style="44" customWidth="1"/>
    <col min="20" max="20" width="7.7265625" style="44" customWidth="1"/>
    <col min="21" max="22" width="7" style="44" customWidth="1"/>
    <col min="23" max="23" width="8" style="44" customWidth="1"/>
    <col min="24" max="26" width="7" style="44" customWidth="1"/>
    <col min="27" max="16384" width="9.1796875" style="44"/>
  </cols>
  <sheetData>
    <row r="1" spans="1:27" ht="18.5" x14ac:dyDescent="0.35">
      <c r="A1" s="45" t="s">
        <v>55</v>
      </c>
    </row>
    <row r="2" spans="1:27" ht="11.25" customHeight="1" x14ac:dyDescent="0.35">
      <c r="A2" s="45"/>
    </row>
    <row r="3" spans="1:27" hidden="1" x14ac:dyDescent="0.35">
      <c r="C3" s="44">
        <v>1850</v>
      </c>
      <c r="F3" s="44">
        <v>51</v>
      </c>
      <c r="I3" s="44">
        <v>52</v>
      </c>
      <c r="L3" s="44">
        <v>53</v>
      </c>
      <c r="O3" s="44">
        <v>54</v>
      </c>
      <c r="R3" s="44">
        <v>55</v>
      </c>
      <c r="U3" s="44">
        <v>56</v>
      </c>
      <c r="X3" s="44">
        <v>57</v>
      </c>
    </row>
    <row r="4" spans="1:27" s="47" customFormat="1" ht="18.5" x14ac:dyDescent="0.35">
      <c r="A4" s="402"/>
      <c r="B4" s="402"/>
      <c r="C4" s="401">
        <v>1850</v>
      </c>
      <c r="D4" s="401"/>
      <c r="E4" s="401"/>
      <c r="F4" s="401">
        <v>1851</v>
      </c>
      <c r="G4" s="401"/>
      <c r="H4" s="401"/>
      <c r="I4" s="401">
        <v>1852</v>
      </c>
      <c r="J4" s="401"/>
      <c r="K4" s="401"/>
      <c r="L4" s="401">
        <v>1853</v>
      </c>
      <c r="M4" s="401"/>
      <c r="N4" s="401"/>
      <c r="O4" s="401">
        <v>1854</v>
      </c>
      <c r="P4" s="401"/>
      <c r="Q4" s="401"/>
      <c r="R4" s="401">
        <v>1855</v>
      </c>
      <c r="S4" s="401"/>
      <c r="T4" s="401"/>
      <c r="U4" s="401">
        <v>1856</v>
      </c>
      <c r="V4" s="401"/>
      <c r="W4" s="401"/>
      <c r="X4" s="401">
        <v>1857</v>
      </c>
      <c r="Y4" s="401"/>
      <c r="Z4" s="401"/>
      <c r="AA4" s="46"/>
    </row>
    <row r="5" spans="1:27" ht="29" x14ac:dyDescent="0.35">
      <c r="A5" s="402"/>
      <c r="B5" s="402"/>
      <c r="C5" s="48" t="s">
        <v>56</v>
      </c>
      <c r="D5" s="49" t="s">
        <v>57</v>
      </c>
      <c r="E5" s="49" t="s">
        <v>58</v>
      </c>
      <c r="F5" s="48" t="s">
        <v>56</v>
      </c>
      <c r="G5" s="49" t="s">
        <v>57</v>
      </c>
      <c r="H5" s="49" t="s">
        <v>58</v>
      </c>
      <c r="I5" s="48" t="s">
        <v>56</v>
      </c>
      <c r="J5" s="49" t="s">
        <v>57</v>
      </c>
      <c r="K5" s="49" t="s">
        <v>58</v>
      </c>
      <c r="L5" s="48" t="s">
        <v>56</v>
      </c>
      <c r="M5" s="49" t="s">
        <v>57</v>
      </c>
      <c r="N5" s="49" t="s">
        <v>58</v>
      </c>
      <c r="O5" s="48" t="s">
        <v>56</v>
      </c>
      <c r="P5" s="49" t="s">
        <v>57</v>
      </c>
      <c r="Q5" s="49" t="s">
        <v>58</v>
      </c>
      <c r="R5" s="48" t="s">
        <v>56</v>
      </c>
      <c r="S5" s="49" t="s">
        <v>57</v>
      </c>
      <c r="T5" s="49" t="s">
        <v>58</v>
      </c>
      <c r="U5" s="48" t="s">
        <v>56</v>
      </c>
      <c r="V5" s="49" t="s">
        <v>57</v>
      </c>
      <c r="W5" s="49" t="s">
        <v>58</v>
      </c>
      <c r="X5" s="48" t="s">
        <v>56</v>
      </c>
      <c r="Y5" s="49" t="s">
        <v>57</v>
      </c>
      <c r="Z5" s="49" t="s">
        <v>58</v>
      </c>
      <c r="AA5" s="50"/>
    </row>
    <row r="6" spans="1:27" x14ac:dyDescent="0.35">
      <c r="A6" s="395" t="s">
        <v>4</v>
      </c>
      <c r="B6" s="51" t="s">
        <v>59</v>
      </c>
      <c r="C6" s="51">
        <f>'S1'!B9</f>
        <v>46.051999999999978</v>
      </c>
      <c r="D6" s="400">
        <f>'S1'!B10-'S1'!B9</f>
        <v>1.5580000000000354</v>
      </c>
      <c r="E6" s="393">
        <f>D6/C7</f>
        <v>3.2724217601344988E-2</v>
      </c>
      <c r="F6" s="51">
        <f>'S1'!C9</f>
        <v>48.775999999999996</v>
      </c>
      <c r="G6" s="400">
        <f>'S1'!C10-'S1'!C9</f>
        <v>3.4240000000000492</v>
      </c>
      <c r="H6" s="393">
        <f>G6/F7</f>
        <v>6.5593869731801646E-2</v>
      </c>
      <c r="I6" s="51">
        <f>'S1'!D9</f>
        <v>47.740000000000009</v>
      </c>
      <c r="J6" s="400">
        <f>'S1'!D10-'S1'!D9</f>
        <v>2.1000000000000227</v>
      </c>
      <c r="K6" s="393">
        <f>J6/I7</f>
        <v>4.2134831460674586E-2</v>
      </c>
      <c r="L6" s="51">
        <f>'S1'!E9</f>
        <v>45.828000000000017</v>
      </c>
      <c r="M6" s="400">
        <f>'S1'!E10-'S1'!E9</f>
        <v>2.6420000000000101</v>
      </c>
      <c r="N6" s="393">
        <f>M6/L7</f>
        <v>5.4507943057561556E-2</v>
      </c>
      <c r="O6" s="51">
        <f>'S1'!B24</f>
        <v>45.352999999999973</v>
      </c>
      <c r="P6" s="400">
        <f>'S1'!B25-'S1'!B24</f>
        <v>3.6769999999999996</v>
      </c>
      <c r="Q6" s="393">
        <f>P6/O7</f>
        <v>7.4994901080970872E-2</v>
      </c>
      <c r="R6" s="51">
        <f>'S1'!C24</f>
        <v>47.02300000000001</v>
      </c>
      <c r="S6" s="400">
        <f>'S1'!C25-'S1'!C24</f>
        <v>4.646999999999835</v>
      </c>
      <c r="T6" s="393">
        <f>S6/R7</f>
        <v>8.9936133152696898E-2</v>
      </c>
      <c r="U6" s="51">
        <f>'S1'!D24</f>
        <v>46.228999999999985</v>
      </c>
      <c r="V6" s="400">
        <f>'S1'!D25-'S1'!D24</f>
        <v>2.9509999999998513</v>
      </c>
      <c r="W6" s="393">
        <f>V6/U7</f>
        <v>6.0004066693775136E-2</v>
      </c>
      <c r="X6" s="51">
        <f>'S1'!E24</f>
        <v>47.80999999999996</v>
      </c>
      <c r="Y6" s="400">
        <f>'S1'!E25-'S1'!E24</f>
        <v>4.2600000000002041</v>
      </c>
      <c r="Z6" s="393">
        <f>Y6/X7</f>
        <v>8.1812944113696773E-2</v>
      </c>
    </row>
    <row r="7" spans="1:27" x14ac:dyDescent="0.35">
      <c r="A7" s="395"/>
      <c r="B7" s="51" t="s">
        <v>60</v>
      </c>
      <c r="C7" s="51">
        <f>'S1'!B10</f>
        <v>47.610000000000014</v>
      </c>
      <c r="D7" s="400"/>
      <c r="E7" s="393"/>
      <c r="F7" s="51">
        <f>'S1'!C10</f>
        <v>52.200000000000045</v>
      </c>
      <c r="G7" s="400"/>
      <c r="H7" s="393"/>
      <c r="I7" s="51">
        <f>'S1'!D10</f>
        <v>49.840000000000032</v>
      </c>
      <c r="J7" s="400"/>
      <c r="K7" s="393"/>
      <c r="L7" s="51">
        <f>'S1'!E10</f>
        <v>48.470000000000027</v>
      </c>
      <c r="M7" s="400"/>
      <c r="N7" s="393"/>
      <c r="O7" s="51">
        <f>'S1'!B25</f>
        <v>49.029999999999973</v>
      </c>
      <c r="P7" s="400"/>
      <c r="Q7" s="393"/>
      <c r="R7" s="51">
        <f>'S1'!C25</f>
        <v>51.669999999999845</v>
      </c>
      <c r="S7" s="400"/>
      <c r="T7" s="393"/>
      <c r="U7" s="51">
        <f>'S1'!D25</f>
        <v>49.179999999999836</v>
      </c>
      <c r="V7" s="400"/>
      <c r="W7" s="393"/>
      <c r="X7" s="51">
        <f>'S1'!E25</f>
        <v>52.070000000000164</v>
      </c>
      <c r="Y7" s="400"/>
      <c r="Z7" s="393"/>
    </row>
    <row r="8" spans="1:27" x14ac:dyDescent="0.35">
      <c r="A8" s="395" t="s">
        <v>5</v>
      </c>
      <c r="B8" s="51" t="s">
        <v>59</v>
      </c>
      <c r="C8" s="51">
        <f>'S2'!B9</f>
        <v>29.648999999999987</v>
      </c>
      <c r="D8" s="394">
        <f>'S2'!B10-'S2'!B9</f>
        <v>0.42100000000000648</v>
      </c>
      <c r="E8" s="393">
        <f>D8/C9</f>
        <v>1.4000665114732511E-2</v>
      </c>
      <c r="F8" s="52">
        <f>'S2'!C9</f>
        <v>31.620000000000019</v>
      </c>
      <c r="G8" s="394">
        <f>'S2'!C10-'S2'!C9</f>
        <v>1.8899999999999721</v>
      </c>
      <c r="H8" s="393">
        <f>G8/F9</f>
        <v>5.6401074306176448E-2</v>
      </c>
      <c r="I8" s="52">
        <f>'S2'!D9</f>
        <v>28.867999999999952</v>
      </c>
      <c r="J8" s="394">
        <f>'S2'!D10-'S2'!D9</f>
        <v>0.54200000000007265</v>
      </c>
      <c r="K8" s="393">
        <f>J8/I9</f>
        <v>1.8429105746347235E-2</v>
      </c>
      <c r="L8" s="52">
        <f>'S2'!E9</f>
        <v>28.883000000000024</v>
      </c>
      <c r="M8" s="394">
        <f>'S2'!E10-'S2'!E9</f>
        <v>0.68699999999996919</v>
      </c>
      <c r="N8" s="393">
        <f>M8/L9</f>
        <v>2.3233006425430143E-2</v>
      </c>
      <c r="O8" s="52">
        <f>'S2'!B24</f>
        <v>29.126999999999953</v>
      </c>
      <c r="P8" s="394">
        <f>'S2'!B25-'S2'!B24</f>
        <v>2.5730000000000928</v>
      </c>
      <c r="Q8" s="393">
        <f>P8/O9</f>
        <v>8.1167192429024898E-2</v>
      </c>
      <c r="R8" s="52">
        <f>'S2'!C24</f>
        <v>28.854999999999961</v>
      </c>
      <c r="S8" s="394">
        <f>'S2'!C25-'S2'!C24</f>
        <v>2.8250000000001023</v>
      </c>
      <c r="T8" s="393">
        <f>S8/R9</f>
        <v>8.9172979797982846E-2</v>
      </c>
      <c r="U8" s="52">
        <f>'S2'!D24</f>
        <v>26.30599999999999</v>
      </c>
      <c r="V8" s="394">
        <f>'S2'!D25-'S2'!D24</f>
        <v>1.164000000000037</v>
      </c>
      <c r="W8" s="393">
        <f>V8/U9</f>
        <v>4.2373498361850594E-2</v>
      </c>
      <c r="X8" s="52">
        <f>'S2'!E24</f>
        <v>29.89800000000001</v>
      </c>
      <c r="Y8" s="394">
        <f>'S2'!E25-'S2'!E24</f>
        <v>2.8519999999999897</v>
      </c>
      <c r="Z8" s="393">
        <f>Y8/X9</f>
        <v>8.7083969465648545E-2</v>
      </c>
    </row>
    <row r="9" spans="1:27" x14ac:dyDescent="0.35">
      <c r="A9" s="395"/>
      <c r="B9" s="51" t="s">
        <v>60</v>
      </c>
      <c r="C9" s="52">
        <f>'S2'!B10</f>
        <v>30.069999999999993</v>
      </c>
      <c r="D9" s="394"/>
      <c r="E9" s="393"/>
      <c r="F9" s="52">
        <f>'S2'!C10</f>
        <v>33.509999999999991</v>
      </c>
      <c r="G9" s="394"/>
      <c r="H9" s="393"/>
      <c r="I9" s="52">
        <f>'S2'!D10</f>
        <v>29.410000000000025</v>
      </c>
      <c r="J9" s="394"/>
      <c r="K9" s="393"/>
      <c r="L9" s="52">
        <f>'S2'!E10</f>
        <v>29.569999999999993</v>
      </c>
      <c r="M9" s="394"/>
      <c r="N9" s="393"/>
      <c r="O9" s="52">
        <f>'S2'!B25</f>
        <v>31.700000000000045</v>
      </c>
      <c r="P9" s="394"/>
      <c r="Q9" s="393"/>
      <c r="R9" s="52">
        <f>'S2'!C25</f>
        <v>31.680000000000064</v>
      </c>
      <c r="S9" s="394"/>
      <c r="T9" s="393"/>
      <c r="U9" s="52">
        <f>'S2'!D25</f>
        <v>27.470000000000027</v>
      </c>
      <c r="V9" s="394"/>
      <c r="W9" s="393"/>
      <c r="X9" s="52">
        <f>'S2'!E25</f>
        <v>32.75</v>
      </c>
      <c r="Y9" s="394"/>
      <c r="Z9" s="393"/>
    </row>
    <row r="10" spans="1:27" x14ac:dyDescent="0.35">
      <c r="A10" s="395" t="s">
        <v>6</v>
      </c>
      <c r="B10" s="51" t="s">
        <v>59</v>
      </c>
      <c r="C10" s="51">
        <f>'S3'!B9</f>
        <v>-827.19800000000009</v>
      </c>
      <c r="D10" s="394">
        <f>'S3'!B10-'S3'!B9</f>
        <v>349.6880000000001</v>
      </c>
      <c r="E10" s="393">
        <f>D10/C11</f>
        <v>-0.73231555360097189</v>
      </c>
      <c r="F10" s="52">
        <f>'S3'!C9</f>
        <v>-1028.875</v>
      </c>
      <c r="G10" s="394">
        <f>'S3'!C10-'S3'!C9</f>
        <v>373.02499999999998</v>
      </c>
      <c r="H10" s="393">
        <f>G10/F11</f>
        <v>-0.5687657238697873</v>
      </c>
      <c r="I10" s="52">
        <f>'S3'!D9</f>
        <v>-954.31799999999998</v>
      </c>
      <c r="J10" s="394">
        <f>'S3'!D10-'S3'!D9</f>
        <v>421.24799999999993</v>
      </c>
      <c r="K10" s="393">
        <f>J10/I11</f>
        <v>-0.79023017614947355</v>
      </c>
      <c r="L10" s="52">
        <f>'S3'!E9</f>
        <v>-814.75200000000007</v>
      </c>
      <c r="M10" s="394">
        <f>'S3'!E10-'S3'!E9</f>
        <v>319.89200000000005</v>
      </c>
      <c r="N10" s="393">
        <f>M10/L11</f>
        <v>-0.64642929313341158</v>
      </c>
      <c r="O10" s="52">
        <f>'S3'!B24</f>
        <v>-839.87699999999995</v>
      </c>
      <c r="P10" s="400">
        <f>'S3'!B25-'S3'!B24</f>
        <v>-315.63300000000004</v>
      </c>
      <c r="Q10" s="393">
        <f>P10/O11</f>
        <v>0.27315471090687232</v>
      </c>
      <c r="R10" s="51">
        <f>'S3'!C24</f>
        <v>-890.56600000000003</v>
      </c>
      <c r="S10" s="400">
        <f>'S3'!C25-'S3'!C24</f>
        <v>-390.18399999999997</v>
      </c>
      <c r="T10" s="393">
        <f>S10/R11</f>
        <v>0.30465274253367164</v>
      </c>
      <c r="U10" s="51">
        <f>'S3'!D24</f>
        <v>-472.65999999999997</v>
      </c>
      <c r="V10" s="400">
        <f>'S3'!D25-'S3'!D24</f>
        <v>-630.41999999999996</v>
      </c>
      <c r="W10" s="393">
        <f>V10/U11</f>
        <v>0.5715088660840556</v>
      </c>
      <c r="X10" s="51">
        <f>'S3'!E24</f>
        <v>-867.38100000000009</v>
      </c>
      <c r="Y10" s="400">
        <f>'S3'!E25-'S3'!E24</f>
        <v>-326.78899999999999</v>
      </c>
      <c r="Z10" s="393">
        <f>Y10/X11</f>
        <v>0.27365366740078878</v>
      </c>
    </row>
    <row r="11" spans="1:27" x14ac:dyDescent="0.35">
      <c r="A11" s="395"/>
      <c r="B11" s="51" t="s">
        <v>60</v>
      </c>
      <c r="C11" s="52">
        <f>'S3'!B10</f>
        <v>-477.51</v>
      </c>
      <c r="D11" s="394"/>
      <c r="E11" s="393"/>
      <c r="F11" s="52">
        <f>'S3'!C10</f>
        <v>-655.85</v>
      </c>
      <c r="G11" s="394"/>
      <c r="H11" s="393"/>
      <c r="I11" s="52">
        <f>'S3'!D10</f>
        <v>-533.07000000000005</v>
      </c>
      <c r="J11" s="394"/>
      <c r="K11" s="393"/>
      <c r="L11" s="52">
        <f>'S3'!E10</f>
        <v>-494.86</v>
      </c>
      <c r="M11" s="394"/>
      <c r="N11" s="393"/>
      <c r="O11" s="52">
        <f>'S3'!B25</f>
        <v>-1155.51</v>
      </c>
      <c r="P11" s="400"/>
      <c r="Q11" s="393"/>
      <c r="R11" s="51">
        <f>'S3'!C25</f>
        <v>-1280.75</v>
      </c>
      <c r="S11" s="400"/>
      <c r="T11" s="393"/>
      <c r="U11" s="51">
        <f>'S3'!D25</f>
        <v>-1103.08</v>
      </c>
      <c r="V11" s="400"/>
      <c r="W11" s="393"/>
      <c r="X11" s="51">
        <f>'S3'!E25</f>
        <v>-1194.17</v>
      </c>
      <c r="Y11" s="400"/>
      <c r="Z11" s="393"/>
    </row>
    <row r="12" spans="1:27" x14ac:dyDescent="0.35">
      <c r="A12" s="395" t="s">
        <v>7</v>
      </c>
      <c r="B12" s="51" t="s">
        <v>59</v>
      </c>
      <c r="C12" s="51">
        <f>'S4'!B9</f>
        <v>0</v>
      </c>
      <c r="D12" s="394">
        <f>'S4'!B10-'S4'!B9</f>
        <v>0</v>
      </c>
      <c r="E12" s="393" t="e">
        <f>D12/C13</f>
        <v>#DIV/0!</v>
      </c>
      <c r="F12" s="52">
        <f>'S4'!C9</f>
        <v>0</v>
      </c>
      <c r="G12" s="400">
        <f>'S4'!C10-'S4'!C9</f>
        <v>0</v>
      </c>
      <c r="H12" s="393" t="e">
        <f>G12/F13</f>
        <v>#DIV/0!</v>
      </c>
      <c r="I12" s="51">
        <f>'S4'!D9</f>
        <v>0</v>
      </c>
      <c r="J12" s="400">
        <f>'S4'!D10-'S4'!D9</f>
        <v>0</v>
      </c>
      <c r="K12" s="393" t="e">
        <f>J12/I13</f>
        <v>#DIV/0!</v>
      </c>
      <c r="L12" s="51">
        <f>'S4'!E9</f>
        <v>0</v>
      </c>
      <c r="M12" s="400">
        <f>'S4'!E10-'S4'!E9</f>
        <v>0</v>
      </c>
      <c r="N12" s="393" t="e">
        <f>M12/L13</f>
        <v>#DIV/0!</v>
      </c>
      <c r="O12" s="51">
        <f>'S4'!B24</f>
        <v>0</v>
      </c>
      <c r="P12" s="400">
        <f>'S4'!B25-'S4'!B24</f>
        <v>0</v>
      </c>
      <c r="Q12" s="393" t="e">
        <f>P12/O13</f>
        <v>#DIV/0!</v>
      </c>
      <c r="R12" s="51">
        <f>'S4'!C24</f>
        <v>0</v>
      </c>
      <c r="S12" s="400">
        <f>'S4'!C25-'S4'!C24</f>
        <v>0</v>
      </c>
      <c r="T12" s="393" t="e">
        <f>S12/R13</f>
        <v>#DIV/0!</v>
      </c>
      <c r="U12" s="51">
        <f>'S4'!D24</f>
        <v>0</v>
      </c>
      <c r="V12" s="400">
        <f>'S4'!D25-'S4'!D24</f>
        <v>0</v>
      </c>
      <c r="W12" s="393" t="e">
        <f>V12/U13</f>
        <v>#DIV/0!</v>
      </c>
      <c r="X12" s="51">
        <f>'S4'!E24</f>
        <v>0</v>
      </c>
      <c r="Y12" s="400">
        <f>'S4'!E25-'S4'!E24</f>
        <v>0</v>
      </c>
      <c r="Z12" s="393" t="e">
        <f>Y12/X13</f>
        <v>#DIV/0!</v>
      </c>
    </row>
    <row r="13" spans="1:27" x14ac:dyDescent="0.35">
      <c r="A13" s="395"/>
      <c r="B13" s="51" t="s">
        <v>60</v>
      </c>
      <c r="C13" s="52">
        <f>'S4'!B10</f>
        <v>0</v>
      </c>
      <c r="D13" s="394"/>
      <c r="E13" s="393"/>
      <c r="F13" s="52">
        <f>'S4'!C10</f>
        <v>0</v>
      </c>
      <c r="G13" s="400"/>
      <c r="H13" s="393"/>
      <c r="I13" s="51">
        <f>'S4'!D10</f>
        <v>0</v>
      </c>
      <c r="J13" s="400"/>
      <c r="K13" s="393"/>
      <c r="L13" s="51">
        <f>'S4'!E10</f>
        <v>0</v>
      </c>
      <c r="M13" s="400"/>
      <c r="N13" s="393"/>
      <c r="O13" s="51">
        <f>'S4'!B25</f>
        <v>0</v>
      </c>
      <c r="P13" s="400"/>
      <c r="Q13" s="393"/>
      <c r="R13" s="51">
        <f>'S4'!C25</f>
        <v>0</v>
      </c>
      <c r="S13" s="400"/>
      <c r="T13" s="393"/>
      <c r="U13" s="51">
        <f>'S4'!D25</f>
        <v>0</v>
      </c>
      <c r="V13" s="400"/>
      <c r="W13" s="393"/>
      <c r="X13" s="51">
        <f>'S4'!E25</f>
        <v>0</v>
      </c>
      <c r="Y13" s="400"/>
      <c r="Z13" s="393"/>
    </row>
    <row r="14" spans="1:27" x14ac:dyDescent="0.35">
      <c r="A14" s="395" t="s">
        <v>8</v>
      </c>
      <c r="B14" s="51" t="s">
        <v>59</v>
      </c>
      <c r="C14" s="51">
        <f>'S5'!B9</f>
        <v>0</v>
      </c>
      <c r="D14" s="394">
        <f>'S5'!B10-'S5'!B9</f>
        <v>0</v>
      </c>
      <c r="E14" s="393" t="e">
        <f>D14/C15</f>
        <v>#DIV/0!</v>
      </c>
      <c r="F14" s="51">
        <f>'S5'!C9</f>
        <v>0</v>
      </c>
      <c r="G14" s="394">
        <f>'S5'!C10-'S5'!C9</f>
        <v>0</v>
      </c>
      <c r="H14" s="393" t="e">
        <f>G14/F15</f>
        <v>#DIV/0!</v>
      </c>
      <c r="I14" s="51">
        <f>'S5'!D9</f>
        <v>0</v>
      </c>
      <c r="J14" s="394">
        <f>'S5'!D10-'S5'!D9</f>
        <v>0</v>
      </c>
      <c r="K14" s="393" t="e">
        <f>J14/I15</f>
        <v>#DIV/0!</v>
      </c>
      <c r="L14" s="51">
        <f>'S5'!E9</f>
        <v>0</v>
      </c>
      <c r="M14" s="394">
        <f>'S5'!E10-'S5'!E9</f>
        <v>0</v>
      </c>
      <c r="N14" s="393" t="e">
        <f>M14/L15</f>
        <v>#DIV/0!</v>
      </c>
      <c r="O14" s="51">
        <f>'S5'!B24</f>
        <v>0</v>
      </c>
      <c r="P14" s="394">
        <f>'S5'!B25-'S5'!B24</f>
        <v>0</v>
      </c>
      <c r="Q14" s="393" t="e">
        <f>P14/O15</f>
        <v>#DIV/0!</v>
      </c>
      <c r="R14" s="51">
        <f>'S5'!C24</f>
        <v>0</v>
      </c>
      <c r="S14" s="394">
        <f>'S5'!C25-'S5'!C24</f>
        <v>0</v>
      </c>
      <c r="T14" s="393" t="e">
        <f>S14/R15</f>
        <v>#DIV/0!</v>
      </c>
      <c r="U14" s="51">
        <f>'S5'!D24</f>
        <v>0</v>
      </c>
      <c r="V14" s="394">
        <f>'S5'!D25-'S5'!D24</f>
        <v>0</v>
      </c>
      <c r="W14" s="393" t="e">
        <f>V14/U15</f>
        <v>#DIV/0!</v>
      </c>
      <c r="X14" s="51">
        <f>'S5'!E24</f>
        <v>0</v>
      </c>
      <c r="Y14" s="394">
        <f>'S5'!E25-'S5'!E24</f>
        <v>0</v>
      </c>
      <c r="Z14" s="393" t="e">
        <f>Y14/X15</f>
        <v>#DIV/0!</v>
      </c>
    </row>
    <row r="15" spans="1:27" x14ac:dyDescent="0.35">
      <c r="A15" s="395"/>
      <c r="B15" s="51" t="s">
        <v>60</v>
      </c>
      <c r="C15" s="52">
        <f>'S5'!B10</f>
        <v>0</v>
      </c>
      <c r="D15" s="394"/>
      <c r="E15" s="393"/>
      <c r="F15" s="52">
        <f>'S5'!C10</f>
        <v>0</v>
      </c>
      <c r="G15" s="394"/>
      <c r="H15" s="393"/>
      <c r="I15" s="52">
        <f>'S5'!D10</f>
        <v>0</v>
      </c>
      <c r="J15" s="394"/>
      <c r="K15" s="393"/>
      <c r="L15" s="52">
        <f>'S5'!E10</f>
        <v>0</v>
      </c>
      <c r="M15" s="394"/>
      <c r="N15" s="393"/>
      <c r="O15" s="52">
        <f>'S5'!B25</f>
        <v>0</v>
      </c>
      <c r="P15" s="394"/>
      <c r="Q15" s="393"/>
      <c r="R15" s="52">
        <f>'S5'!C25</f>
        <v>0</v>
      </c>
      <c r="S15" s="394"/>
      <c r="T15" s="393"/>
      <c r="U15" s="52">
        <f>'S5'!D25</f>
        <v>0</v>
      </c>
      <c r="V15" s="394"/>
      <c r="W15" s="393"/>
      <c r="X15" s="52">
        <f>'S5'!E25</f>
        <v>0</v>
      </c>
      <c r="Y15" s="394"/>
      <c r="Z15" s="393"/>
    </row>
    <row r="16" spans="1:27" x14ac:dyDescent="0.35">
      <c r="A16" s="395" t="s">
        <v>9</v>
      </c>
      <c r="B16" s="51" t="s">
        <v>59</v>
      </c>
      <c r="C16" s="51">
        <f>'S6'!B9</f>
        <v>0</v>
      </c>
      <c r="D16" s="394">
        <f>'S6'!B10-'S6'!B9</f>
        <v>0</v>
      </c>
      <c r="E16" s="393" t="e">
        <f>D16/C17</f>
        <v>#DIV/0!</v>
      </c>
      <c r="F16" s="51">
        <f>'S6'!C9</f>
        <v>0</v>
      </c>
      <c r="G16" s="394">
        <f>'S6'!C10-'S6'!C9</f>
        <v>0</v>
      </c>
      <c r="H16" s="393" t="e">
        <f>G16/F17</f>
        <v>#DIV/0!</v>
      </c>
      <c r="I16" s="51">
        <f>'S6'!D9</f>
        <v>0</v>
      </c>
      <c r="J16" s="394">
        <f>'S6'!D10-'S6'!D9</f>
        <v>0</v>
      </c>
      <c r="K16" s="393" t="e">
        <f>J16/I17</f>
        <v>#DIV/0!</v>
      </c>
      <c r="L16" s="51">
        <f>'S6'!E9</f>
        <v>0</v>
      </c>
      <c r="M16" s="394">
        <f>'S6'!E10-'S6'!E9</f>
        <v>0</v>
      </c>
      <c r="N16" s="393" t="e">
        <f>M16/L17</f>
        <v>#DIV/0!</v>
      </c>
      <c r="O16" s="51">
        <f>'S6'!B24</f>
        <v>0</v>
      </c>
      <c r="P16" s="394">
        <f>'S6'!B25-'S6'!B24</f>
        <v>0</v>
      </c>
      <c r="Q16" s="393" t="e">
        <f>P16/O17</f>
        <v>#DIV/0!</v>
      </c>
      <c r="R16" s="51">
        <f>'S6'!C24</f>
        <v>0</v>
      </c>
      <c r="S16" s="394">
        <f>'S6'!C25-'S6'!C24</f>
        <v>0</v>
      </c>
      <c r="T16" s="393" t="e">
        <f>S16/R17</f>
        <v>#DIV/0!</v>
      </c>
      <c r="U16" s="51">
        <f>'S6'!D24</f>
        <v>0</v>
      </c>
      <c r="V16" s="394">
        <f>'S6'!D25-'S6'!D24</f>
        <v>0</v>
      </c>
      <c r="W16" s="393" t="e">
        <f>V16/U17</f>
        <v>#DIV/0!</v>
      </c>
      <c r="X16" s="51">
        <f>'S6'!E24</f>
        <v>0</v>
      </c>
      <c r="Y16" s="394">
        <f>'S6'!E25-'S6'!E24</f>
        <v>0</v>
      </c>
      <c r="Z16" s="393" t="e">
        <f>Y16/X17</f>
        <v>#DIV/0!</v>
      </c>
    </row>
    <row r="17" spans="1:26" x14ac:dyDescent="0.35">
      <c r="A17" s="395"/>
      <c r="B17" s="51" t="s">
        <v>60</v>
      </c>
      <c r="C17" s="51">
        <f>'S6'!B10</f>
        <v>0</v>
      </c>
      <c r="D17" s="394"/>
      <c r="E17" s="393"/>
      <c r="F17" s="51">
        <f>'S6'!C10</f>
        <v>0</v>
      </c>
      <c r="G17" s="394"/>
      <c r="H17" s="393"/>
      <c r="I17" s="51">
        <f>'S6'!D10</f>
        <v>0</v>
      </c>
      <c r="J17" s="394"/>
      <c r="K17" s="393"/>
      <c r="L17" s="51">
        <f>'S6'!E10</f>
        <v>0</v>
      </c>
      <c r="M17" s="394"/>
      <c r="N17" s="393"/>
      <c r="O17" s="51">
        <f>'S6'!B25</f>
        <v>0</v>
      </c>
      <c r="P17" s="394"/>
      <c r="Q17" s="393"/>
      <c r="R17" s="51">
        <f>'S6'!C25</f>
        <v>0</v>
      </c>
      <c r="S17" s="394"/>
      <c r="T17" s="393"/>
      <c r="U17" s="51">
        <f>'S6'!D25</f>
        <v>0</v>
      </c>
      <c r="V17" s="394"/>
      <c r="W17" s="393"/>
      <c r="X17" s="51">
        <f>'S6'!E25</f>
        <v>0</v>
      </c>
      <c r="Y17" s="394"/>
      <c r="Z17" s="393"/>
    </row>
    <row r="18" spans="1:26" x14ac:dyDescent="0.35">
      <c r="A18" s="395" t="s">
        <v>10</v>
      </c>
      <c r="B18" s="51" t="s">
        <v>59</v>
      </c>
      <c r="C18" s="51">
        <f>'S7'!B9</f>
        <v>0</v>
      </c>
      <c r="D18" s="394">
        <f>'S7'!B10-'S7'!B9</f>
        <v>0</v>
      </c>
      <c r="E18" s="393" t="e">
        <f>D18/C19</f>
        <v>#DIV/0!</v>
      </c>
      <c r="F18" s="51">
        <f>'S7'!C9</f>
        <v>0</v>
      </c>
      <c r="G18" s="394">
        <f>'S7'!C10-'S7'!C9</f>
        <v>0</v>
      </c>
      <c r="H18" s="393" t="e">
        <f>G18/F19</f>
        <v>#DIV/0!</v>
      </c>
      <c r="I18" s="51">
        <f>'S7'!D9</f>
        <v>0</v>
      </c>
      <c r="J18" s="394">
        <f>'S7'!D10-'S7'!D9</f>
        <v>0</v>
      </c>
      <c r="K18" s="393" t="e">
        <f>J18/I19</f>
        <v>#DIV/0!</v>
      </c>
      <c r="L18" s="51">
        <f>'S7'!E9</f>
        <v>0</v>
      </c>
      <c r="M18" s="394">
        <f>'S7'!E10-'S7'!E9</f>
        <v>0</v>
      </c>
      <c r="N18" s="393" t="e">
        <f>M18/L19</f>
        <v>#DIV/0!</v>
      </c>
      <c r="O18" s="51">
        <f>'S7'!B24</f>
        <v>0</v>
      </c>
      <c r="P18" s="394">
        <f>'S7'!B25-'S7'!B24</f>
        <v>0</v>
      </c>
      <c r="Q18" s="393" t="e">
        <f>P18/O19</f>
        <v>#DIV/0!</v>
      </c>
      <c r="R18" s="51">
        <f>'S7'!C24</f>
        <v>0</v>
      </c>
      <c r="S18" s="394">
        <f>'S7'!C25-'S7'!C24</f>
        <v>0</v>
      </c>
      <c r="T18" s="393" t="e">
        <f>S18/R19</f>
        <v>#DIV/0!</v>
      </c>
      <c r="U18" s="51">
        <f>'S7'!D24</f>
        <v>0</v>
      </c>
      <c r="V18" s="394">
        <f>'S7'!D25-'S7'!D24</f>
        <v>0</v>
      </c>
      <c r="W18" s="393" t="e">
        <f>V18/U19</f>
        <v>#DIV/0!</v>
      </c>
      <c r="X18" s="51">
        <f>'S7'!E24</f>
        <v>0</v>
      </c>
      <c r="Y18" s="394">
        <f>'S7'!E25-'S7'!E24</f>
        <v>0</v>
      </c>
      <c r="Z18" s="393" t="e">
        <f>Y18/X19</f>
        <v>#DIV/0!</v>
      </c>
    </row>
    <row r="19" spans="1:26" x14ac:dyDescent="0.35">
      <c r="A19" s="395"/>
      <c r="B19" s="51" t="s">
        <v>60</v>
      </c>
      <c r="C19" s="51">
        <f>'S7'!B10</f>
        <v>0</v>
      </c>
      <c r="D19" s="394"/>
      <c r="E19" s="393"/>
      <c r="F19" s="52">
        <f>'S7'!C10</f>
        <v>0</v>
      </c>
      <c r="G19" s="394"/>
      <c r="H19" s="393"/>
      <c r="I19" s="51">
        <f>'S7'!D10</f>
        <v>0</v>
      </c>
      <c r="J19" s="394"/>
      <c r="K19" s="393"/>
      <c r="L19" s="51">
        <f>'S7'!E10</f>
        <v>0</v>
      </c>
      <c r="M19" s="394"/>
      <c r="N19" s="393"/>
      <c r="O19" s="51">
        <f>'S7'!B25</f>
        <v>0</v>
      </c>
      <c r="P19" s="394"/>
      <c r="Q19" s="393"/>
      <c r="R19" s="51">
        <f>'S7'!C25</f>
        <v>0</v>
      </c>
      <c r="S19" s="394"/>
      <c r="T19" s="393"/>
      <c r="U19" s="51">
        <f>'S7'!D25</f>
        <v>0</v>
      </c>
      <c r="V19" s="394"/>
      <c r="W19" s="393"/>
      <c r="X19" s="51">
        <f>'S7'!E25</f>
        <v>0</v>
      </c>
      <c r="Y19" s="394"/>
      <c r="Z19" s="393"/>
    </row>
    <row r="20" spans="1:26" x14ac:dyDescent="0.35">
      <c r="A20" s="395" t="s">
        <v>11</v>
      </c>
      <c r="B20" s="51" t="s">
        <v>59</v>
      </c>
      <c r="C20" s="51">
        <f>'S8'!B9</f>
        <v>0</v>
      </c>
      <c r="D20" s="394">
        <f>'S8'!B10-'S8'!B9</f>
        <v>0</v>
      </c>
      <c r="E20" s="393" t="e">
        <f>D20/C21</f>
        <v>#DIV/0!</v>
      </c>
      <c r="F20" s="51">
        <f>'S8'!C9</f>
        <v>0</v>
      </c>
      <c r="G20" s="394">
        <f>'S8'!C10-'S8'!C9</f>
        <v>0</v>
      </c>
      <c r="H20" s="393" t="e">
        <f>G20/F21</f>
        <v>#DIV/0!</v>
      </c>
      <c r="I20" s="51">
        <f>'S8'!D9</f>
        <v>0</v>
      </c>
      <c r="J20" s="394">
        <f>'S8'!D10-'S8'!D9</f>
        <v>0</v>
      </c>
      <c r="K20" s="393" t="e">
        <f>J20/I21</f>
        <v>#DIV/0!</v>
      </c>
      <c r="L20" s="51">
        <f>'S8'!E9</f>
        <v>0</v>
      </c>
      <c r="M20" s="394">
        <f>'S8'!E10-'S8'!E9</f>
        <v>0</v>
      </c>
      <c r="N20" s="393" t="e">
        <f>M20/L21</f>
        <v>#DIV/0!</v>
      </c>
      <c r="O20" s="51">
        <f>'S8'!B24</f>
        <v>0</v>
      </c>
      <c r="P20" s="394">
        <f>'S8'!B25-'S8'!B24</f>
        <v>0</v>
      </c>
      <c r="Q20" s="393" t="e">
        <f>P20/O21</f>
        <v>#DIV/0!</v>
      </c>
      <c r="R20" s="51">
        <f>'S8'!C24</f>
        <v>0</v>
      </c>
      <c r="S20" s="394">
        <f>'S8'!C25-'S8'!C24</f>
        <v>0</v>
      </c>
      <c r="T20" s="393" t="e">
        <f>S20/R21</f>
        <v>#DIV/0!</v>
      </c>
      <c r="U20" s="51">
        <f>'S8'!D24</f>
        <v>0</v>
      </c>
      <c r="V20" s="394">
        <f>'S8'!D25-'S8'!D24</f>
        <v>0</v>
      </c>
      <c r="W20" s="393" t="e">
        <f>V20/U21</f>
        <v>#DIV/0!</v>
      </c>
      <c r="X20" s="51">
        <f>'S8'!E24</f>
        <v>0</v>
      </c>
      <c r="Y20" s="394">
        <f>'S8'!E25-'S8'!E24</f>
        <v>0</v>
      </c>
      <c r="Z20" s="393" t="e">
        <f>Y20/X21</f>
        <v>#DIV/0!</v>
      </c>
    </row>
    <row r="21" spans="1:26" x14ac:dyDescent="0.35">
      <c r="A21" s="395"/>
      <c r="B21" s="51" t="s">
        <v>60</v>
      </c>
      <c r="C21" s="51">
        <f>'S8'!B10</f>
        <v>0</v>
      </c>
      <c r="D21" s="394"/>
      <c r="E21" s="393"/>
      <c r="F21" s="51">
        <f>'S8'!C10</f>
        <v>0</v>
      </c>
      <c r="G21" s="394"/>
      <c r="H21" s="393"/>
      <c r="I21" s="51">
        <f>'S8'!D10</f>
        <v>0</v>
      </c>
      <c r="J21" s="394"/>
      <c r="K21" s="393"/>
      <c r="L21" s="51">
        <f>'S8'!E10</f>
        <v>0</v>
      </c>
      <c r="M21" s="394"/>
      <c r="N21" s="393"/>
      <c r="O21" s="51">
        <f>'S8'!B25</f>
        <v>0</v>
      </c>
      <c r="P21" s="394"/>
      <c r="Q21" s="393"/>
      <c r="R21" s="51">
        <f>'S8'!C25</f>
        <v>0</v>
      </c>
      <c r="S21" s="394"/>
      <c r="T21" s="393"/>
      <c r="U21" s="51">
        <f>'S8'!D25</f>
        <v>0</v>
      </c>
      <c r="V21" s="394"/>
      <c r="W21" s="393"/>
      <c r="X21" s="51">
        <f>'S8'!E25</f>
        <v>0</v>
      </c>
      <c r="Y21" s="394"/>
      <c r="Z21" s="393"/>
    </row>
    <row r="22" spans="1:26" ht="15" customHeight="1" x14ac:dyDescent="0.35">
      <c r="A22" s="398" t="s">
        <v>12</v>
      </c>
      <c r="B22" s="51" t="s">
        <v>59</v>
      </c>
      <c r="C22" s="51">
        <f>'S9'!B9</f>
        <v>0</v>
      </c>
      <c r="D22" s="394">
        <f>'S9'!B10-'S9'!B9</f>
        <v>0</v>
      </c>
      <c r="E22" s="396" t="e">
        <f>D22/C23</f>
        <v>#DIV/0!</v>
      </c>
      <c r="F22" s="51">
        <f>'S9'!C9</f>
        <v>0</v>
      </c>
      <c r="G22" s="394">
        <f>'S9'!C10-'S9'!C9</f>
        <v>0</v>
      </c>
      <c r="H22" s="396" t="e">
        <f>G22/F23</f>
        <v>#DIV/0!</v>
      </c>
      <c r="I22" s="51">
        <f>'S9'!D9</f>
        <v>0</v>
      </c>
      <c r="J22" s="394">
        <f>'S9'!D10-'S9'!D9</f>
        <v>0</v>
      </c>
      <c r="K22" s="396" t="e">
        <f>J22/I23</f>
        <v>#DIV/0!</v>
      </c>
      <c r="L22" s="51">
        <f>'S9'!E9</f>
        <v>0</v>
      </c>
      <c r="M22" s="394">
        <f>'S9'!E10-'S9'!E9</f>
        <v>0</v>
      </c>
      <c r="N22" s="396" t="e">
        <f>M22/L23</f>
        <v>#DIV/0!</v>
      </c>
      <c r="O22" s="110">
        <f>'S9'!B24</f>
        <v>0</v>
      </c>
      <c r="P22" s="394">
        <f>'S9'!B25-'S9'!B24</f>
        <v>0</v>
      </c>
      <c r="Q22" s="396" t="e">
        <f>P22/O23</f>
        <v>#DIV/0!</v>
      </c>
      <c r="R22" s="51">
        <f>'S9'!C24</f>
        <v>0</v>
      </c>
      <c r="S22" s="394">
        <f>'S9'!C25-'S9'!C24</f>
        <v>0</v>
      </c>
      <c r="T22" s="396" t="e">
        <f>S22/R23</f>
        <v>#DIV/0!</v>
      </c>
      <c r="U22" s="51">
        <f>'S9'!D24</f>
        <v>0</v>
      </c>
      <c r="V22" s="394">
        <f>'S9'!D25-'S9'!D24</f>
        <v>0</v>
      </c>
      <c r="W22" s="396" t="e">
        <f>V22/U23</f>
        <v>#DIV/0!</v>
      </c>
      <c r="X22" s="51">
        <f>'S9'!E24</f>
        <v>0</v>
      </c>
      <c r="Y22" s="394">
        <f>'S9'!E25-'S9'!E24</f>
        <v>0</v>
      </c>
      <c r="Z22" s="396" t="e">
        <f>Y22/X23</f>
        <v>#DIV/0!</v>
      </c>
    </row>
    <row r="23" spans="1:26" ht="15" customHeight="1" x14ac:dyDescent="0.35">
      <c r="A23" s="399"/>
      <c r="B23" s="51" t="s">
        <v>60</v>
      </c>
      <c r="C23" s="53">
        <f>'S9'!B10</f>
        <v>0</v>
      </c>
      <c r="D23" s="394"/>
      <c r="E23" s="397"/>
      <c r="F23" s="53">
        <f>'S9'!C10</f>
        <v>0</v>
      </c>
      <c r="G23" s="394"/>
      <c r="H23" s="397"/>
      <c r="I23" s="53">
        <f>'S9'!D10</f>
        <v>0</v>
      </c>
      <c r="J23" s="394"/>
      <c r="K23" s="397"/>
      <c r="L23" s="53">
        <f>'S9'!E10</f>
        <v>0</v>
      </c>
      <c r="M23" s="394"/>
      <c r="N23" s="397"/>
      <c r="O23" s="111">
        <f>'S9'!B25</f>
        <v>0</v>
      </c>
      <c r="P23" s="394"/>
      <c r="Q23" s="397"/>
      <c r="R23" s="51">
        <f>'S9'!C25</f>
        <v>0</v>
      </c>
      <c r="S23" s="394"/>
      <c r="T23" s="397"/>
      <c r="U23" s="53">
        <f>'S9'!D25</f>
        <v>0</v>
      </c>
      <c r="V23" s="394"/>
      <c r="W23" s="397"/>
      <c r="X23" s="51">
        <f>'S9'!E25</f>
        <v>0</v>
      </c>
      <c r="Y23" s="394"/>
      <c r="Z23" s="397"/>
    </row>
    <row r="24" spans="1:26" x14ac:dyDescent="0.35">
      <c r="A24" s="395" t="s">
        <v>13</v>
      </c>
      <c r="B24" s="51" t="s">
        <v>59</v>
      </c>
      <c r="C24" s="51">
        <f>'S10'!B9</f>
        <v>0</v>
      </c>
      <c r="D24" s="394">
        <f>'S10'!B10-'S10'!B9</f>
        <v>0</v>
      </c>
      <c r="E24" s="393" t="e">
        <f>D24/C25</f>
        <v>#DIV/0!</v>
      </c>
      <c r="F24" s="51">
        <f>'S10'!C9</f>
        <v>0</v>
      </c>
      <c r="G24" s="394">
        <f>'S10'!C10-'S10'!C9</f>
        <v>0</v>
      </c>
      <c r="H24" s="393" t="e">
        <f>G24/F25</f>
        <v>#DIV/0!</v>
      </c>
      <c r="I24" s="51">
        <f>'S10'!D9</f>
        <v>0</v>
      </c>
      <c r="J24" s="394">
        <f>'S10'!D10-'S10'!D9</f>
        <v>0</v>
      </c>
      <c r="K24" s="393" t="e">
        <f>J24/I25</f>
        <v>#DIV/0!</v>
      </c>
      <c r="L24" s="51">
        <f>'S10'!E9</f>
        <v>0</v>
      </c>
      <c r="M24" s="394">
        <f>'S10'!E10-'S10'!E9</f>
        <v>0</v>
      </c>
      <c r="N24" s="393" t="e">
        <f>M24/L25</f>
        <v>#DIV/0!</v>
      </c>
      <c r="O24" s="51">
        <f>'S10'!B24</f>
        <v>0</v>
      </c>
      <c r="P24" s="394">
        <f>'S10'!B25-'S10'!B24</f>
        <v>0</v>
      </c>
      <c r="Q24" s="393" t="e">
        <f>P24/O25</f>
        <v>#DIV/0!</v>
      </c>
      <c r="R24" s="51">
        <f>'S10'!C24</f>
        <v>0</v>
      </c>
      <c r="S24" s="394">
        <f>'S10'!C25-'S10'!C24</f>
        <v>0</v>
      </c>
      <c r="T24" s="393" t="e">
        <f>S24/R25</f>
        <v>#DIV/0!</v>
      </c>
      <c r="U24" s="51">
        <f>'S10'!D24</f>
        <v>0</v>
      </c>
      <c r="V24" s="394">
        <f>'S10'!D25-'S10'!D24</f>
        <v>0</v>
      </c>
      <c r="W24" s="393" t="e">
        <f>V24/U25</f>
        <v>#DIV/0!</v>
      </c>
      <c r="X24" s="51">
        <f>'S10'!E24</f>
        <v>0</v>
      </c>
      <c r="Y24" s="394">
        <f>'S10'!E25-'S10'!E24</f>
        <v>0</v>
      </c>
      <c r="Z24" s="393" t="e">
        <f>Y24/X25</f>
        <v>#DIV/0!</v>
      </c>
    </row>
    <row r="25" spans="1:26" x14ac:dyDescent="0.35">
      <c r="A25" s="395"/>
      <c r="B25" s="51" t="s">
        <v>60</v>
      </c>
      <c r="C25" s="53">
        <f>'S10'!B10</f>
        <v>0</v>
      </c>
      <c r="D25" s="394"/>
      <c r="E25" s="393"/>
      <c r="F25" s="53">
        <f>'S10'!C10</f>
        <v>0</v>
      </c>
      <c r="G25" s="394"/>
      <c r="H25" s="393"/>
      <c r="I25" s="53">
        <f>'S10'!D10</f>
        <v>0</v>
      </c>
      <c r="J25" s="394"/>
      <c r="K25" s="393"/>
      <c r="L25" s="53">
        <f>'S10'!E10</f>
        <v>0</v>
      </c>
      <c r="M25" s="394"/>
      <c r="N25" s="393"/>
      <c r="O25" s="53">
        <f>'S10'!B25</f>
        <v>0</v>
      </c>
      <c r="P25" s="394"/>
      <c r="Q25" s="393"/>
      <c r="R25" s="53">
        <f>'S10'!C25</f>
        <v>0</v>
      </c>
      <c r="S25" s="394"/>
      <c r="T25" s="393"/>
      <c r="U25" s="53">
        <f>'S10'!D25</f>
        <v>0</v>
      </c>
      <c r="V25" s="394"/>
      <c r="W25" s="393"/>
      <c r="X25" s="53">
        <f>'S10'!E25</f>
        <v>0</v>
      </c>
      <c r="Y25" s="394"/>
      <c r="Z25" s="393"/>
    </row>
    <row r="26" spans="1:26" x14ac:dyDescent="0.35">
      <c r="A26" s="395" t="s">
        <v>14</v>
      </c>
      <c r="B26" s="51" t="s">
        <v>59</v>
      </c>
      <c r="C26" s="51">
        <f>'S11'!B9</f>
        <v>0</v>
      </c>
      <c r="D26" s="394">
        <f>'S11'!B10-'S11'!B9</f>
        <v>0</v>
      </c>
      <c r="E26" s="393" t="e">
        <f>D26/C27</f>
        <v>#DIV/0!</v>
      </c>
      <c r="F26" s="51">
        <f>'S11'!C9</f>
        <v>0</v>
      </c>
      <c r="G26" s="394">
        <f>'S11'!C10-'S11'!C9</f>
        <v>0</v>
      </c>
      <c r="H26" s="393" t="e">
        <f>G26/F27</f>
        <v>#DIV/0!</v>
      </c>
      <c r="I26" s="51">
        <f>'S11'!D9</f>
        <v>0</v>
      </c>
      <c r="J26" s="394">
        <f>'S11'!D10-'S11'!D9</f>
        <v>0</v>
      </c>
      <c r="K26" s="393" t="e">
        <f>J26/I27</f>
        <v>#DIV/0!</v>
      </c>
      <c r="L26" s="51">
        <f>'S11'!E9</f>
        <v>0</v>
      </c>
      <c r="M26" s="394">
        <f>'S11'!E10-'S11'!E9</f>
        <v>0</v>
      </c>
      <c r="N26" s="393" t="e">
        <f>M26/L27</f>
        <v>#DIV/0!</v>
      </c>
      <c r="O26" s="51">
        <f>'S11'!B24</f>
        <v>0</v>
      </c>
      <c r="P26" s="394">
        <f>'S11'!B25-'S11'!B24</f>
        <v>0</v>
      </c>
      <c r="Q26" s="393" t="e">
        <f>P26/O27</f>
        <v>#DIV/0!</v>
      </c>
      <c r="R26" s="51">
        <f>'S11'!C24</f>
        <v>0</v>
      </c>
      <c r="S26" s="394">
        <f>'S11'!C25-'S11'!C24</f>
        <v>0</v>
      </c>
      <c r="T26" s="393" t="e">
        <f>S26/R27</f>
        <v>#DIV/0!</v>
      </c>
      <c r="U26" s="51">
        <f>'S11'!D24</f>
        <v>0</v>
      </c>
      <c r="V26" s="394">
        <f>'S11'!D25-'S11'!D24</f>
        <v>0</v>
      </c>
      <c r="W26" s="393" t="e">
        <f>V26/U27</f>
        <v>#DIV/0!</v>
      </c>
      <c r="X26" s="51">
        <f>'S11'!E24</f>
        <v>0</v>
      </c>
      <c r="Y26" s="394">
        <f>'S11'!E25-'S11'!E24</f>
        <v>0</v>
      </c>
      <c r="Z26" s="393" t="e">
        <f>Y26/X27</f>
        <v>#DIV/0!</v>
      </c>
    </row>
    <row r="27" spans="1:26" x14ac:dyDescent="0.35">
      <c r="A27" s="395"/>
      <c r="B27" s="51" t="s">
        <v>60</v>
      </c>
      <c r="C27" s="51">
        <f>'S11'!B10</f>
        <v>0</v>
      </c>
      <c r="D27" s="394"/>
      <c r="E27" s="393"/>
      <c r="F27" s="51">
        <f>'S11'!C10</f>
        <v>0</v>
      </c>
      <c r="G27" s="394"/>
      <c r="H27" s="393"/>
      <c r="I27" s="51">
        <f>'S11'!D10</f>
        <v>0</v>
      </c>
      <c r="J27" s="394"/>
      <c r="K27" s="393"/>
      <c r="L27" s="51">
        <f>'S11'!E10</f>
        <v>0</v>
      </c>
      <c r="M27" s="394"/>
      <c r="N27" s="393"/>
      <c r="O27" s="51">
        <f>'S11'!B25</f>
        <v>0</v>
      </c>
      <c r="P27" s="394"/>
      <c r="Q27" s="393"/>
      <c r="R27" s="51">
        <f>'S11'!C25</f>
        <v>0</v>
      </c>
      <c r="S27" s="394"/>
      <c r="T27" s="393"/>
      <c r="U27" s="51">
        <f>'S11'!D25</f>
        <v>0</v>
      </c>
      <c r="V27" s="394"/>
      <c r="W27" s="393"/>
      <c r="X27" s="51">
        <f>'S11'!E25</f>
        <v>0</v>
      </c>
      <c r="Y27" s="394"/>
      <c r="Z27" s="393"/>
    </row>
    <row r="28" spans="1:26" x14ac:dyDescent="0.35">
      <c r="A28" s="395" t="s">
        <v>3</v>
      </c>
      <c r="B28" s="51" t="s">
        <v>59</v>
      </c>
      <c r="C28" s="51">
        <f>'S12'!B9</f>
        <v>0</v>
      </c>
      <c r="D28" s="394">
        <f>'S12'!B10-'S12'!B9</f>
        <v>0</v>
      </c>
      <c r="E28" s="393" t="e">
        <f>D28/C29</f>
        <v>#DIV/0!</v>
      </c>
      <c r="F28" s="51">
        <f>'S12'!C9</f>
        <v>0</v>
      </c>
      <c r="G28" s="394">
        <f>'S12'!C10-'S12'!C9</f>
        <v>0</v>
      </c>
      <c r="H28" s="393" t="e">
        <f>G28/F29</f>
        <v>#DIV/0!</v>
      </c>
      <c r="I28" s="51">
        <f>'S12'!D9</f>
        <v>0</v>
      </c>
      <c r="J28" s="394">
        <f>'S12'!D10-'S12'!D9</f>
        <v>0</v>
      </c>
      <c r="K28" s="393" t="e">
        <f>J28/I29</f>
        <v>#DIV/0!</v>
      </c>
      <c r="L28" s="51">
        <f>'S12'!E9</f>
        <v>0</v>
      </c>
      <c r="M28" s="394">
        <f>'S12'!E10-'S12'!E9</f>
        <v>0</v>
      </c>
      <c r="N28" s="393" t="e">
        <f>M28/L29</f>
        <v>#DIV/0!</v>
      </c>
      <c r="O28" s="51">
        <f>'S12'!B24</f>
        <v>0</v>
      </c>
      <c r="P28" s="394">
        <f>'S12'!B25-'S12'!B24</f>
        <v>0</v>
      </c>
      <c r="Q28" s="393" t="e">
        <f>P28/O29</f>
        <v>#DIV/0!</v>
      </c>
      <c r="R28" s="51">
        <f>'S12'!C24</f>
        <v>0</v>
      </c>
      <c r="S28" s="394">
        <f>'S12'!C25-'S12'!C24</f>
        <v>0</v>
      </c>
      <c r="T28" s="393" t="e">
        <f>S28/R29</f>
        <v>#DIV/0!</v>
      </c>
      <c r="U28" s="51">
        <f>'S12'!D24</f>
        <v>0</v>
      </c>
      <c r="V28" s="394">
        <f>'S12'!D25-'S12'!D24</f>
        <v>0</v>
      </c>
      <c r="W28" s="393" t="e">
        <f>V28/U29</f>
        <v>#DIV/0!</v>
      </c>
      <c r="X28" s="51">
        <f>'S12'!E24</f>
        <v>0</v>
      </c>
      <c r="Y28" s="394">
        <f>'S12'!E25-'S12'!E24</f>
        <v>0</v>
      </c>
      <c r="Z28" s="393" t="e">
        <f>Y28/X29</f>
        <v>#DIV/0!</v>
      </c>
    </row>
    <row r="29" spans="1:26" x14ac:dyDescent="0.35">
      <c r="A29" s="395"/>
      <c r="B29" s="51" t="s">
        <v>60</v>
      </c>
      <c r="C29" s="53">
        <f>'S12'!B10</f>
        <v>0</v>
      </c>
      <c r="D29" s="394"/>
      <c r="E29" s="393"/>
      <c r="F29" s="53">
        <f>'S12'!C10</f>
        <v>0</v>
      </c>
      <c r="G29" s="394"/>
      <c r="H29" s="393"/>
      <c r="I29" s="53">
        <f>'S12'!D10</f>
        <v>0</v>
      </c>
      <c r="J29" s="394"/>
      <c r="K29" s="393"/>
      <c r="L29" s="53">
        <f>'S12'!E10</f>
        <v>0</v>
      </c>
      <c r="M29" s="394"/>
      <c r="N29" s="393"/>
      <c r="O29" s="53">
        <f>'S12'!B25</f>
        <v>0</v>
      </c>
      <c r="P29" s="394"/>
      <c r="Q29" s="393"/>
      <c r="R29" s="53">
        <f>'S12'!C25</f>
        <v>0</v>
      </c>
      <c r="S29" s="394"/>
      <c r="T29" s="393"/>
      <c r="U29" s="53">
        <f>'S12'!D25</f>
        <v>0</v>
      </c>
      <c r="V29" s="394"/>
      <c r="W29" s="393"/>
      <c r="X29" s="53">
        <f>'S12'!E25</f>
        <v>0</v>
      </c>
      <c r="Y29" s="394"/>
      <c r="Z29" s="393"/>
    </row>
    <row r="30" spans="1:26" ht="15.5" x14ac:dyDescent="0.35">
      <c r="A30" s="54"/>
      <c r="C30" s="55"/>
      <c r="D30" s="56"/>
      <c r="E30" s="56"/>
      <c r="F30" s="55"/>
      <c r="G30" s="56"/>
      <c r="H30" s="56"/>
      <c r="I30" s="55"/>
      <c r="J30" s="56"/>
      <c r="K30" s="56"/>
      <c r="L30" s="55"/>
      <c r="M30" s="56"/>
      <c r="N30" s="56"/>
      <c r="O30" s="55"/>
      <c r="P30" s="56"/>
      <c r="Q30" s="56"/>
      <c r="R30" s="55"/>
      <c r="S30" s="56"/>
      <c r="T30" s="56"/>
      <c r="U30" s="55"/>
      <c r="V30" s="56"/>
      <c r="W30" s="56"/>
      <c r="X30" s="55"/>
      <c r="Y30" s="56"/>
      <c r="Z30" s="56"/>
    </row>
    <row r="31" spans="1:26" s="57" customFormat="1" ht="15.5" x14ac:dyDescent="0.35">
      <c r="A31" s="57" t="s">
        <v>61</v>
      </c>
      <c r="D31" s="57">
        <f>SUM(D6:D29)</f>
        <v>351.66700000000014</v>
      </c>
      <c r="G31" s="57">
        <f>SUM(G6:G29)</f>
        <v>378.339</v>
      </c>
      <c r="J31" s="57">
        <f>SUM(J6:J29)</f>
        <v>423.89000000000004</v>
      </c>
      <c r="M31" s="57">
        <f>SUM(M6:M29)</f>
        <v>323.221</v>
      </c>
      <c r="P31" s="57">
        <f>SUM(P6:P29)</f>
        <v>-309.38299999999992</v>
      </c>
      <c r="S31" s="57">
        <f>SUM(S6:S29)</f>
        <v>-382.71200000000005</v>
      </c>
      <c r="V31" s="57">
        <f>SUM(V6:V29)</f>
        <v>-626.30500000000006</v>
      </c>
      <c r="Y31" s="57">
        <f>SUM(Y6:Y29)</f>
        <v>-319.67699999999979</v>
      </c>
    </row>
    <row r="32" spans="1:26" ht="6.75" customHeight="1" x14ac:dyDescent="0.35"/>
    <row r="33" spans="1:25" s="58" customFormat="1" ht="15.5" x14ac:dyDescent="0.35">
      <c r="A33" s="57" t="s">
        <v>62</v>
      </c>
      <c r="D33" s="59">
        <f>(D6+D8+D10+D12+D14+D16+D18+D20+D22+D24+D26+D28)/(C7+C9+C11+C13+C15+C17+C19+C21+C23+C25+C27+C29)</f>
        <v>-0.87954130505464867</v>
      </c>
      <c r="G33" s="59">
        <f>(G6+G8+G10+G12+G14+G16+G18+G20+G22+G24+G26+G28)/(F7+F9+F11+F13+F15+F17+F19+F21+F23+F25+F27+F29)</f>
        <v>-0.66358964464868275</v>
      </c>
      <c r="J33" s="59">
        <f>(J6+J8+J10+J12+J14+J16+J18+J20+J22+J24+J26+J28)/(I7+I9+I11+I13+I15+I17+I19+I21+I23+I25+I27+I29)</f>
        <v>-0.93404874179190001</v>
      </c>
      <c r="M33" s="59">
        <f>(M6+M8+M10+M12+M14+M16+M18+M20+M22+M24+M26+M28)/(L7+L9+L11+L13+L15+L17+L19+L21+L23+L25+L27+L29)</f>
        <v>-0.7754450362266686</v>
      </c>
      <c r="P33" s="59">
        <f>(P6+P8+P10+P12+P14+P16+P18+P20+P22+P24+P26+P28)/(O7+O9+O11+O13+O15+O17+O19+O21+O23+O25+O27+O29)</f>
        <v>0.28785704981484578</v>
      </c>
      <c r="S33" s="59">
        <f>(S6+S8+S10+S12+S14+S16+S18+S20+S22+S24+S26+S28)/(R7+R9+R11+R13+R15+R17+R19+R21+R23+R25+R27+R29)</f>
        <v>0.31961917487890429</v>
      </c>
      <c r="V33" s="59">
        <f>(V6+V8+V10+V12+V14+V16+V18+V20+V22+V24+V26+V28)/(U7+U9+U11+U13+U15+U17+U19+U21+U23+U25+U27+U29)</f>
        <v>0.61017799557690244</v>
      </c>
      <c r="Y33" s="59">
        <f>(Y6+Y8+Y10+Y12+Y14+Y16+Y18+Y20+Y22+Y24+Y26+Y28)/(X7+X9+X11+X13+X15+X17+X19+X21+X23+X25+X27+X29)</f>
        <v>0.28816604317843764</v>
      </c>
    </row>
    <row r="34" spans="1:25" s="60" customFormat="1" x14ac:dyDescent="0.35">
      <c r="D34" s="60">
        <v>1850</v>
      </c>
      <c r="G34" s="60">
        <v>1851</v>
      </c>
      <c r="J34" s="60">
        <v>1852</v>
      </c>
      <c r="M34" s="60">
        <v>1853</v>
      </c>
      <c r="P34" s="60">
        <v>1854</v>
      </c>
      <c r="S34" s="60">
        <v>1855</v>
      </c>
      <c r="V34" s="60">
        <v>1856</v>
      </c>
      <c r="Y34" s="60">
        <v>1857</v>
      </c>
    </row>
    <row r="38" spans="1:25" x14ac:dyDescent="0.35">
      <c r="A38" s="61"/>
    </row>
    <row r="39" spans="1:25" x14ac:dyDescent="0.35">
      <c r="A39"/>
    </row>
    <row r="40" spans="1:25" x14ac:dyDescent="0.35">
      <c r="A40" s="61"/>
    </row>
  </sheetData>
  <sheetProtection selectLockedCells="1" selectUnlockedCells="1"/>
  <mergeCells count="213"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</mergeCells>
  <printOptions horizontalCentered="1" verticalCentered="1"/>
  <pageMargins left="0" right="0" top="0.19652777777777777" bottom="0.19652777777777777" header="0.51180555555555551" footer="0.51180555555555551"/>
  <pageSetup paperSize="9" scale="73" firstPageNumber="0" orientation="landscape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K33"/>
  <sheetViews>
    <sheetView workbookViewId="0">
      <selection activeCell="J29" sqref="J29"/>
    </sheetView>
  </sheetViews>
  <sheetFormatPr defaultColWidth="9" defaultRowHeight="17.5" x14ac:dyDescent="0.35"/>
  <cols>
    <col min="1" max="1" width="36.26953125" style="33" customWidth="1"/>
    <col min="2" max="5" width="13.1796875" style="33" customWidth="1"/>
    <col min="6" max="6" width="2.54296875" style="33" customWidth="1"/>
    <col min="7" max="7" width="11.453125" style="33" customWidth="1"/>
    <col min="8" max="8" width="14.1796875" style="33" customWidth="1"/>
    <col min="9" max="9" width="14.453125" style="33" customWidth="1"/>
    <col min="10" max="11" width="9.81640625" style="33" customWidth="1"/>
    <col min="12" max="12" width="8.81640625" style="33" customWidth="1"/>
    <col min="13" max="13" width="5" style="33" customWidth="1"/>
    <col min="14" max="14" width="2.7265625" style="33" customWidth="1"/>
    <col min="15" max="15" width="8.1796875" style="33" customWidth="1"/>
    <col min="16" max="16" width="5.7265625" style="33" customWidth="1"/>
    <col min="17" max="17" width="2.7265625" style="33" customWidth="1"/>
    <col min="18" max="19" width="7.7265625" style="33" customWidth="1"/>
    <col min="20" max="20" width="7.7265625" style="99" customWidth="1"/>
    <col min="21" max="21" width="11.453125" style="99" customWidth="1"/>
    <col min="22" max="26" width="7.7265625" style="99" customWidth="1"/>
    <col min="27" max="29" width="9.81640625" style="99" customWidth="1"/>
    <col min="30" max="33" width="6.453125" style="99" customWidth="1"/>
    <col min="34" max="37" width="9" style="99"/>
    <col min="38" max="16384" width="9" style="33"/>
  </cols>
  <sheetData>
    <row r="1" spans="1:37" ht="18" x14ac:dyDescent="0.4">
      <c r="A1" s="34" t="s">
        <v>63</v>
      </c>
      <c r="B1" s="35">
        <f>'S1'!B1</f>
        <v>2026</v>
      </c>
      <c r="C1" s="35"/>
      <c r="D1" s="35"/>
      <c r="E1" s="35"/>
      <c r="F1" s="35"/>
      <c r="O1" s="201"/>
    </row>
    <row r="2" spans="1:37" x14ac:dyDescent="0.35">
      <c r="O2" s="201"/>
    </row>
    <row r="3" spans="1:37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  <c r="F3" s="62"/>
      <c r="H3" s="210"/>
      <c r="O3" s="201"/>
    </row>
    <row r="4" spans="1:37" x14ac:dyDescent="0.35">
      <c r="A4" s="42" t="s">
        <v>32</v>
      </c>
      <c r="B4" s="38">
        <f>'S1'!B4+'S2'!B4+'S3'!B4+'S4'!B4+'S5'!B4+'S6'!B4+'S7'!B4+'S8'!B4+'S9'!B4+'S10'!B4+'S11'!B4+'S12'!B4</f>
        <v>-912.36299999999983</v>
      </c>
      <c r="C4" s="38">
        <f>'S1'!C4+'S2'!C4+'S3'!C4+'S4'!C4+'S5'!C4+'S6'!C4+'S7'!C4+'S8'!C4+'S9'!C4+'S10'!C4+'S11'!C4+'S12'!C4</f>
        <v>-1044.7459999999996</v>
      </c>
      <c r="D4" s="38">
        <f>'S1'!D4+'S2'!D4+'S3'!D4+'S4'!D4+'S5'!D4+'S6'!D4+'S7'!D4+'S8'!D4+'S9'!D4+'S10'!D4+'S11'!D4+'S12'!D4</f>
        <v>-951.62</v>
      </c>
      <c r="E4" s="214">
        <f>'S1'!E4+'S2'!E4+'S3'!E4+'S4'!E4+'S5'!E4+'S6'!E4+'S7'!E4+'S8'!E4+'S9'!E4+'S10'!E4+'S11'!E4+'S12'!E4</f>
        <v>-1686.7530000000002</v>
      </c>
      <c r="G4" s="207"/>
      <c r="H4" s="215">
        <f>'1853'!Q24</f>
        <v>-940.38200000000006</v>
      </c>
      <c r="I4" s="216" t="s">
        <v>161</v>
      </c>
      <c r="J4" s="217"/>
      <c r="K4" s="66"/>
      <c r="O4" s="211"/>
    </row>
    <row r="5" spans="1:37" x14ac:dyDescent="0.35">
      <c r="A5" s="42" t="s">
        <v>33</v>
      </c>
      <c r="B5" s="37">
        <f>'1850'!P26-'1850'!D26</f>
        <v>-996.6</v>
      </c>
      <c r="C5" s="37">
        <f>'1851'!Q26-'1851'!E26</f>
        <v>-1140.0999999999999</v>
      </c>
      <c r="D5" s="37">
        <f>'1852'!P26-'1852'!D26</f>
        <v>-1079.3</v>
      </c>
      <c r="E5" s="103">
        <f>'1853'!P27-'1853'!D27</f>
        <v>-1173.0999999999999</v>
      </c>
      <c r="G5" s="63" t="s">
        <v>64</v>
      </c>
      <c r="H5" s="208">
        <f>E5-C15</f>
        <v>-426.09999999999991</v>
      </c>
      <c r="I5" s="209" t="s">
        <v>65</v>
      </c>
      <c r="J5" s="209" t="s">
        <v>66</v>
      </c>
      <c r="K5" s="66" t="s">
        <v>67</v>
      </c>
      <c r="O5" s="212" t="s">
        <v>160</v>
      </c>
    </row>
    <row r="6" spans="1:37" x14ac:dyDescent="0.35">
      <c r="A6" s="42" t="s">
        <v>34</v>
      </c>
      <c r="B6" s="403">
        <f>SUM(B5:E5)</f>
        <v>-4389.1000000000004</v>
      </c>
      <c r="C6" s="404"/>
      <c r="D6" s="404"/>
      <c r="E6" s="405"/>
      <c r="F6" s="67"/>
      <c r="G6" s="63" t="s">
        <v>68</v>
      </c>
      <c r="H6" s="64">
        <f>C15</f>
        <v>-747</v>
      </c>
      <c r="I6" s="65" t="s">
        <v>69</v>
      </c>
      <c r="J6" s="65" t="s">
        <v>70</v>
      </c>
      <c r="K6" s="68" t="s">
        <v>71</v>
      </c>
      <c r="O6" s="222">
        <f>B6-H6</f>
        <v>-3642.1000000000004</v>
      </c>
      <c r="P6" s="223" t="s">
        <v>164</v>
      </c>
    </row>
    <row r="7" spans="1:37" x14ac:dyDescent="0.35">
      <c r="A7" s="367" t="s">
        <v>35</v>
      </c>
      <c r="B7" s="406">
        <f>'1850'!P29-'1850'!F33+'1850'!F32-'1850'!D29</f>
        <v>-98629</v>
      </c>
      <c r="C7" s="407"/>
      <c r="D7" s="407"/>
      <c r="E7" s="408"/>
      <c r="F7" s="67"/>
      <c r="G7" s="69" t="s">
        <v>64</v>
      </c>
      <c r="H7" s="70">
        <f>B7-C15</f>
        <v>-97882</v>
      </c>
      <c r="I7" s="71" t="s">
        <v>72</v>
      </c>
      <c r="J7" s="71"/>
      <c r="K7" s="66" t="s">
        <v>67</v>
      </c>
      <c r="O7" s="213"/>
    </row>
    <row r="8" spans="1:37" ht="18" x14ac:dyDescent="0.4">
      <c r="A8" s="125" t="s">
        <v>36</v>
      </c>
      <c r="B8" s="129"/>
      <c r="C8" s="129"/>
      <c r="D8" s="129"/>
      <c r="E8" s="130"/>
      <c r="G8" s="69" t="s">
        <v>68</v>
      </c>
      <c r="H8" s="70">
        <f>C15</f>
        <v>-747</v>
      </c>
      <c r="I8" s="71" t="s">
        <v>69</v>
      </c>
      <c r="J8" s="71"/>
      <c r="K8" s="66" t="s">
        <v>71</v>
      </c>
    </row>
    <row r="9" spans="1:37" x14ac:dyDescent="0.35">
      <c r="A9" s="36" t="s">
        <v>37</v>
      </c>
      <c r="B9" s="38">
        <f>'S1'!B9+'S2'!B9+'S3'!B9+'S4'!B9+'S5'!B9+'S6'!B9+'S7'!B9+'S8'!B9+'S9'!B9+'S10'!B9+'S11'!B9+'S12'!B9</f>
        <v>-751.49700000000007</v>
      </c>
      <c r="C9" s="38">
        <f>'S1'!C9+'S2'!C9+'S3'!C9+'S4'!C9+'S5'!C9+'S6'!C9+'S7'!C9+'S8'!C9+'S9'!C9+'S10'!C9+'S11'!C9+'S12'!C9</f>
        <v>-948.47900000000004</v>
      </c>
      <c r="D9" s="38">
        <f>'S1'!D9+'S2'!D9+'S3'!D9+'S4'!D9+'S5'!D9+'S6'!D9+'S7'!D9+'S8'!D9+'S9'!D9+'S10'!D9+'S11'!D9+'S12'!D9</f>
        <v>-877.71</v>
      </c>
      <c r="E9" s="38">
        <f>'S1'!E9+'S2'!E9+'S3'!E9+'S4'!E9+'S5'!E9+'S6'!E9+'S7'!E9+'S8'!E9+'S9'!E9+'S10'!E9+'S11'!E9+'S12'!E9</f>
        <v>-740.04100000000005</v>
      </c>
      <c r="O9" s="132" t="s">
        <v>156</v>
      </c>
      <c r="T9" s="134"/>
    </row>
    <row r="10" spans="1:37" x14ac:dyDescent="0.35">
      <c r="A10" s="36" t="s">
        <v>38</v>
      </c>
      <c r="B10" s="38">
        <f>('1850'!P27-'1850'!D27)</f>
        <v>-399.83</v>
      </c>
      <c r="C10" s="38">
        <f>('1851'!Q27-'1851'!E27)</f>
        <v>-570.14</v>
      </c>
      <c r="D10" s="38">
        <f>('1852'!P27-'1852'!D27)</f>
        <v>-453.82</v>
      </c>
      <c r="E10" s="38">
        <f>('1853'!P28-'1853'!D28)</f>
        <v>-416.82</v>
      </c>
      <c r="I10" s="24" t="s">
        <v>89</v>
      </c>
      <c r="N10" s="182"/>
      <c r="O10" s="198" t="s">
        <v>98</v>
      </c>
      <c r="P10" s="182"/>
      <c r="Q10" s="134"/>
      <c r="R10" s="200"/>
    </row>
    <row r="11" spans="1:37" ht="18.5" thickBot="1" x14ac:dyDescent="0.45">
      <c r="A11" s="125" t="s">
        <v>44</v>
      </c>
      <c r="B11" s="129"/>
      <c r="C11" s="129"/>
      <c r="D11" s="129"/>
      <c r="E11" s="130"/>
      <c r="I11" s="99" t="s">
        <v>92</v>
      </c>
      <c r="J11" s="100" t="s">
        <v>93</v>
      </c>
      <c r="K11" s="100" t="s">
        <v>94</v>
      </c>
      <c r="L11" s="100" t="s">
        <v>91</v>
      </c>
      <c r="M11" s="99"/>
      <c r="N11"/>
      <c r="O11" s="87" t="s">
        <v>82</v>
      </c>
      <c r="Q11" s="134"/>
      <c r="R11" s="99"/>
      <c r="AF11" s="33"/>
      <c r="AG11" s="33"/>
      <c r="AH11" s="33"/>
      <c r="AI11" s="33"/>
      <c r="AJ11" s="33"/>
      <c r="AK11" s="33"/>
    </row>
    <row r="12" spans="1:37" x14ac:dyDescent="0.35">
      <c r="A12" s="36" t="s">
        <v>40</v>
      </c>
      <c r="B12" s="101">
        <f>'1850'!P25-'1850'!F35+'1850'!F34-'1850'!D25</f>
        <v>-9472</v>
      </c>
      <c r="C12" s="101">
        <f>'1851'!Q24-'1851'!J58+'1851'!J57-'1851'!E24</f>
        <v>-16972</v>
      </c>
      <c r="D12" s="101">
        <f>'1852'!P25-'1852'!I37+'1852'!I36-'1852'!D25</f>
        <v>-14615</v>
      </c>
      <c r="E12" s="101">
        <f>'1853'!P24-'1853'!I37+'1853'!I36-'1853'!D24</f>
        <v>-12933</v>
      </c>
      <c r="F12" s="40"/>
      <c r="H12" s="190" t="s">
        <v>142</v>
      </c>
      <c r="I12" s="184" t="s">
        <v>136</v>
      </c>
      <c r="J12" s="232">
        <v>18.515000000000001</v>
      </c>
      <c r="K12" s="232">
        <v>25.318999999999999</v>
      </c>
      <c r="L12" s="157">
        <f t="shared" ref="L12:L17" si="0">K12-J12</f>
        <v>6.8039999999999985</v>
      </c>
      <c r="M12" s="158" t="s">
        <v>79</v>
      </c>
      <c r="N12" s="44"/>
      <c r="O12" s="95">
        <f t="shared" ref="O12:O28" si="1">L$30/L$29*L12</f>
        <v>-50.439012772038488</v>
      </c>
      <c r="P12" s="96" t="s">
        <v>79</v>
      </c>
      <c r="Q12" s="134"/>
      <c r="R12" s="100"/>
      <c r="S12" s="100"/>
      <c r="T12" s="100"/>
      <c r="AF12" s="33"/>
      <c r="AG12" s="33"/>
      <c r="AH12" s="33"/>
      <c r="AI12" s="33"/>
      <c r="AJ12" s="33"/>
      <c r="AK12" s="33"/>
    </row>
    <row r="13" spans="1:37" x14ac:dyDescent="0.35">
      <c r="B13" s="41"/>
      <c r="C13" s="41"/>
      <c r="D13" s="41"/>
      <c r="E13" s="41"/>
      <c r="F13" s="40"/>
      <c r="G13" s="40"/>
      <c r="H13" s="190" t="s">
        <v>143</v>
      </c>
      <c r="I13" s="185" t="s">
        <v>136</v>
      </c>
      <c r="J13" s="186">
        <v>2.3450000000000002</v>
      </c>
      <c r="K13" s="186">
        <v>7.4</v>
      </c>
      <c r="L13" s="204">
        <f t="shared" si="0"/>
        <v>5.0549999999999997</v>
      </c>
      <c r="M13" s="187" t="s">
        <v>79</v>
      </c>
      <c r="N13" s="44"/>
      <c r="O13" s="95">
        <f t="shared" si="1"/>
        <v>-37.473428801095622</v>
      </c>
      <c r="P13" s="96" t="s">
        <v>79</v>
      </c>
      <c r="Q13" s="134"/>
      <c r="R13" s="99"/>
      <c r="S13" s="99"/>
      <c r="AF13" s="33"/>
      <c r="AG13" s="33"/>
      <c r="AH13" s="33"/>
      <c r="AI13" s="33"/>
      <c r="AJ13" s="33"/>
      <c r="AK13" s="33"/>
    </row>
    <row r="14" spans="1:37" x14ac:dyDescent="0.35">
      <c r="A14" s="33" t="s">
        <v>41</v>
      </c>
      <c r="B14" s="102">
        <f>'1853'!P25-'1853'!I40+'1853'!I39-'1853'!D25</f>
        <v>-21566</v>
      </c>
      <c r="C14" s="41"/>
      <c r="D14" s="41"/>
      <c r="E14" s="41"/>
      <c r="F14" s="40"/>
      <c r="H14" s="190" t="s">
        <v>174</v>
      </c>
      <c r="I14" s="185" t="s">
        <v>175</v>
      </c>
      <c r="J14" s="186">
        <v>24.312999999999999</v>
      </c>
      <c r="K14" s="186">
        <v>29.811</v>
      </c>
      <c r="L14" s="186">
        <f t="shared" si="0"/>
        <v>5.4980000000000011</v>
      </c>
      <c r="M14" s="187" t="s">
        <v>79</v>
      </c>
      <c r="N14" s="44"/>
      <c r="O14" s="95">
        <f t="shared" si="1"/>
        <v>-40.757450355771269</v>
      </c>
      <c r="P14" s="96" t="s">
        <v>79</v>
      </c>
      <c r="Q14" s="134"/>
      <c r="R14" s="99"/>
      <c r="S14" s="99"/>
      <c r="AF14" s="33"/>
      <c r="AG14" s="33"/>
      <c r="AH14" s="33"/>
      <c r="AI14" s="33"/>
      <c r="AJ14" s="33"/>
      <c r="AK14" s="33"/>
    </row>
    <row r="15" spans="1:37" x14ac:dyDescent="0.35">
      <c r="A15" s="33" t="s">
        <v>42</v>
      </c>
      <c r="B15" s="41">
        <f>'1853'!P26-'1853'!E26</f>
        <v>-746.37099999999998</v>
      </c>
      <c r="C15" s="73">
        <f>ROUND(B15,0)-1</f>
        <v>-747</v>
      </c>
      <c r="D15" s="41"/>
      <c r="E15" s="72" t="s">
        <v>141</v>
      </c>
      <c r="F15" s="72"/>
      <c r="G15" s="182"/>
      <c r="H15" s="190" t="s">
        <v>144</v>
      </c>
      <c r="I15" s="185" t="s">
        <v>102</v>
      </c>
      <c r="J15" s="186">
        <v>125.621</v>
      </c>
      <c r="K15" s="186">
        <v>129.30000000000001</v>
      </c>
      <c r="L15" s="186">
        <f t="shared" si="0"/>
        <v>3.6790000000000163</v>
      </c>
      <c r="M15" s="187" t="s">
        <v>79</v>
      </c>
      <c r="N15" s="44"/>
      <c r="O15" s="95">
        <f t="shared" si="1"/>
        <v>-27.272946500342513</v>
      </c>
      <c r="P15" s="96" t="s">
        <v>79</v>
      </c>
      <c r="Q15" s="134"/>
    </row>
    <row r="16" spans="1:37" x14ac:dyDescent="0.35">
      <c r="A16" s="202" t="s">
        <v>157</v>
      </c>
      <c r="B16" s="203">
        <f>C15-B15</f>
        <v>-0.6290000000000191</v>
      </c>
      <c r="C16" s="41"/>
      <c r="D16" s="41"/>
      <c r="E16" s="41"/>
      <c r="F16" s="40"/>
      <c r="G16" s="40"/>
      <c r="H16" s="190" t="s">
        <v>145</v>
      </c>
      <c r="I16" s="185" t="s">
        <v>101</v>
      </c>
      <c r="J16" s="186">
        <v>62.874000000000002</v>
      </c>
      <c r="K16" s="186">
        <v>68.537999999999997</v>
      </c>
      <c r="L16" s="186">
        <f t="shared" si="0"/>
        <v>5.6639999999999944</v>
      </c>
      <c r="M16" s="187" t="s">
        <v>79</v>
      </c>
      <c r="N16" s="44"/>
      <c r="O16" s="95">
        <f t="shared" si="1"/>
        <v>-41.988031796123714</v>
      </c>
      <c r="P16" s="96" t="s">
        <v>79</v>
      </c>
      <c r="Q16" s="134"/>
      <c r="S16" s="44"/>
      <c r="T16" s="44"/>
      <c r="W16" s="135"/>
      <c r="X16" s="135"/>
      <c r="Y16" s="135"/>
      <c r="Z16" s="135"/>
    </row>
    <row r="17" spans="1:23" x14ac:dyDescent="0.35">
      <c r="B17" s="41"/>
      <c r="C17" s="41"/>
      <c r="D17" s="41"/>
      <c r="E17" s="41"/>
      <c r="H17" s="190" t="s">
        <v>146</v>
      </c>
      <c r="I17" s="185" t="s">
        <v>138</v>
      </c>
      <c r="J17" s="186">
        <v>35.063000000000002</v>
      </c>
      <c r="K17" s="186">
        <v>43.857999999999997</v>
      </c>
      <c r="L17" s="186">
        <f t="shared" si="0"/>
        <v>8.7949999999999946</v>
      </c>
      <c r="M17" s="187" t="s">
        <v>79</v>
      </c>
      <c r="N17" s="44"/>
      <c r="O17" s="95">
        <f t="shared" si="1"/>
        <v>-65.19857691506148</v>
      </c>
      <c r="P17" s="96" t="s">
        <v>79</v>
      </c>
      <c r="Q17" s="134"/>
    </row>
    <row r="18" spans="1:23" ht="18" x14ac:dyDescent="0.4">
      <c r="A18" s="123" t="s">
        <v>31</v>
      </c>
      <c r="B18" s="131">
        <v>1854</v>
      </c>
      <c r="C18" s="131">
        <v>1855</v>
      </c>
      <c r="D18" s="131">
        <v>1856</v>
      </c>
      <c r="E18" s="131">
        <v>1857</v>
      </c>
      <c r="F18" s="62"/>
      <c r="H18" s="190" t="s">
        <v>147</v>
      </c>
      <c r="I18" s="185" t="s">
        <v>139</v>
      </c>
      <c r="J18" s="186">
        <v>11.037000000000001</v>
      </c>
      <c r="K18" s="186">
        <v>14.388</v>
      </c>
      <c r="L18" s="186">
        <f>K18-J18</f>
        <v>3.3509999999999991</v>
      </c>
      <c r="M18" s="187" t="s">
        <v>79</v>
      </c>
      <c r="N18" s="44"/>
      <c r="O18" s="95">
        <f t="shared" si="1"/>
        <v>-24.841436184465163</v>
      </c>
      <c r="P18" s="96" t="s">
        <v>79</v>
      </c>
      <c r="Q18" s="135"/>
    </row>
    <row r="19" spans="1:23" x14ac:dyDescent="0.35">
      <c r="A19" s="36" t="s">
        <v>32</v>
      </c>
      <c r="B19" s="38">
        <f>'S1'!B19+'S2'!B19+'S3'!B19+'S4'!B19+'S5'!B19+'S6'!B19+'S7'!B19+'S8'!B19+'S9'!B19+'S10'!B19+'S11'!B19+'S12'!B19</f>
        <v>-720.25800000000004</v>
      </c>
      <c r="C19" s="38">
        <f>'S1'!C19+'S2'!C19+'S3'!C19+'S4'!C19+'S5'!C19+'S6'!C19+'S7'!C19+'S8'!C19+'S9'!C19+'S10'!C19+'S11'!C19+'S12'!C19</f>
        <v>-917.59800000000018</v>
      </c>
      <c r="D19" s="38">
        <f>'S1'!D19+'S2'!D19+'S3'!D19+'S4'!D19+'S5'!D19+'S6'!D19+'S7'!D19+'S8'!D19+'S9'!D19+'S10'!D19+'S11'!D19+'S12'!D19</f>
        <v>-826.14599999999996</v>
      </c>
      <c r="E19" s="38">
        <f>'S1'!E19+'S2'!E19+'S3'!E19+'S4'!E19+'S5'!E19+'S6'!E19+'S7'!E19+'S8'!E19+'S9'!E19+'S10'!E19+'S11'!E19+'S12'!E19</f>
        <v>-945.73</v>
      </c>
      <c r="H19" s="190" t="s">
        <v>148</v>
      </c>
      <c r="I19" s="185" t="s">
        <v>140</v>
      </c>
      <c r="J19" s="186">
        <v>5.7119999999999997</v>
      </c>
      <c r="K19" s="186">
        <v>5.7469999999999999</v>
      </c>
      <c r="L19" s="186">
        <f>K19-J19</f>
        <v>3.5000000000000142E-2</v>
      </c>
      <c r="M19" s="187" t="s">
        <v>79</v>
      </c>
      <c r="N19" s="44"/>
      <c r="O19" s="95">
        <f t="shared" si="1"/>
        <v>-0.25945994224299745</v>
      </c>
      <c r="P19" s="96" t="s">
        <v>79</v>
      </c>
      <c r="Q19" s="135"/>
    </row>
    <row r="20" spans="1:23" x14ac:dyDescent="0.35">
      <c r="A20" s="36" t="s">
        <v>33</v>
      </c>
      <c r="B20" s="37">
        <f>'1854'!P26-'1854'!D26</f>
        <v>-783.7</v>
      </c>
      <c r="C20" s="37">
        <f>'1855'!P26-'1855'!D26</f>
        <v>-973.3</v>
      </c>
      <c r="D20" s="37">
        <f>'1856'!P26-'1856'!D26</f>
        <v>-911.4</v>
      </c>
      <c r="E20" s="37">
        <f>'1857'!P26-'1857'!D26</f>
        <v>-1047.2</v>
      </c>
      <c r="H20" s="190" t="s">
        <v>149</v>
      </c>
      <c r="I20" s="185" t="s">
        <v>137</v>
      </c>
      <c r="J20" s="186">
        <v>22.504999999999999</v>
      </c>
      <c r="K20" s="186">
        <v>22.966000000000001</v>
      </c>
      <c r="L20" s="186">
        <f t="shared" ref="L20:L27" si="2">K20-J20</f>
        <v>0.46100000000000207</v>
      </c>
      <c r="M20" s="187" t="s">
        <v>79</v>
      </c>
      <c r="N20" s="44"/>
      <c r="O20" s="95">
        <f t="shared" si="1"/>
        <v>-3.4174580964006251</v>
      </c>
      <c r="P20" s="96" t="s">
        <v>79</v>
      </c>
      <c r="Q20" s="135"/>
    </row>
    <row r="21" spans="1:23" x14ac:dyDescent="0.35">
      <c r="A21" s="36" t="s">
        <v>34</v>
      </c>
      <c r="B21" s="403">
        <f>SUM(B20:E20)</f>
        <v>-3715.6000000000004</v>
      </c>
      <c r="C21" s="404"/>
      <c r="D21" s="404"/>
      <c r="E21" s="405"/>
      <c r="F21" s="67"/>
      <c r="H21" s="190" t="s">
        <v>150</v>
      </c>
      <c r="I21" s="185" t="s">
        <v>84</v>
      </c>
      <c r="J21" s="186">
        <v>383.55</v>
      </c>
      <c r="K21" s="186">
        <v>408.78</v>
      </c>
      <c r="L21" s="186">
        <f t="shared" si="2"/>
        <v>25.229999999999961</v>
      </c>
      <c r="M21" s="187" t="s">
        <v>79</v>
      </c>
      <c r="N21" s="44"/>
      <c r="O21" s="95">
        <f t="shared" si="1"/>
        <v>-187.03355265116539</v>
      </c>
      <c r="P21" s="96" t="s">
        <v>79</v>
      </c>
      <c r="Q21" s="99"/>
    </row>
    <row r="22" spans="1:23" x14ac:dyDescent="0.35">
      <c r="A22" s="36" t="s">
        <v>35</v>
      </c>
      <c r="B22" s="403">
        <f>'1854'!P29-'1854'!N35+'1854'!N33-'1854'!D29+200</f>
        <v>17275</v>
      </c>
      <c r="C22" s="404"/>
      <c r="D22" s="404"/>
      <c r="E22" s="405"/>
      <c r="F22" s="67"/>
      <c r="H22" s="190" t="s">
        <v>151</v>
      </c>
      <c r="I22" s="188" t="s">
        <v>103</v>
      </c>
      <c r="J22" s="186">
        <v>0</v>
      </c>
      <c r="K22" s="186">
        <v>5.16</v>
      </c>
      <c r="L22" s="186">
        <f t="shared" si="2"/>
        <v>5.16</v>
      </c>
      <c r="M22" s="187" t="s">
        <v>79</v>
      </c>
      <c r="N22" s="44"/>
      <c r="O22" s="95">
        <f t="shared" si="1"/>
        <v>-38.251808627824609</v>
      </c>
      <c r="P22" s="96" t="s">
        <v>79</v>
      </c>
      <c r="Q22" s="99"/>
    </row>
    <row r="23" spans="1:23" ht="18" x14ac:dyDescent="0.4">
      <c r="A23" s="125" t="s">
        <v>36</v>
      </c>
      <c r="B23" s="129"/>
      <c r="C23" s="129"/>
      <c r="D23" s="129"/>
      <c r="E23" s="130"/>
      <c r="H23" s="190" t="s">
        <v>152</v>
      </c>
      <c r="I23" s="185" t="s">
        <v>85</v>
      </c>
      <c r="J23" s="186">
        <v>78.555999999999997</v>
      </c>
      <c r="K23" s="186">
        <v>92.802999999999997</v>
      </c>
      <c r="L23" s="186">
        <f t="shared" si="2"/>
        <v>14.247</v>
      </c>
      <c r="M23" s="187" t="s">
        <v>79</v>
      </c>
      <c r="N23" s="44"/>
      <c r="O23" s="95">
        <f t="shared" si="1"/>
        <v>-105.61502277531342</v>
      </c>
      <c r="P23" s="96" t="s">
        <v>79</v>
      </c>
      <c r="Q23" s="99"/>
    </row>
    <row r="24" spans="1:23" x14ac:dyDescent="0.35">
      <c r="A24" s="36" t="s">
        <v>37</v>
      </c>
      <c r="B24" s="38">
        <f>'S1'!B24+'S2'!B24+'S3'!B24+'S4'!B24+'S5'!B24+'S6'!B24+'S7'!B24+'S8'!B24+'S9'!B24+'S10'!B24+'S11'!B24+'S12'!B24</f>
        <v>-765.39700000000005</v>
      </c>
      <c r="C24" s="38">
        <f>'S1'!C24+'S2'!C24+'S3'!C24+'S4'!C24+'S5'!C24+'S6'!C24+'S7'!C24+'S8'!C24+'S9'!C24+'S10'!C24+'S11'!C24+'S12'!C24</f>
        <v>-814.6880000000001</v>
      </c>
      <c r="D24" s="38">
        <f>'S1'!D24+'S2'!D24+'S3'!D24+'S4'!D24+'S5'!D24+'S6'!D24+'S7'!D24+'S8'!D24+'S9'!D24+'S10'!D24+'S11'!D24+'S12'!D24</f>
        <v>-400.125</v>
      </c>
      <c r="E24" s="38">
        <f>'S1'!E24+'S2'!E24+'S3'!E24+'S4'!E24+'S5'!E24+'S6'!E24+'S7'!E24+'S8'!E24+'S9'!E24+'S10'!E24+'S11'!E24+'S12'!E24</f>
        <v>-789.67300000000012</v>
      </c>
      <c r="H24" s="190" t="s">
        <v>158</v>
      </c>
      <c r="I24" s="185" t="s">
        <v>159</v>
      </c>
      <c r="J24" s="186">
        <v>0</v>
      </c>
      <c r="K24" s="186">
        <v>0</v>
      </c>
      <c r="L24" s="189">
        <f t="shared" si="2"/>
        <v>0</v>
      </c>
      <c r="M24" s="187" t="s">
        <v>79</v>
      </c>
      <c r="N24" s="44"/>
      <c r="O24" s="95">
        <f t="shared" si="1"/>
        <v>0</v>
      </c>
      <c r="P24" s="96" t="s">
        <v>79</v>
      </c>
      <c r="Q24" s="99"/>
      <c r="R24" s="200"/>
    </row>
    <row r="25" spans="1:23" x14ac:dyDescent="0.35">
      <c r="A25" s="36" t="s">
        <v>38</v>
      </c>
      <c r="B25" s="38">
        <f>('1854'!P27-'1854'!D27)</f>
        <v>-1074.78</v>
      </c>
      <c r="C25" s="38">
        <f>('1855'!P27-'1855'!D27)</f>
        <v>-1197.4000000000001</v>
      </c>
      <c r="D25" s="38">
        <f>('1856'!P27-'1856'!D27)</f>
        <v>-1026.43</v>
      </c>
      <c r="E25" s="38">
        <f>('1857'!P27-'1857'!D27)</f>
        <v>-1109.3499999999999</v>
      </c>
      <c r="H25" s="190" t="s">
        <v>153</v>
      </c>
      <c r="I25" s="188" t="s">
        <v>99</v>
      </c>
      <c r="J25" s="186">
        <v>0</v>
      </c>
      <c r="K25" s="186">
        <v>3.5910000000000002</v>
      </c>
      <c r="L25" s="186">
        <f t="shared" si="2"/>
        <v>3.5910000000000002</v>
      </c>
      <c r="M25" s="187" t="s">
        <v>79</v>
      </c>
      <c r="N25" s="44"/>
      <c r="O25" s="95">
        <f t="shared" si="1"/>
        <v>-26.620590074131432</v>
      </c>
      <c r="P25" s="96" t="s">
        <v>79</v>
      </c>
      <c r="Q25" s="99"/>
      <c r="R25" s="99"/>
    </row>
    <row r="26" spans="1:23" ht="18" x14ac:dyDescent="0.4">
      <c r="A26" s="125" t="s">
        <v>44</v>
      </c>
      <c r="B26" s="129"/>
      <c r="C26" s="129"/>
      <c r="D26" s="129"/>
      <c r="E26" s="130"/>
      <c r="H26" s="190" t="s">
        <v>154</v>
      </c>
      <c r="I26" s="188" t="s">
        <v>100</v>
      </c>
      <c r="J26" s="186">
        <v>0</v>
      </c>
      <c r="K26" s="186">
        <v>3.9870000000000001</v>
      </c>
      <c r="L26" s="186">
        <f t="shared" si="2"/>
        <v>3.9870000000000001</v>
      </c>
      <c r="M26" s="187" t="s">
        <v>79</v>
      </c>
      <c r="N26" s="44"/>
      <c r="O26" s="95">
        <f t="shared" si="1"/>
        <v>-29.556193992080761</v>
      </c>
      <c r="P26" s="96" t="s">
        <v>79</v>
      </c>
      <c r="Q26" s="99"/>
      <c r="R26" s="100"/>
      <c r="S26" s="100"/>
      <c r="T26" s="100"/>
      <c r="U26" s="199"/>
    </row>
    <row r="27" spans="1:23" ht="18" thickBot="1" x14ac:dyDescent="0.4">
      <c r="A27" s="36" t="s">
        <v>40</v>
      </c>
      <c r="B27" s="101">
        <f>'1854'!P25-'1854'!G44+'1854'!G43-'1854'!D25</f>
        <v>-3977</v>
      </c>
      <c r="C27" s="101">
        <f>'1855'!P25-'1855'!G39+'1855'!G38-'1855'!D25</f>
        <v>-6197</v>
      </c>
      <c r="D27" s="101">
        <f>'1856'!P25-'1856'!G41+'1856'!G40-'1856'!D25</f>
        <v>-3806</v>
      </c>
      <c r="E27" s="101">
        <f>'1857'!P25-'1857'!G42+'1857'!G41-'1857'!D25</f>
        <v>-40115</v>
      </c>
      <c r="F27" s="40"/>
      <c r="H27" s="193" t="s">
        <v>155</v>
      </c>
      <c r="I27" s="194" t="s">
        <v>83</v>
      </c>
      <c r="J27" s="195">
        <v>0</v>
      </c>
      <c r="K27" s="195">
        <v>5.75</v>
      </c>
      <c r="L27" s="195">
        <f t="shared" si="2"/>
        <v>5.75</v>
      </c>
      <c r="M27" s="196" t="s">
        <v>79</v>
      </c>
      <c r="N27" s="44"/>
      <c r="O27" s="197">
        <f t="shared" si="1"/>
        <v>-42.625561939920836</v>
      </c>
      <c r="P27" s="96" t="s">
        <v>79</v>
      </c>
      <c r="Q27" s="99"/>
      <c r="R27" s="99"/>
      <c r="S27" s="99"/>
    </row>
    <row r="28" spans="1:23" ht="18" thickBot="1" x14ac:dyDescent="0.4">
      <c r="H28" s="190" t="s">
        <v>86</v>
      </c>
      <c r="I28" s="183"/>
      <c r="J28" s="191">
        <f>19.472-3</f>
        <v>16.472000000000001</v>
      </c>
      <c r="K28" s="191">
        <v>19.931999999999999</v>
      </c>
      <c r="L28" s="191">
        <f>K28-J28</f>
        <v>3.4599999999999973</v>
      </c>
      <c r="M28" s="192" t="s">
        <v>79</v>
      </c>
      <c r="N28" s="44"/>
      <c r="O28" s="95">
        <f t="shared" si="1"/>
        <v>-25.64946857602191</v>
      </c>
      <c r="P28" s="96" t="s">
        <v>79</v>
      </c>
      <c r="Q28" s="99"/>
      <c r="R28" s="99"/>
      <c r="S28" s="99"/>
    </row>
    <row r="29" spans="1:23" x14ac:dyDescent="0.35">
      <c r="I29" s="88" t="s">
        <v>90</v>
      </c>
      <c r="J29" s="88"/>
      <c r="K29" s="88"/>
      <c r="L29" s="88">
        <f>SUM(L12:L28)</f>
        <v>100.76699999999994</v>
      </c>
      <c r="M29" s="89" t="s">
        <v>79</v>
      </c>
      <c r="N29" s="88"/>
      <c r="O29" s="88"/>
      <c r="P29" s="40"/>
      <c r="Q29" s="99"/>
      <c r="R29" s="99"/>
      <c r="S29" s="99"/>
    </row>
    <row r="30" spans="1:23" x14ac:dyDescent="0.35">
      <c r="I30" s="90" t="s">
        <v>87</v>
      </c>
      <c r="J30" s="90"/>
      <c r="K30" s="90"/>
      <c r="L30" s="91">
        <f>C15</f>
        <v>-747</v>
      </c>
      <c r="M30" s="92" t="s">
        <v>79</v>
      </c>
      <c r="N30"/>
      <c r="O30" s="94">
        <f>SUM(O12:O28)</f>
        <v>-747.00000000000034</v>
      </c>
      <c r="P30" s="40"/>
      <c r="Q30" s="99"/>
      <c r="R30" s="200"/>
      <c r="S30" s="99"/>
      <c r="V30" s="100"/>
      <c r="W30" s="100"/>
    </row>
    <row r="31" spans="1:23" x14ac:dyDescent="0.35">
      <c r="I31"/>
      <c r="J31"/>
      <c r="K31" t="s">
        <v>88</v>
      </c>
      <c r="L31" s="9">
        <f>L30-L29</f>
        <v>-847.76699999999994</v>
      </c>
      <c r="M31" s="93" t="s">
        <v>79</v>
      </c>
      <c r="N31"/>
      <c r="O31"/>
      <c r="Q31" s="99"/>
      <c r="R31" s="229"/>
      <c r="S31" s="230"/>
    </row>
    <row r="32" spans="1:23" x14ac:dyDescent="0.35">
      <c r="J32"/>
      <c r="K32"/>
      <c r="L32" s="233"/>
      <c r="M32" s="100"/>
      <c r="Q32" s="99"/>
      <c r="R32" s="99"/>
      <c r="S32" s="99"/>
    </row>
    <row r="33" spans="19:19" x14ac:dyDescent="0.35">
      <c r="S33" s="99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G1:U2 C1:F5 B1:B1048576 G4:G8 C8:F20 J12:K13 M12:M14 I12:I21 G13 K15:K17 J15:J19 S16:T16 G16:G17 M17 K18:L19 Q19:Q21 J21:L21 C23:F65536 I24:M24 N24:N30 P27:P31 I28:M30 G28:G65536 H29:H65538 R30:R32 Q32 S33 T33:T65539 U34:U65538 I34:J65539 K35:K65539 Q35:Q65544 R36:S65544 L36:P65546 Q37:R65545 S38:S65545">
    <cfRule type="cellIs" dxfId="11" priority="11" stopIfTrue="1" operator="lessThan">
      <formula>0</formula>
    </cfRule>
  </conditionalFormatting>
  <conditionalFormatting sqref="T31">
    <cfRule type="cellIs" dxfId="10" priority="2" stopIfTrue="1" operator="lessThan">
      <formula>0</formula>
    </cfRule>
  </conditionalFormatting>
  <pageMargins left="0.37" right="0.28000000000000003" top="0.78740157480314965" bottom="0.78740157480314965" header="0.53" footer="0.51181102362204722"/>
  <pageSetup paperSize="9" scale="77" firstPageNumber="0" orientation="landscape" horizontalDpi="300" verticalDpi="300" r:id="rId1"/>
  <headerFooter alignWithMargins="0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7"/>
  <sheetViews>
    <sheetView workbookViewId="0">
      <selection activeCell="B8" sqref="B8"/>
    </sheetView>
  </sheetViews>
  <sheetFormatPr defaultColWidth="9" defaultRowHeight="17.5" x14ac:dyDescent="0.35"/>
  <cols>
    <col min="1" max="1" width="36.26953125" style="33" customWidth="1"/>
    <col min="2" max="5" width="13.1796875" style="33" customWidth="1"/>
    <col min="6" max="6" width="11" style="33" customWidth="1"/>
    <col min="7" max="10" width="11.453125" style="33" customWidth="1"/>
    <col min="11" max="11" width="16" style="33" customWidth="1"/>
    <col min="12" max="15" width="6.453125" style="33" customWidth="1"/>
    <col min="16" max="16384" width="9" style="33"/>
  </cols>
  <sheetData>
    <row r="1" spans="1:15" ht="18" x14ac:dyDescent="0.4">
      <c r="A1" s="34" t="s">
        <v>63</v>
      </c>
      <c r="B1" s="35">
        <f>'S1'!B1</f>
        <v>2026</v>
      </c>
      <c r="C1" s="35"/>
      <c r="D1" s="35"/>
      <c r="E1" s="35"/>
      <c r="F1" s="35"/>
    </row>
    <row r="2" spans="1:15" x14ac:dyDescent="0.35">
      <c r="K2" s="67"/>
    </row>
    <row r="3" spans="1:15" ht="18" x14ac:dyDescent="0.4">
      <c r="A3" s="125" t="s">
        <v>31</v>
      </c>
      <c r="B3" s="124">
        <v>1850</v>
      </c>
      <c r="C3" s="124">
        <v>1851</v>
      </c>
      <c r="D3" s="124">
        <v>1852</v>
      </c>
      <c r="E3" s="124">
        <v>1853</v>
      </c>
      <c r="F3" s="62"/>
      <c r="K3" s="218"/>
      <c r="L3" s="278" t="s">
        <v>220</v>
      </c>
    </row>
    <row r="4" spans="1:15" x14ac:dyDescent="0.35">
      <c r="A4" s="42" t="s">
        <v>32</v>
      </c>
      <c r="B4" s="38">
        <f>'S1'!B4+'S2'!B4+'S3'!B4+'S4'!B4+'S5'!B4+'S6'!B4+'S7'!B4+'S8'!B4+'S9'!B4+'S10'!B4+'S11'!B4+'S12'!B4</f>
        <v>-912.36299999999983</v>
      </c>
      <c r="C4" s="38">
        <f>'S1'!C4+'S2'!C4+'S3'!C4+'S4'!C4+'S5'!C4+'S6'!C4+'S7'!C4+'S8'!C4+'S9'!C4+'S10'!C4+'S11'!C4+'S12'!C4</f>
        <v>-1044.7459999999996</v>
      </c>
      <c r="D4" s="38">
        <f>'S1'!D4+'S2'!D4+'S3'!D4+'S4'!D4+'S5'!D4+'S6'!D4+'S7'!D4+'S8'!D4+'S9'!D4+'S10'!D4+'S11'!D4+'S12'!D4</f>
        <v>-951.62</v>
      </c>
      <c r="E4" s="38">
        <f>'S1'!E4+'S2'!E4+'S3'!E4+'S4'!E4+'S5'!E4+'S6'!E4+'S7'!E4+'S8'!E4+'S9'!E4+'S10'!E4+'S11'!E4+'S12'!E4</f>
        <v>-1686.7530000000002</v>
      </c>
      <c r="G4" s="133">
        <f>1-B4/B5</f>
        <v>8.452438290186659E-2</v>
      </c>
      <c r="H4" s="133">
        <f>1-C4/C5</f>
        <v>8.3636523112007977E-2</v>
      </c>
      <c r="I4" s="133">
        <f>1-D4/D5</f>
        <v>0.11829889743352173</v>
      </c>
      <c r="J4" s="133">
        <f>1-E4/E5</f>
        <v>-0.43785951751768848</v>
      </c>
      <c r="K4" s="219"/>
    </row>
    <row r="5" spans="1:15" x14ac:dyDescent="0.35">
      <c r="A5" s="42" t="s">
        <v>33</v>
      </c>
      <c r="B5" s="37">
        <f>'S 2025'!B5</f>
        <v>-996.6</v>
      </c>
      <c r="C5" s="37">
        <f>'S 2025'!C5</f>
        <v>-1140.0999999999999</v>
      </c>
      <c r="D5" s="37">
        <f>'S 2025'!D5</f>
        <v>-1079.3</v>
      </c>
      <c r="E5" s="103">
        <f>'S 2025'!E5</f>
        <v>-1173.0999999999999</v>
      </c>
    </row>
    <row r="6" spans="1:15" x14ac:dyDescent="0.35">
      <c r="A6" s="42" t="s">
        <v>34</v>
      </c>
      <c r="B6" s="403">
        <f>SUM(B5:E5)</f>
        <v>-4389.1000000000004</v>
      </c>
      <c r="C6" s="404"/>
      <c r="D6" s="404"/>
      <c r="E6" s="405"/>
      <c r="F6" s="67"/>
      <c r="G6" s="133">
        <f>1-B6/B7</f>
        <v>0.95549888977886832</v>
      </c>
    </row>
    <row r="7" spans="1:15" x14ac:dyDescent="0.35">
      <c r="A7" s="42" t="s">
        <v>35</v>
      </c>
      <c r="B7" s="412">
        <f>'1850'!P29-'1850'!F33+'1850'!F32-'1850'!D29</f>
        <v>-98629</v>
      </c>
      <c r="C7" s="413"/>
      <c r="D7" s="413"/>
      <c r="E7" s="414"/>
      <c r="F7" s="67"/>
      <c r="L7" s="412">
        <f>'1850'!Z29-'1850'!N29</f>
        <v>0</v>
      </c>
      <c r="M7" s="413"/>
      <c r="N7" s="413"/>
      <c r="O7" s="414"/>
    </row>
    <row r="8" spans="1:15" ht="18" x14ac:dyDescent="0.4">
      <c r="A8" s="125" t="s">
        <v>36</v>
      </c>
      <c r="B8" s="129"/>
      <c r="C8" s="129"/>
      <c r="D8" s="129"/>
      <c r="E8" s="130"/>
    </row>
    <row r="9" spans="1:15" x14ac:dyDescent="0.35">
      <c r="A9" s="36" t="s">
        <v>37</v>
      </c>
      <c r="B9" s="38">
        <f>'S1'!B9+'S2'!B9+'S3'!B9+'S4'!B9+'S5'!B9+'S6'!B9+'S7'!B9+'S8'!B9+'S9'!B9+'S10'!B9+'S11'!B9+'S12'!B9</f>
        <v>-751.49700000000007</v>
      </c>
      <c r="C9" s="38">
        <f>'S1'!C9+'S2'!C9+'S3'!C9+'S4'!C9+'S5'!C9+'S6'!C9+'S7'!C9+'S8'!C9+'S9'!C9+'S10'!C9+'S11'!C9+'S12'!C9</f>
        <v>-948.47900000000004</v>
      </c>
      <c r="D9" s="38">
        <f>'S1'!D9+'S2'!D9+'S3'!D9+'S4'!D9+'S5'!D9+'S6'!D9+'S7'!D9+'S8'!D9+'S9'!D9+'S10'!D9+'S11'!D9+'S12'!D9</f>
        <v>-877.71</v>
      </c>
      <c r="E9" s="38">
        <f>'S1'!E9+'S2'!E9+'S3'!E9+'S4'!E9+'S5'!E9+'S6'!E9+'S7'!E9+'S8'!E9+'S9'!E9+'S10'!E9+'S11'!E9+'S12'!E9</f>
        <v>-740.04100000000005</v>
      </c>
      <c r="G9" s="133">
        <f>1-B9/B10</f>
        <v>-0.87954130505464856</v>
      </c>
      <c r="H9" s="133">
        <f>1-C9/C10</f>
        <v>-0.66358964464868286</v>
      </c>
      <c r="I9" s="133">
        <f>1-D9/D10</f>
        <v>-0.93404874179189989</v>
      </c>
      <c r="J9" s="133">
        <f>1-E9/E10</f>
        <v>-0.77544503622666872</v>
      </c>
    </row>
    <row r="10" spans="1:15" x14ac:dyDescent="0.35">
      <c r="A10" s="36" t="s">
        <v>38</v>
      </c>
      <c r="B10" s="38">
        <f>'S 2025'!B10</f>
        <v>-399.83</v>
      </c>
      <c r="C10" s="38">
        <f>'S 2025'!C10</f>
        <v>-570.14</v>
      </c>
      <c r="D10" s="38">
        <f>'S 2025'!D10</f>
        <v>-453.82</v>
      </c>
      <c r="E10" s="38">
        <f>'S 2025'!E10</f>
        <v>-416.82</v>
      </c>
    </row>
    <row r="11" spans="1:15" ht="18" x14ac:dyDescent="0.4">
      <c r="A11" s="125" t="s">
        <v>44</v>
      </c>
      <c r="B11" s="129"/>
      <c r="C11" s="129"/>
      <c r="D11" s="129"/>
      <c r="E11" s="130"/>
    </row>
    <row r="12" spans="1:15" x14ac:dyDescent="0.35">
      <c r="A12" s="36" t="s">
        <v>40</v>
      </c>
      <c r="B12" s="101">
        <f>'S 2025'!B12</f>
        <v>-9472</v>
      </c>
      <c r="C12" s="101">
        <f>'S 2025'!C12</f>
        <v>-16972</v>
      </c>
      <c r="D12" s="101">
        <f>'S 2025'!D12</f>
        <v>-14615</v>
      </c>
      <c r="E12" s="101">
        <f>'S 2025'!E12</f>
        <v>-12933</v>
      </c>
      <c r="F12" s="40"/>
    </row>
    <row r="13" spans="1:15" x14ac:dyDescent="0.35">
      <c r="B13" s="41"/>
      <c r="C13" s="41"/>
      <c r="D13" s="41"/>
      <c r="E13" s="41"/>
      <c r="F13" s="40"/>
      <c r="G13" s="40"/>
      <c r="H13" s="40"/>
      <c r="I13" s="40"/>
      <c r="J13" s="40"/>
    </row>
    <row r="14" spans="1:15" x14ac:dyDescent="0.35">
      <c r="A14" s="33" t="s">
        <v>41</v>
      </c>
      <c r="B14" s="102">
        <f>'1853'!P25-'1853'!I40+'1853'!I39-'1853'!D25</f>
        <v>-21566</v>
      </c>
      <c r="C14" s="41"/>
      <c r="D14" s="41"/>
      <c r="E14" s="41"/>
      <c r="F14" s="40"/>
      <c r="G14" s="40"/>
      <c r="H14" s="40"/>
      <c r="I14" s="40"/>
      <c r="J14" s="40"/>
    </row>
    <row r="15" spans="1:15" x14ac:dyDescent="0.35">
      <c r="A15" s="33" t="s">
        <v>42</v>
      </c>
      <c r="B15" s="41">
        <f>'1853'!P26-'1853'!E26</f>
        <v>-746.37099999999998</v>
      </c>
      <c r="C15" s="73">
        <f>'S 2025'!C15</f>
        <v>-747</v>
      </c>
      <c r="D15" s="41"/>
      <c r="E15" s="41"/>
      <c r="F15" s="41"/>
      <c r="G15" s="40"/>
      <c r="H15" s="40"/>
      <c r="I15" s="40"/>
      <c r="J15" s="40"/>
    </row>
    <row r="16" spans="1:15" x14ac:dyDescent="0.35">
      <c r="B16" s="41"/>
      <c r="C16" s="41"/>
      <c r="D16" s="41"/>
      <c r="E16" s="41"/>
      <c r="F16" s="40"/>
      <c r="G16" s="40"/>
      <c r="H16" s="40"/>
      <c r="I16" s="40"/>
      <c r="J16" s="40"/>
      <c r="K16" s="40"/>
    </row>
    <row r="17" spans="1:15" x14ac:dyDescent="0.35">
      <c r="B17" s="41"/>
      <c r="C17" s="41"/>
      <c r="D17" s="41"/>
      <c r="E17" s="41"/>
    </row>
    <row r="18" spans="1:15" ht="18" x14ac:dyDescent="0.4">
      <c r="A18" s="123" t="s">
        <v>31</v>
      </c>
      <c r="B18" s="131">
        <v>1854</v>
      </c>
      <c r="C18" s="131">
        <v>1855</v>
      </c>
      <c r="D18" s="131">
        <v>1856</v>
      </c>
      <c r="E18" s="131">
        <v>1857</v>
      </c>
      <c r="F18" s="62"/>
    </row>
    <row r="19" spans="1:15" x14ac:dyDescent="0.35">
      <c r="A19" s="36" t="s">
        <v>32</v>
      </c>
      <c r="B19" s="38">
        <f>'S1'!B19+'S2'!B19+'S3'!B19+'S4'!B19+'S5'!B19+'S6'!B19+'S7'!B19+'S8'!B19+'S9'!B19+'S10'!B19+'S11'!B19+'S12'!B19</f>
        <v>-720.25800000000004</v>
      </c>
      <c r="C19" s="38">
        <f>'S1'!C19+'S2'!C19+'S3'!C19+'S4'!C19+'S5'!C19+'S6'!C19+'S7'!C19+'S8'!C19+'S9'!C19+'S10'!C19+'S11'!C19+'S12'!C19</f>
        <v>-917.59800000000018</v>
      </c>
      <c r="D19" s="38">
        <f>'S1'!D19+'S2'!D19+'S3'!D19+'S4'!D19+'S5'!D19+'S6'!D19+'S7'!D19+'S8'!D19+'S9'!D19+'S10'!D19+'S11'!D19+'S12'!D19</f>
        <v>-826.14599999999996</v>
      </c>
      <c r="E19" s="38">
        <f>'S1'!E19+'S2'!E19+'S3'!E19+'S4'!E19+'S5'!E19+'S6'!E19+'S7'!E19+'S8'!E19+'S9'!E19+'S10'!E19+'S11'!E19+'S12'!E19</f>
        <v>-945.73</v>
      </c>
      <c r="G19" s="133">
        <f>1-B19/B20</f>
        <v>8.0951894857726137E-2</v>
      </c>
      <c r="H19" s="133">
        <f>1-C19/C20</f>
        <v>5.7230042124730041E-2</v>
      </c>
      <c r="I19" s="133">
        <f>1-D19/D20</f>
        <v>9.3541803818301572E-2</v>
      </c>
      <c r="J19" s="133">
        <f>1-E19/E20</f>
        <v>9.6896485867074111E-2</v>
      </c>
    </row>
    <row r="20" spans="1:15" x14ac:dyDescent="0.35">
      <c r="A20" s="36" t="s">
        <v>33</v>
      </c>
      <c r="B20" s="37">
        <f>'S 2025'!B20</f>
        <v>-783.7</v>
      </c>
      <c r="C20" s="37">
        <f>'S 2025'!C20</f>
        <v>-973.3</v>
      </c>
      <c r="D20" s="37">
        <f>'S 2025'!D20</f>
        <v>-911.4</v>
      </c>
      <c r="E20" s="37">
        <f>'S 2025'!E20</f>
        <v>-1047.2</v>
      </c>
    </row>
    <row r="21" spans="1:15" x14ac:dyDescent="0.35">
      <c r="A21" s="36" t="s">
        <v>34</v>
      </c>
      <c r="B21" s="403">
        <f>SUM(B20:E20)</f>
        <v>-3715.6000000000004</v>
      </c>
      <c r="C21" s="404"/>
      <c r="D21" s="404"/>
      <c r="E21" s="405"/>
      <c r="F21" s="67"/>
      <c r="G21" s="133">
        <f>1-B21/B22</f>
        <v>1.2150853835021709</v>
      </c>
    </row>
    <row r="22" spans="1:15" x14ac:dyDescent="0.35">
      <c r="A22" s="36" t="s">
        <v>35</v>
      </c>
      <c r="B22" s="409">
        <f>'1854'!P29-'1854'!N35+'1854'!N33-'1854'!D29+200</f>
        <v>17275</v>
      </c>
      <c r="C22" s="410"/>
      <c r="D22" s="410"/>
      <c r="E22" s="411"/>
      <c r="F22" s="67"/>
      <c r="L22" s="409">
        <f>'1854'!Z29-'1854'!X35+'1854'!X33-'1854'!N29</f>
        <v>0</v>
      </c>
      <c r="M22" s="410"/>
      <c r="N22" s="410"/>
      <c r="O22" s="411"/>
    </row>
    <row r="23" spans="1:15" ht="18" x14ac:dyDescent="0.4">
      <c r="A23" s="125" t="s">
        <v>36</v>
      </c>
      <c r="B23" s="129"/>
      <c r="C23" s="129"/>
      <c r="D23" s="129"/>
      <c r="E23" s="130"/>
    </row>
    <row r="24" spans="1:15" x14ac:dyDescent="0.35">
      <c r="A24" s="36" t="s">
        <v>37</v>
      </c>
      <c r="B24" s="38">
        <f>'S1'!B24+'S2'!B24+'S3'!B24+'S4'!B24+'S5'!B24+'S6'!B24+'S7'!B24+'S8'!B24+'S9'!B24+'S10'!B24+'S11'!B24+'S12'!B24</f>
        <v>-765.39700000000005</v>
      </c>
      <c r="C24" s="38">
        <f>'S1'!C24+'S2'!C24+'S3'!C24+'S4'!C24+'S5'!C24+'S6'!C24+'S7'!C24+'S8'!C24+'S9'!C24+'S10'!C24+'S11'!C24+'S12'!C24</f>
        <v>-814.6880000000001</v>
      </c>
      <c r="D24" s="38">
        <f>'S1'!D24+'S2'!D24+'S3'!D24+'S4'!D24+'S5'!D24+'S6'!D24+'S7'!D24+'S8'!D24+'S9'!D24+'S10'!D24+'S11'!D24+'S12'!D24</f>
        <v>-400.125</v>
      </c>
      <c r="E24" s="38">
        <f>'S1'!E24+'S2'!E24+'S3'!E24+'S4'!E24+'S5'!E24+'S6'!E24+'S7'!E24+'S8'!E24+'S9'!E24+'S10'!E24+'S11'!E24+'S12'!E24</f>
        <v>-789.67300000000012</v>
      </c>
      <c r="G24" s="133">
        <f>1-B24/B25</f>
        <v>0.28785704981484572</v>
      </c>
      <c r="H24" s="133">
        <f>1-C24/C25</f>
        <v>0.31961917487890423</v>
      </c>
      <c r="I24" s="133">
        <f>1-D24/D25</f>
        <v>0.61017799557690244</v>
      </c>
      <c r="J24" s="133">
        <f>1-E24/E25</f>
        <v>0.28816604317843764</v>
      </c>
    </row>
    <row r="25" spans="1:15" x14ac:dyDescent="0.35">
      <c r="A25" s="36" t="s">
        <v>38</v>
      </c>
      <c r="B25" s="38">
        <f>('1854'!P27-'1854'!D27)</f>
        <v>-1074.78</v>
      </c>
      <c r="C25" s="38">
        <f>('1855'!P27-'1855'!D27)</f>
        <v>-1197.4000000000001</v>
      </c>
      <c r="D25" s="38">
        <f>('1856'!P27-'1856'!D27)</f>
        <v>-1026.43</v>
      </c>
      <c r="E25" s="38">
        <f>('1857'!P27-'1857'!D27)</f>
        <v>-1109.3499999999999</v>
      </c>
    </row>
    <row r="26" spans="1:15" ht="18" x14ac:dyDescent="0.4">
      <c r="A26" s="125" t="s">
        <v>44</v>
      </c>
      <c r="B26" s="129"/>
      <c r="C26" s="129"/>
      <c r="D26" s="129"/>
      <c r="E26" s="130"/>
    </row>
    <row r="27" spans="1:15" x14ac:dyDescent="0.35">
      <c r="A27" s="36" t="s">
        <v>40</v>
      </c>
      <c r="B27" s="101">
        <f>'S 2025'!B27</f>
        <v>-3977</v>
      </c>
      <c r="C27" s="101">
        <f>'S 2025'!C27</f>
        <v>-6197</v>
      </c>
      <c r="D27" s="101">
        <f>'S 2025'!D27</f>
        <v>-3806</v>
      </c>
      <c r="E27" s="101">
        <f>'S 2025'!E27</f>
        <v>-40115</v>
      </c>
      <c r="F27" s="40"/>
    </row>
  </sheetData>
  <sheetProtection selectLockedCells="1" selectUnlockedCells="1"/>
  <mergeCells count="6">
    <mergeCell ref="B22:E22"/>
    <mergeCell ref="B6:E6"/>
    <mergeCell ref="B7:E7"/>
    <mergeCell ref="B21:E21"/>
    <mergeCell ref="L22:O22"/>
    <mergeCell ref="L7:O7"/>
  </mergeCells>
  <conditionalFormatting sqref="B1:B1048576 C8:F20 C23:F65536">
    <cfRule type="cellIs" dxfId="9" priority="16" stopIfTrue="1" operator="lessThan">
      <formula>0</formula>
    </cfRule>
  </conditionalFormatting>
  <conditionalFormatting sqref="B25:E25">
    <cfRule type="cellIs" dxfId="8" priority="4" stopIfTrue="1" operator="lessThan">
      <formula>0</formula>
    </cfRule>
  </conditionalFormatting>
  <conditionalFormatting sqref="C1:F5">
    <cfRule type="cellIs" dxfId="7" priority="3" stopIfTrue="1" operator="lessThan">
      <formula>0</formula>
    </cfRule>
  </conditionalFormatting>
  <conditionalFormatting sqref="G1:J2 I13:J13 G13:J17 I16:J17 G28:J65536">
    <cfRule type="cellIs" dxfId="6" priority="5" stopIfTrue="1" operator="lessThan">
      <formula>0</formula>
    </cfRule>
  </conditionalFormatting>
  <conditionalFormatting sqref="L7">
    <cfRule type="cellIs" dxfId="5" priority="1" stopIfTrue="1" operator="lessThan">
      <formula>0</formula>
    </cfRule>
  </conditionalFormatting>
  <conditionalFormatting sqref="L22">
    <cfRule type="cellIs" dxfId="4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A40"/>
  <sheetViews>
    <sheetView workbookViewId="0">
      <pane ySplit="1" topLeftCell="A2" activePane="bottomLeft" state="frozen"/>
      <selection pane="bottomLeft" activeCell="A8" sqref="A8:XFD9"/>
    </sheetView>
  </sheetViews>
  <sheetFormatPr defaultColWidth="9.1796875" defaultRowHeight="14.5" x14ac:dyDescent="0.35"/>
  <cols>
    <col min="1" max="1" width="9.1796875" style="44"/>
    <col min="2" max="2" width="10.26953125" style="44" customWidth="1"/>
    <col min="3" max="4" width="7" style="44" customWidth="1"/>
    <col min="5" max="5" width="9" style="44" customWidth="1"/>
    <col min="6" max="7" width="7" style="44" customWidth="1"/>
    <col min="8" max="8" width="7.7265625" style="44" customWidth="1"/>
    <col min="9" max="9" width="7" style="44" customWidth="1"/>
    <col min="10" max="10" width="6.81640625" style="44" customWidth="1"/>
    <col min="11" max="11" width="9" style="44" customWidth="1"/>
    <col min="12" max="22" width="7" style="44" customWidth="1"/>
    <col min="23" max="23" width="8" style="44" customWidth="1"/>
    <col min="24" max="26" width="7" style="44" customWidth="1"/>
    <col min="27" max="16384" width="9.1796875" style="44"/>
  </cols>
  <sheetData>
    <row r="1" spans="1:27" ht="18.5" x14ac:dyDescent="0.35">
      <c r="A1" s="45" t="s">
        <v>55</v>
      </c>
      <c r="F1" s="45">
        <f>'S1'!B1</f>
        <v>2026</v>
      </c>
    </row>
    <row r="2" spans="1:27" ht="11.25" customHeight="1" x14ac:dyDescent="0.35">
      <c r="A2" s="45"/>
    </row>
    <row r="3" spans="1:27" hidden="1" x14ac:dyDescent="0.35">
      <c r="C3" s="44">
        <v>1850</v>
      </c>
      <c r="F3" s="44">
        <v>51</v>
      </c>
      <c r="I3" s="44">
        <v>52</v>
      </c>
      <c r="L3" s="44">
        <v>53</v>
      </c>
      <c r="O3" s="44">
        <v>54</v>
      </c>
      <c r="R3" s="44">
        <v>55</v>
      </c>
      <c r="U3" s="44">
        <v>56</v>
      </c>
      <c r="X3" s="44">
        <v>57</v>
      </c>
    </row>
    <row r="4" spans="1:27" s="47" customFormat="1" ht="18.5" x14ac:dyDescent="0.35">
      <c r="A4" s="402"/>
      <c r="B4" s="402"/>
      <c r="C4" s="401">
        <v>1850</v>
      </c>
      <c r="D4" s="401"/>
      <c r="E4" s="401"/>
      <c r="F4" s="401">
        <v>1851</v>
      </c>
      <c r="G4" s="401"/>
      <c r="H4" s="401"/>
      <c r="I4" s="401">
        <v>1852</v>
      </c>
      <c r="J4" s="401"/>
      <c r="K4" s="401"/>
      <c r="L4" s="401">
        <v>1853</v>
      </c>
      <c r="M4" s="401"/>
      <c r="N4" s="401"/>
      <c r="O4" s="401">
        <v>1854</v>
      </c>
      <c r="P4" s="401"/>
      <c r="Q4" s="401"/>
      <c r="R4" s="401">
        <v>1855</v>
      </c>
      <c r="S4" s="401"/>
      <c r="T4" s="401"/>
      <c r="U4" s="401">
        <v>1856</v>
      </c>
      <c r="V4" s="401"/>
      <c r="W4" s="401"/>
      <c r="X4" s="401">
        <v>1857</v>
      </c>
      <c r="Y4" s="401"/>
      <c r="Z4" s="401"/>
      <c r="AA4" s="46"/>
    </row>
    <row r="5" spans="1:27" ht="29" x14ac:dyDescent="0.35">
      <c r="A5" s="402"/>
      <c r="B5" s="402"/>
      <c r="C5" s="48" t="s">
        <v>56</v>
      </c>
      <c r="D5" s="49" t="s">
        <v>57</v>
      </c>
      <c r="E5" s="49" t="s">
        <v>58</v>
      </c>
      <c r="F5" s="48" t="s">
        <v>56</v>
      </c>
      <c r="G5" s="49" t="s">
        <v>57</v>
      </c>
      <c r="H5" s="49" t="s">
        <v>58</v>
      </c>
      <c r="I5" s="48" t="s">
        <v>56</v>
      </c>
      <c r="J5" s="49" t="s">
        <v>57</v>
      </c>
      <c r="K5" s="49" t="s">
        <v>58</v>
      </c>
      <c r="L5" s="48" t="s">
        <v>56</v>
      </c>
      <c r="M5" s="49" t="s">
        <v>57</v>
      </c>
      <c r="N5" s="49" t="s">
        <v>58</v>
      </c>
      <c r="O5" s="48" t="s">
        <v>56</v>
      </c>
      <c r="P5" s="49" t="s">
        <v>57</v>
      </c>
      <c r="Q5" s="49" t="s">
        <v>58</v>
      </c>
      <c r="R5" s="48" t="s">
        <v>56</v>
      </c>
      <c r="S5" s="49" t="s">
        <v>57</v>
      </c>
      <c r="T5" s="49" t="s">
        <v>58</v>
      </c>
      <c r="U5" s="48" t="s">
        <v>56</v>
      </c>
      <c r="V5" s="49" t="s">
        <v>57</v>
      </c>
      <c r="W5" s="49" t="s">
        <v>58</v>
      </c>
      <c r="X5" s="48" t="s">
        <v>56</v>
      </c>
      <c r="Y5" s="49" t="s">
        <v>57</v>
      </c>
      <c r="Z5" s="49" t="s">
        <v>58</v>
      </c>
      <c r="AA5" s="50"/>
    </row>
    <row r="6" spans="1:27" x14ac:dyDescent="0.35">
      <c r="A6" s="395" t="s">
        <v>4</v>
      </c>
      <c r="B6" s="51" t="s">
        <v>59</v>
      </c>
      <c r="C6" s="51">
        <f>'S1'!B9</f>
        <v>46.051999999999978</v>
      </c>
      <c r="D6" s="400">
        <f>'S1'!B10-'S1'!B9</f>
        <v>1.5580000000000354</v>
      </c>
      <c r="E6" s="393">
        <f>D6/C7</f>
        <v>3.2724217601344988E-2</v>
      </c>
      <c r="F6" s="51">
        <f>'S1'!C9</f>
        <v>48.775999999999996</v>
      </c>
      <c r="G6" s="400">
        <f>'S1'!C10-'S1'!C9</f>
        <v>3.4240000000000492</v>
      </c>
      <c r="H6" s="393">
        <f>G6/F7</f>
        <v>6.5593869731801646E-2</v>
      </c>
      <c r="I6" s="51">
        <f>'S1'!D9</f>
        <v>47.740000000000009</v>
      </c>
      <c r="J6" s="400">
        <f>'S1'!D10-'S1'!D9</f>
        <v>2.1000000000000227</v>
      </c>
      <c r="K6" s="393">
        <f>J6/I7</f>
        <v>4.2134831460674586E-2</v>
      </c>
      <c r="L6" s="51">
        <f>'S1'!E9</f>
        <v>45.828000000000017</v>
      </c>
      <c r="M6" s="400">
        <f>'S1'!E10-'S1'!E9</f>
        <v>2.6420000000000101</v>
      </c>
      <c r="N6" s="393">
        <f>M6/L7</f>
        <v>5.4507943057561556E-2</v>
      </c>
      <c r="O6" s="51">
        <f>'S1'!B24</f>
        <v>45.352999999999973</v>
      </c>
      <c r="P6" s="400">
        <f>'S1'!B25-'S1'!B24</f>
        <v>3.6769999999999996</v>
      </c>
      <c r="Q6" s="393">
        <f>P6/O7</f>
        <v>7.4994901080970872E-2</v>
      </c>
      <c r="R6" s="51">
        <f>'S1'!C24</f>
        <v>47.02300000000001</v>
      </c>
      <c r="S6" s="400">
        <f>'S1'!C25-'S1'!C24</f>
        <v>4.646999999999835</v>
      </c>
      <c r="T6" s="393">
        <f>S6/R7</f>
        <v>8.9936133152696898E-2</v>
      </c>
      <c r="U6" s="51">
        <f>'S1'!D24</f>
        <v>46.228999999999985</v>
      </c>
      <c r="V6" s="400">
        <f>'S1'!D25-'S1'!D24</f>
        <v>2.9509999999998513</v>
      </c>
      <c r="W6" s="393">
        <f>V6/U7</f>
        <v>6.0004066693775136E-2</v>
      </c>
      <c r="X6" s="51">
        <f>'S1'!E24</f>
        <v>47.80999999999996</v>
      </c>
      <c r="Y6" s="400">
        <f>'S1'!E25-'S1'!E24</f>
        <v>4.2600000000002041</v>
      </c>
      <c r="Z6" s="393">
        <f>Y6/X7</f>
        <v>8.1812944113696773E-2</v>
      </c>
    </row>
    <row r="7" spans="1:27" x14ac:dyDescent="0.35">
      <c r="A7" s="395"/>
      <c r="B7" s="51" t="s">
        <v>60</v>
      </c>
      <c r="C7" s="51">
        <f>'S1'!B10</f>
        <v>47.610000000000014</v>
      </c>
      <c r="D7" s="400"/>
      <c r="E7" s="393"/>
      <c r="F7" s="51">
        <f>'S1'!C10</f>
        <v>52.200000000000045</v>
      </c>
      <c r="G7" s="400"/>
      <c r="H7" s="393"/>
      <c r="I7" s="51">
        <f>'S1'!D10</f>
        <v>49.840000000000032</v>
      </c>
      <c r="J7" s="400"/>
      <c r="K7" s="393"/>
      <c r="L7" s="51">
        <f>'S1'!E10</f>
        <v>48.470000000000027</v>
      </c>
      <c r="M7" s="400"/>
      <c r="N7" s="393"/>
      <c r="O7" s="51">
        <f>'S1'!B25</f>
        <v>49.029999999999973</v>
      </c>
      <c r="P7" s="400"/>
      <c r="Q7" s="393"/>
      <c r="R7" s="51">
        <f>'S1'!C25</f>
        <v>51.669999999999845</v>
      </c>
      <c r="S7" s="400"/>
      <c r="T7" s="393"/>
      <c r="U7" s="51">
        <f>'S1'!D25</f>
        <v>49.179999999999836</v>
      </c>
      <c r="V7" s="400"/>
      <c r="W7" s="393"/>
      <c r="X7" s="51">
        <f>'S1'!E25</f>
        <v>52.070000000000164</v>
      </c>
      <c r="Y7" s="400"/>
      <c r="Z7" s="393"/>
    </row>
    <row r="8" spans="1:27" x14ac:dyDescent="0.35">
      <c r="A8" s="395" t="s">
        <v>5</v>
      </c>
      <c r="B8" s="51" t="s">
        <v>59</v>
      </c>
      <c r="C8" s="51">
        <f>'S2'!B9</f>
        <v>29.648999999999987</v>
      </c>
      <c r="D8" s="394">
        <f>'S2'!B10-'S2'!B9</f>
        <v>0.42100000000000648</v>
      </c>
      <c r="E8" s="393">
        <f>D8/C9</f>
        <v>1.4000665114732511E-2</v>
      </c>
      <c r="F8" s="52">
        <f>'S2'!C9</f>
        <v>31.620000000000019</v>
      </c>
      <c r="G8" s="394">
        <f>'S2'!C10-'S2'!C9</f>
        <v>1.8899999999999721</v>
      </c>
      <c r="H8" s="393">
        <f>G8/F9</f>
        <v>5.6401074306176448E-2</v>
      </c>
      <c r="I8" s="52">
        <f>'S2'!D9</f>
        <v>28.867999999999952</v>
      </c>
      <c r="J8" s="394">
        <f>'S2'!D10-'S2'!D9</f>
        <v>0.54200000000007265</v>
      </c>
      <c r="K8" s="393">
        <f>J8/I9</f>
        <v>1.8429105746347235E-2</v>
      </c>
      <c r="L8" s="52">
        <f>'S2'!E9</f>
        <v>28.883000000000024</v>
      </c>
      <c r="M8" s="394">
        <f>'S2'!E10-'S2'!E9</f>
        <v>0.68699999999996919</v>
      </c>
      <c r="N8" s="393">
        <f>M8/L9</f>
        <v>2.3233006425430143E-2</v>
      </c>
      <c r="O8" s="52">
        <f>'S2'!B24</f>
        <v>29.126999999999953</v>
      </c>
      <c r="P8" s="394">
        <f>'S2'!B25-'S2'!B24</f>
        <v>2.5730000000000928</v>
      </c>
      <c r="Q8" s="393">
        <f>P8/O9</f>
        <v>8.1167192429024898E-2</v>
      </c>
      <c r="R8" s="52">
        <f>'S2'!C24</f>
        <v>28.854999999999961</v>
      </c>
      <c r="S8" s="394">
        <f>'S2'!C25-'S2'!C24</f>
        <v>2.8250000000001023</v>
      </c>
      <c r="T8" s="393">
        <f>S8/R9</f>
        <v>8.9172979797982846E-2</v>
      </c>
      <c r="U8" s="52">
        <f>'S2'!D24</f>
        <v>26.30599999999999</v>
      </c>
      <c r="V8" s="394">
        <f>'S2'!D25-'S2'!D24</f>
        <v>1.164000000000037</v>
      </c>
      <c r="W8" s="393">
        <f>V8/U9</f>
        <v>4.2373498361850594E-2</v>
      </c>
      <c r="X8" s="52">
        <f>'S2'!E24</f>
        <v>29.89800000000001</v>
      </c>
      <c r="Y8" s="394">
        <f>'S2'!E25-'S2'!E24</f>
        <v>2.8519999999999897</v>
      </c>
      <c r="Z8" s="393">
        <f>Y8/X9</f>
        <v>8.7083969465648545E-2</v>
      </c>
    </row>
    <row r="9" spans="1:27" x14ac:dyDescent="0.35">
      <c r="A9" s="395"/>
      <c r="B9" s="51" t="s">
        <v>60</v>
      </c>
      <c r="C9" s="52">
        <f>'S2'!B10</f>
        <v>30.069999999999993</v>
      </c>
      <c r="D9" s="394"/>
      <c r="E9" s="393"/>
      <c r="F9" s="52">
        <f>'S2'!C10</f>
        <v>33.509999999999991</v>
      </c>
      <c r="G9" s="394"/>
      <c r="H9" s="393"/>
      <c r="I9" s="52">
        <f>'S2'!D10</f>
        <v>29.410000000000025</v>
      </c>
      <c r="J9" s="394"/>
      <c r="K9" s="393"/>
      <c r="L9" s="52">
        <f>'S2'!E10</f>
        <v>29.569999999999993</v>
      </c>
      <c r="M9" s="394"/>
      <c r="N9" s="393"/>
      <c r="O9" s="52">
        <f>'S2'!B25</f>
        <v>31.700000000000045</v>
      </c>
      <c r="P9" s="394"/>
      <c r="Q9" s="393"/>
      <c r="R9" s="52">
        <f>'S2'!C25</f>
        <v>31.680000000000064</v>
      </c>
      <c r="S9" s="394"/>
      <c r="T9" s="393"/>
      <c r="U9" s="52">
        <f>'S2'!D25</f>
        <v>27.470000000000027</v>
      </c>
      <c r="V9" s="394"/>
      <c r="W9" s="393"/>
      <c r="X9" s="52">
        <f>'S2'!E25</f>
        <v>32.75</v>
      </c>
      <c r="Y9" s="394"/>
      <c r="Z9" s="393"/>
    </row>
    <row r="10" spans="1:27" hidden="1" x14ac:dyDescent="0.35">
      <c r="A10" s="395" t="s">
        <v>6</v>
      </c>
      <c r="B10" s="51" t="s">
        <v>59</v>
      </c>
      <c r="C10" s="51"/>
      <c r="D10" s="394"/>
      <c r="E10" s="393"/>
      <c r="F10" s="52"/>
      <c r="G10" s="394"/>
      <c r="H10" s="393"/>
      <c r="I10" s="52"/>
      <c r="J10" s="394"/>
      <c r="K10" s="393"/>
      <c r="L10" s="52"/>
      <c r="M10" s="394"/>
      <c r="N10" s="393"/>
      <c r="O10" s="52"/>
      <c r="P10" s="400"/>
      <c r="Q10" s="393"/>
      <c r="R10" s="51"/>
      <c r="S10" s="400"/>
      <c r="T10" s="393"/>
      <c r="U10" s="51"/>
      <c r="V10" s="400"/>
      <c r="W10" s="393"/>
      <c r="X10" s="51"/>
      <c r="Y10" s="400"/>
      <c r="Z10" s="393"/>
    </row>
    <row r="11" spans="1:27" hidden="1" x14ac:dyDescent="0.35">
      <c r="A11" s="395"/>
      <c r="B11" s="51" t="s">
        <v>60</v>
      </c>
      <c r="C11" s="52"/>
      <c r="D11" s="394"/>
      <c r="E11" s="393"/>
      <c r="F11" s="52"/>
      <c r="G11" s="394"/>
      <c r="H11" s="393"/>
      <c r="I11" s="52"/>
      <c r="J11" s="394"/>
      <c r="K11" s="393"/>
      <c r="L11" s="52"/>
      <c r="M11" s="394"/>
      <c r="N11" s="393"/>
      <c r="O11" s="52"/>
      <c r="P11" s="400"/>
      <c r="Q11" s="393"/>
      <c r="R11" s="51"/>
      <c r="S11" s="400"/>
      <c r="T11" s="393"/>
      <c r="U11" s="51"/>
      <c r="V11" s="400"/>
      <c r="W11" s="393"/>
      <c r="X11" s="51"/>
      <c r="Y11" s="400"/>
      <c r="Z11" s="393"/>
    </row>
    <row r="12" spans="1:27" hidden="1" x14ac:dyDescent="0.35">
      <c r="A12" s="395" t="s">
        <v>7</v>
      </c>
      <c r="B12" s="51" t="s">
        <v>59</v>
      </c>
      <c r="C12" s="51"/>
      <c r="D12" s="394"/>
      <c r="E12" s="393"/>
      <c r="F12" s="52"/>
      <c r="G12" s="400"/>
      <c r="H12" s="393"/>
      <c r="I12" s="51"/>
      <c r="J12" s="400"/>
      <c r="K12" s="393"/>
      <c r="L12" s="51"/>
      <c r="M12" s="400"/>
      <c r="N12" s="393"/>
      <c r="O12" s="51"/>
      <c r="P12" s="400"/>
      <c r="Q12" s="393"/>
      <c r="R12" s="51"/>
      <c r="S12" s="400"/>
      <c r="T12" s="393"/>
      <c r="U12" s="51"/>
      <c r="V12" s="400"/>
      <c r="W12" s="393"/>
      <c r="X12" s="51"/>
      <c r="Y12" s="400"/>
      <c r="Z12" s="393"/>
    </row>
    <row r="13" spans="1:27" hidden="1" x14ac:dyDescent="0.35">
      <c r="A13" s="395"/>
      <c r="B13" s="51" t="s">
        <v>60</v>
      </c>
      <c r="C13" s="52"/>
      <c r="D13" s="394"/>
      <c r="E13" s="393"/>
      <c r="F13" s="52"/>
      <c r="G13" s="400"/>
      <c r="H13" s="393"/>
      <c r="I13" s="51"/>
      <c r="J13" s="400"/>
      <c r="K13" s="393"/>
      <c r="L13" s="51"/>
      <c r="M13" s="400"/>
      <c r="N13" s="393"/>
      <c r="O13" s="51"/>
      <c r="P13" s="400"/>
      <c r="Q13" s="393"/>
      <c r="R13" s="51"/>
      <c r="S13" s="400"/>
      <c r="T13" s="393"/>
      <c r="U13" s="51"/>
      <c r="V13" s="400"/>
      <c r="W13" s="393"/>
      <c r="X13" s="51"/>
      <c r="Y13" s="400"/>
      <c r="Z13" s="393"/>
    </row>
    <row r="14" spans="1:27" hidden="1" x14ac:dyDescent="0.35">
      <c r="A14" s="395" t="s">
        <v>8</v>
      </c>
      <c r="B14" s="51" t="s">
        <v>59</v>
      </c>
      <c r="C14" s="51"/>
      <c r="D14" s="394"/>
      <c r="E14" s="393"/>
      <c r="F14" s="51"/>
      <c r="G14" s="394"/>
      <c r="H14" s="393"/>
      <c r="I14" s="51"/>
      <c r="J14" s="394"/>
      <c r="K14" s="393"/>
      <c r="L14" s="51"/>
      <c r="M14" s="394"/>
      <c r="N14" s="393"/>
      <c r="O14" s="51"/>
      <c r="P14" s="394"/>
      <c r="Q14" s="393"/>
      <c r="R14" s="51"/>
      <c r="S14" s="394"/>
      <c r="T14" s="393"/>
      <c r="U14" s="51"/>
      <c r="V14" s="394"/>
      <c r="W14" s="393"/>
      <c r="X14" s="51"/>
      <c r="Y14" s="394"/>
      <c r="Z14" s="393"/>
    </row>
    <row r="15" spans="1:27" hidden="1" x14ac:dyDescent="0.35">
      <c r="A15" s="395"/>
      <c r="B15" s="51" t="s">
        <v>60</v>
      </c>
      <c r="C15" s="52"/>
      <c r="D15" s="394"/>
      <c r="E15" s="393"/>
      <c r="F15" s="52"/>
      <c r="G15" s="394"/>
      <c r="H15" s="393"/>
      <c r="I15" s="52"/>
      <c r="J15" s="394"/>
      <c r="K15" s="393"/>
      <c r="L15" s="52"/>
      <c r="M15" s="394"/>
      <c r="N15" s="393"/>
      <c r="O15" s="52"/>
      <c r="P15" s="394"/>
      <c r="Q15" s="393"/>
      <c r="R15" s="52"/>
      <c r="S15" s="394"/>
      <c r="T15" s="393"/>
      <c r="U15" s="52"/>
      <c r="V15" s="394"/>
      <c r="W15" s="393"/>
      <c r="X15" s="52"/>
      <c r="Y15" s="394"/>
      <c r="Z15" s="393"/>
    </row>
    <row r="16" spans="1:27" hidden="1" x14ac:dyDescent="0.35">
      <c r="A16" s="395" t="s">
        <v>9</v>
      </c>
      <c r="B16" s="51" t="s">
        <v>59</v>
      </c>
      <c r="C16" s="51"/>
      <c r="D16" s="394"/>
      <c r="E16" s="393"/>
      <c r="F16" s="51"/>
      <c r="G16" s="394"/>
      <c r="H16" s="393"/>
      <c r="I16" s="51"/>
      <c r="J16" s="394"/>
      <c r="K16" s="393"/>
      <c r="L16" s="51"/>
      <c r="M16" s="394"/>
      <c r="N16" s="393"/>
      <c r="O16" s="51"/>
      <c r="P16" s="394"/>
      <c r="Q16" s="393"/>
      <c r="R16" s="51"/>
      <c r="S16" s="394"/>
      <c r="T16" s="393"/>
      <c r="U16" s="51"/>
      <c r="V16" s="394"/>
      <c r="W16" s="393"/>
      <c r="X16" s="51"/>
      <c r="Y16" s="394"/>
      <c r="Z16" s="393"/>
    </row>
    <row r="17" spans="1:26" hidden="1" x14ac:dyDescent="0.35">
      <c r="A17" s="395"/>
      <c r="B17" s="51" t="s">
        <v>60</v>
      </c>
      <c r="C17" s="51"/>
      <c r="D17" s="394"/>
      <c r="E17" s="393"/>
      <c r="F17" s="51"/>
      <c r="G17" s="394"/>
      <c r="H17" s="393"/>
      <c r="I17" s="51"/>
      <c r="J17" s="394"/>
      <c r="K17" s="393"/>
      <c r="L17" s="51"/>
      <c r="M17" s="394"/>
      <c r="N17" s="393"/>
      <c r="O17" s="51"/>
      <c r="P17" s="394"/>
      <c r="Q17" s="393"/>
      <c r="R17" s="51"/>
      <c r="S17" s="394"/>
      <c r="T17" s="393"/>
      <c r="U17" s="51"/>
      <c r="V17" s="394"/>
      <c r="W17" s="393"/>
      <c r="X17" s="51"/>
      <c r="Y17" s="394"/>
      <c r="Z17" s="393"/>
    </row>
    <row r="18" spans="1:26" hidden="1" x14ac:dyDescent="0.35">
      <c r="A18" s="398" t="s">
        <v>10</v>
      </c>
      <c r="B18" s="51" t="s">
        <v>59</v>
      </c>
      <c r="C18" s="51"/>
      <c r="D18" s="415"/>
      <c r="E18" s="396"/>
      <c r="F18" s="51"/>
      <c r="G18" s="415"/>
      <c r="H18" s="396"/>
      <c r="I18" s="51"/>
      <c r="J18" s="415"/>
      <c r="K18" s="396"/>
      <c r="L18" s="51"/>
      <c r="M18" s="415"/>
      <c r="N18" s="396"/>
      <c r="O18" s="51"/>
      <c r="P18" s="415"/>
      <c r="Q18" s="396"/>
      <c r="R18" s="51"/>
      <c r="S18" s="415"/>
      <c r="T18" s="396"/>
      <c r="U18" s="51"/>
      <c r="V18" s="415"/>
      <c r="W18" s="396"/>
      <c r="X18" s="51"/>
      <c r="Y18" s="415"/>
      <c r="Z18" s="396"/>
    </row>
    <row r="19" spans="1:26" hidden="1" x14ac:dyDescent="0.35">
      <c r="A19" s="399"/>
      <c r="B19" s="51" t="s">
        <v>60</v>
      </c>
      <c r="C19" s="51"/>
      <c r="D19" s="416"/>
      <c r="E19" s="397"/>
      <c r="F19" s="52"/>
      <c r="G19" s="416"/>
      <c r="H19" s="397"/>
      <c r="I19" s="51"/>
      <c r="J19" s="416"/>
      <c r="K19" s="397"/>
      <c r="L19" s="51"/>
      <c r="M19" s="416"/>
      <c r="N19" s="397"/>
      <c r="O19" s="51"/>
      <c r="P19" s="416"/>
      <c r="Q19" s="397"/>
      <c r="R19" s="51"/>
      <c r="S19" s="416"/>
      <c r="T19" s="397"/>
      <c r="U19" s="51"/>
      <c r="V19" s="416"/>
      <c r="W19" s="397"/>
      <c r="X19" s="51"/>
      <c r="Y19" s="416"/>
      <c r="Z19" s="397"/>
    </row>
    <row r="20" spans="1:26" hidden="1" x14ac:dyDescent="0.35">
      <c r="A20" s="395" t="s">
        <v>11</v>
      </c>
      <c r="B20" s="51" t="s">
        <v>59</v>
      </c>
      <c r="C20" s="51"/>
      <c r="D20" s="394"/>
      <c r="E20" s="393"/>
      <c r="F20" s="51"/>
      <c r="G20" s="394"/>
      <c r="H20" s="393"/>
      <c r="I20" s="51"/>
      <c r="J20" s="394"/>
      <c r="K20" s="393"/>
      <c r="L20" s="51"/>
      <c r="M20" s="394"/>
      <c r="N20" s="393"/>
      <c r="O20" s="51"/>
      <c r="P20" s="394"/>
      <c r="Q20" s="393"/>
      <c r="R20" s="51"/>
      <c r="S20" s="394"/>
      <c r="T20" s="393"/>
      <c r="U20" s="51"/>
      <c r="V20" s="394"/>
      <c r="W20" s="393"/>
      <c r="X20" s="51"/>
      <c r="Y20" s="394"/>
      <c r="Z20" s="393"/>
    </row>
    <row r="21" spans="1:26" hidden="1" x14ac:dyDescent="0.35">
      <c r="A21" s="395"/>
      <c r="B21" s="51" t="s">
        <v>60</v>
      </c>
      <c r="C21" s="51"/>
      <c r="D21" s="394"/>
      <c r="E21" s="393"/>
      <c r="F21" s="51"/>
      <c r="G21" s="394"/>
      <c r="H21" s="393"/>
      <c r="I21" s="51"/>
      <c r="J21" s="394"/>
      <c r="K21" s="393"/>
      <c r="L21" s="51"/>
      <c r="M21" s="394"/>
      <c r="N21" s="393"/>
      <c r="O21" s="51"/>
      <c r="P21" s="394"/>
      <c r="Q21" s="393"/>
      <c r="R21" s="51"/>
      <c r="S21" s="394"/>
      <c r="T21" s="393"/>
      <c r="U21" s="51"/>
      <c r="V21" s="394"/>
      <c r="W21" s="393"/>
      <c r="X21" s="51"/>
      <c r="Y21" s="394"/>
      <c r="Z21" s="393"/>
    </row>
    <row r="22" spans="1:26" ht="15" hidden="1" customHeight="1" x14ac:dyDescent="0.35">
      <c r="A22" s="398" t="s">
        <v>12</v>
      </c>
      <c r="B22" s="51" t="s">
        <v>59</v>
      </c>
      <c r="C22" s="51"/>
      <c r="D22" s="394"/>
      <c r="E22" s="396"/>
      <c r="F22" s="51"/>
      <c r="G22" s="394"/>
      <c r="H22" s="396"/>
      <c r="I22" s="51"/>
      <c r="J22" s="394"/>
      <c r="K22" s="396"/>
      <c r="L22" s="51"/>
      <c r="M22" s="394"/>
      <c r="N22" s="396"/>
      <c r="O22" s="110"/>
      <c r="P22" s="394"/>
      <c r="Q22" s="396"/>
      <c r="R22" s="51"/>
      <c r="S22" s="394"/>
      <c r="T22" s="396"/>
      <c r="U22" s="51"/>
      <c r="V22" s="394"/>
      <c r="W22" s="396"/>
      <c r="X22" s="51"/>
      <c r="Y22" s="394"/>
      <c r="Z22" s="396"/>
    </row>
    <row r="23" spans="1:26" ht="15" hidden="1" customHeight="1" x14ac:dyDescent="0.35">
      <c r="A23" s="399"/>
      <c r="B23" s="51" t="s">
        <v>60</v>
      </c>
      <c r="C23" s="53"/>
      <c r="D23" s="394"/>
      <c r="E23" s="397"/>
      <c r="F23" s="53"/>
      <c r="G23" s="394"/>
      <c r="H23" s="397"/>
      <c r="I23" s="53"/>
      <c r="J23" s="394"/>
      <c r="K23" s="397"/>
      <c r="L23" s="53"/>
      <c r="M23" s="394"/>
      <c r="N23" s="397"/>
      <c r="O23" s="111"/>
      <c r="P23" s="394"/>
      <c r="Q23" s="397"/>
      <c r="R23" s="51"/>
      <c r="S23" s="394"/>
      <c r="T23" s="397"/>
      <c r="U23" s="53"/>
      <c r="V23" s="394"/>
      <c r="W23" s="397"/>
      <c r="X23" s="51"/>
      <c r="Y23" s="394"/>
      <c r="Z23" s="397"/>
    </row>
    <row r="24" spans="1:26" hidden="1" x14ac:dyDescent="0.35">
      <c r="A24" s="395" t="s">
        <v>13</v>
      </c>
      <c r="B24" s="51" t="s">
        <v>59</v>
      </c>
      <c r="C24" s="51"/>
      <c r="D24" s="394"/>
      <c r="E24" s="393"/>
      <c r="F24" s="51"/>
      <c r="G24" s="394"/>
      <c r="H24" s="393"/>
      <c r="I24" s="51"/>
      <c r="J24" s="394"/>
      <c r="K24" s="393"/>
      <c r="L24" s="51"/>
      <c r="M24" s="394"/>
      <c r="N24" s="393"/>
      <c r="O24" s="51"/>
      <c r="P24" s="394"/>
      <c r="Q24" s="393"/>
      <c r="R24" s="51"/>
      <c r="S24" s="394"/>
      <c r="T24" s="393"/>
      <c r="U24" s="51"/>
      <c r="V24" s="394"/>
      <c r="W24" s="393"/>
      <c r="X24" s="51"/>
      <c r="Y24" s="394"/>
      <c r="Z24" s="393"/>
    </row>
    <row r="25" spans="1:26" hidden="1" x14ac:dyDescent="0.35">
      <c r="A25" s="395"/>
      <c r="B25" s="51" t="s">
        <v>60</v>
      </c>
      <c r="C25" s="53"/>
      <c r="D25" s="394"/>
      <c r="E25" s="393"/>
      <c r="F25" s="53"/>
      <c r="G25" s="394"/>
      <c r="H25" s="393"/>
      <c r="I25" s="53"/>
      <c r="J25" s="394"/>
      <c r="K25" s="393"/>
      <c r="L25" s="53"/>
      <c r="M25" s="394"/>
      <c r="N25" s="393"/>
      <c r="O25" s="53"/>
      <c r="P25" s="394"/>
      <c r="Q25" s="393"/>
      <c r="R25" s="53"/>
      <c r="S25" s="394"/>
      <c r="T25" s="393"/>
      <c r="U25" s="53"/>
      <c r="V25" s="394"/>
      <c r="W25" s="393"/>
      <c r="X25" s="53"/>
      <c r="Y25" s="394"/>
      <c r="Z25" s="393"/>
    </row>
    <row r="26" spans="1:26" hidden="1" x14ac:dyDescent="0.35">
      <c r="A26" s="398" t="s">
        <v>14</v>
      </c>
      <c r="B26" s="51" t="s">
        <v>59</v>
      </c>
      <c r="C26" s="51"/>
      <c r="D26" s="415"/>
      <c r="E26" s="396"/>
      <c r="F26" s="51"/>
      <c r="G26" s="415"/>
      <c r="H26" s="396"/>
      <c r="I26" s="51"/>
      <c r="J26" s="415"/>
      <c r="K26" s="396"/>
      <c r="L26" s="51"/>
      <c r="M26" s="415"/>
      <c r="N26" s="396"/>
      <c r="O26" s="51"/>
      <c r="P26" s="415"/>
      <c r="Q26" s="396"/>
      <c r="R26" s="51"/>
      <c r="S26" s="415"/>
      <c r="T26" s="396"/>
      <c r="U26" s="51"/>
      <c r="V26" s="415"/>
      <c r="W26" s="396"/>
      <c r="X26" s="51"/>
      <c r="Y26" s="415"/>
      <c r="Z26" s="396"/>
    </row>
    <row r="27" spans="1:26" hidden="1" x14ac:dyDescent="0.35">
      <c r="A27" s="399"/>
      <c r="B27" s="51" t="s">
        <v>60</v>
      </c>
      <c r="C27" s="51"/>
      <c r="D27" s="416"/>
      <c r="E27" s="397"/>
      <c r="F27" s="51"/>
      <c r="G27" s="416"/>
      <c r="H27" s="397"/>
      <c r="I27" s="51"/>
      <c r="J27" s="416"/>
      <c r="K27" s="397"/>
      <c r="L27" s="51"/>
      <c r="M27" s="416"/>
      <c r="N27" s="397"/>
      <c r="O27" s="51"/>
      <c r="P27" s="416"/>
      <c r="Q27" s="397"/>
      <c r="R27" s="51"/>
      <c r="S27" s="416"/>
      <c r="T27" s="397"/>
      <c r="U27" s="51"/>
      <c r="V27" s="416"/>
      <c r="W27" s="397"/>
      <c r="X27" s="51"/>
      <c r="Y27" s="416"/>
      <c r="Z27" s="397"/>
    </row>
    <row r="28" spans="1:26" hidden="1" x14ac:dyDescent="0.35">
      <c r="A28" s="395" t="s">
        <v>3</v>
      </c>
      <c r="B28" s="51" t="s">
        <v>59</v>
      </c>
      <c r="C28" s="51"/>
      <c r="D28" s="394"/>
      <c r="E28" s="393"/>
      <c r="F28" s="51"/>
      <c r="G28" s="394"/>
      <c r="H28" s="393"/>
      <c r="I28" s="51"/>
      <c r="J28" s="394"/>
      <c r="K28" s="393"/>
      <c r="L28" s="51"/>
      <c r="M28" s="394"/>
      <c r="N28" s="393"/>
      <c r="O28" s="51"/>
      <c r="P28" s="394"/>
      <c r="Q28" s="393"/>
      <c r="R28" s="51"/>
      <c r="S28" s="394"/>
      <c r="T28" s="393"/>
      <c r="U28" s="51"/>
      <c r="V28" s="394"/>
      <c r="W28" s="393"/>
      <c r="X28" s="51"/>
      <c r="Y28" s="394"/>
      <c r="Z28" s="393"/>
    </row>
    <row r="29" spans="1:26" hidden="1" x14ac:dyDescent="0.35">
      <c r="A29" s="395"/>
      <c r="B29" s="51" t="s">
        <v>60</v>
      </c>
      <c r="C29" s="53"/>
      <c r="D29" s="394"/>
      <c r="E29" s="393"/>
      <c r="F29" s="53"/>
      <c r="G29" s="394"/>
      <c r="H29" s="393"/>
      <c r="I29" s="53"/>
      <c r="J29" s="394"/>
      <c r="K29" s="393"/>
      <c r="L29" s="53"/>
      <c r="M29" s="394"/>
      <c r="N29" s="393"/>
      <c r="O29" s="53"/>
      <c r="P29" s="394"/>
      <c r="Q29" s="393"/>
      <c r="R29" s="53"/>
      <c r="S29" s="394"/>
      <c r="T29" s="393"/>
      <c r="U29" s="53"/>
      <c r="V29" s="394"/>
      <c r="W29" s="393"/>
      <c r="X29" s="53"/>
      <c r="Y29" s="394"/>
      <c r="Z29" s="393"/>
    </row>
    <row r="30" spans="1:26" ht="15.5" x14ac:dyDescent="0.35">
      <c r="A30" s="54"/>
      <c r="B30" s="98" t="s">
        <v>95</v>
      </c>
      <c r="C30" s="55"/>
      <c r="D30" s="154"/>
      <c r="E30" s="56"/>
      <c r="F30" s="105"/>
      <c r="G30" s="56"/>
      <c r="H30" s="56"/>
      <c r="I30" s="55"/>
      <c r="J30" s="56"/>
      <c r="K30" s="56"/>
      <c r="L30" s="55"/>
      <c r="M30" s="56"/>
      <c r="N30" s="56"/>
      <c r="O30" s="55"/>
      <c r="P30" s="56"/>
      <c r="Q30" s="56"/>
      <c r="R30" s="55"/>
      <c r="S30" s="56"/>
      <c r="T30" s="56"/>
      <c r="U30" s="55"/>
      <c r="V30" s="56"/>
      <c r="W30" s="56"/>
      <c r="X30" s="55"/>
      <c r="Y30" s="56"/>
      <c r="Z30" s="56"/>
    </row>
    <row r="31" spans="1:26" s="57" customFormat="1" ht="15.5" x14ac:dyDescent="0.35">
      <c r="A31" s="57" t="s">
        <v>61</v>
      </c>
      <c r="D31" s="57">
        <f>SUM(D6:D29)</f>
        <v>1.9790000000000418</v>
      </c>
      <c r="G31" s="57">
        <f>SUM(G6:G29)</f>
        <v>5.3140000000000214</v>
      </c>
      <c r="J31" s="57">
        <f>SUM(J6:J29)</f>
        <v>2.6420000000000954</v>
      </c>
      <c r="M31" s="57">
        <f>SUM(M6:M29)</f>
        <v>3.3289999999999793</v>
      </c>
      <c r="P31" s="57">
        <f>SUM(P6:P29)</f>
        <v>6.2500000000000924</v>
      </c>
      <c r="S31" s="57">
        <f>SUM(S6:S29)</f>
        <v>7.4719999999999374</v>
      </c>
      <c r="V31" s="57">
        <f>SUM(V6:V29)</f>
        <v>4.1149999999998883</v>
      </c>
      <c r="Y31" s="57">
        <f>SUM(Y6:Y29)</f>
        <v>7.1120000000001937</v>
      </c>
    </row>
    <row r="32" spans="1:26" ht="6.75" customHeight="1" x14ac:dyDescent="0.35"/>
    <row r="33" spans="1:25" s="58" customFormat="1" ht="15.5" x14ac:dyDescent="0.35">
      <c r="A33" s="57" t="s">
        <v>62</v>
      </c>
      <c r="D33" s="59">
        <f>(D6+D8+D10+D12+D14+D16+D18+D20+D22+D24+D26+D28)/(C7+C9+C11+C13+C15+C17+C19+C21+C23+C25+C27+C29)</f>
        <v>2.5476313079300227E-2</v>
      </c>
      <c r="G33" s="59">
        <f>(G6+G8+G10+G12+G14+G16+G18+G20+G22+G24+G26+G28)/(F7+F9+F11+F13+F15+F17+F19+F21+F23+F25+F27+F29)</f>
        <v>6.1999766654999643E-2</v>
      </c>
      <c r="J33" s="59">
        <f>(J6+J8+J10+J12+J14+J16+J18+J20+J22+J24+J26+J28)/(I7+I9+I11+I13+I15+I17+I19+I21+I23+I25+I27+I29)</f>
        <v>3.3337539432177835E-2</v>
      </c>
      <c r="M33" s="59">
        <f>(M6+M8+M10+M12+M14+M16+M18+M20+M22+M24+M26+M28)/(L7+L9+L11+L13+L15+L17+L19+L21+L23+L25+L27+L29)</f>
        <v>4.2657611481291366E-2</v>
      </c>
      <c r="P33" s="59">
        <f>(P6+P8+P10+P12+P14+P16+P18+P20+P22+P24+P26+P28)/(O7+O9+O11+O13+O15+O17+O19+O21+O23+O25+O27+O29)</f>
        <v>7.7418555679426376E-2</v>
      </c>
      <c r="S33" s="59">
        <f>(S6+S8+S10+S12+S14+S16+S18+S20+S22+S24+S26+S28)/(R7+R9+R11+R13+R15+R17+R19+R21+R23+R25+R27+R29)</f>
        <v>8.9646070785842177E-2</v>
      </c>
      <c r="V33" s="59">
        <f>(V6+V8+V10+V12+V14+V16+V18+V20+V22+V24+V26+V28)/(U7+U9+U11+U13+U15+U17+U19+U21+U23+U25+U27+U29)</f>
        <v>5.3685583822568765E-2</v>
      </c>
      <c r="Y33" s="59">
        <f>(Y6+Y8+Y10+Y12+Y14+Y16+Y18+Y20+Y22+Y24+Y26+Y28)/(X7+X9+X11+X13+X15+X17+X19+X21+X23+X25+X27+X29)</f>
        <v>8.3848149021459331E-2</v>
      </c>
    </row>
    <row r="34" spans="1:25" s="60" customFormat="1" x14ac:dyDescent="0.35">
      <c r="D34" s="60">
        <v>1850</v>
      </c>
      <c r="G34" s="60">
        <v>1851</v>
      </c>
      <c r="J34" s="60">
        <v>1852</v>
      </c>
      <c r="M34" s="60">
        <v>1853</v>
      </c>
      <c r="P34" s="60">
        <v>1854</v>
      </c>
      <c r="S34" s="60">
        <v>1855</v>
      </c>
      <c r="V34" s="60">
        <v>1856</v>
      </c>
      <c r="Y34" s="60">
        <v>1857</v>
      </c>
    </row>
    <row r="38" spans="1:25" x14ac:dyDescent="0.35">
      <c r="A38" s="61"/>
    </row>
    <row r="39" spans="1:25" x14ac:dyDescent="0.35">
      <c r="A39"/>
    </row>
    <row r="40" spans="1:25" x14ac:dyDescent="0.35">
      <c r="A40" s="61"/>
    </row>
  </sheetData>
  <sheetProtection selectLockedCells="1" selectUnlockedCells="1"/>
  <mergeCells count="213">
    <mergeCell ref="Y8:Y9"/>
    <mergeCell ref="Z8:Z9"/>
    <mergeCell ref="A8:A9"/>
    <mergeCell ref="D8:D9"/>
    <mergeCell ref="E8:E9"/>
    <mergeCell ref="G8:G9"/>
    <mergeCell ref="H8:H9"/>
    <mergeCell ref="J8:J9"/>
    <mergeCell ref="K8:K9"/>
    <mergeCell ref="M8:M9"/>
    <mergeCell ref="N8:N9"/>
    <mergeCell ref="A10:A11"/>
    <mergeCell ref="D10:D11"/>
    <mergeCell ref="E10:E11"/>
    <mergeCell ref="G10:G11"/>
    <mergeCell ref="H10:H11"/>
    <mergeCell ref="S10:S11"/>
    <mergeCell ref="T10:T11"/>
    <mergeCell ref="V10:V11"/>
    <mergeCell ref="W10:W11"/>
    <mergeCell ref="R4:T4"/>
    <mergeCell ref="U4:W4"/>
    <mergeCell ref="S16:S17"/>
    <mergeCell ref="J18:J19"/>
    <mergeCell ref="K18:K19"/>
    <mergeCell ref="M18:M19"/>
    <mergeCell ref="N18:N19"/>
    <mergeCell ref="P18:P19"/>
    <mergeCell ref="Q18:Q19"/>
    <mergeCell ref="P8:P9"/>
    <mergeCell ref="Q8:Q9"/>
    <mergeCell ref="S8:S9"/>
    <mergeCell ref="T8:T9"/>
    <mergeCell ref="V8:V9"/>
    <mergeCell ref="W8:W9"/>
    <mergeCell ref="S14:S15"/>
    <mergeCell ref="T14:T15"/>
    <mergeCell ref="V14:V15"/>
    <mergeCell ref="W14:W15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M6:M7"/>
    <mergeCell ref="N6:N7"/>
    <mergeCell ref="P6:P7"/>
    <mergeCell ref="Y10:Y11"/>
    <mergeCell ref="Z10:Z11"/>
    <mergeCell ref="J10:J11"/>
    <mergeCell ref="K10:K11"/>
    <mergeCell ref="M10:M11"/>
    <mergeCell ref="N10:N11"/>
    <mergeCell ref="P10:P11"/>
    <mergeCell ref="Y12:Y13"/>
    <mergeCell ref="Z12:Z13"/>
    <mergeCell ref="Q12:Q13"/>
    <mergeCell ref="S12:S13"/>
    <mergeCell ref="Q10:Q11"/>
    <mergeCell ref="T12:T13"/>
    <mergeCell ref="V12:V13"/>
    <mergeCell ref="W12:W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K16:K17"/>
    <mergeCell ref="M16:M17"/>
    <mergeCell ref="N16:N17"/>
    <mergeCell ref="P16:P17"/>
    <mergeCell ref="Q16:Q17"/>
    <mergeCell ref="A16:A17"/>
    <mergeCell ref="D16:D17"/>
    <mergeCell ref="E16:E17"/>
    <mergeCell ref="G16:G17"/>
    <mergeCell ref="H16:H17"/>
    <mergeCell ref="J16:J17"/>
    <mergeCell ref="E18:E19"/>
    <mergeCell ref="G18:G19"/>
    <mergeCell ref="H18:H19"/>
    <mergeCell ref="A18:A19"/>
    <mergeCell ref="D18:D19"/>
    <mergeCell ref="Z20:Z21"/>
    <mergeCell ref="K20:K21"/>
    <mergeCell ref="M20:M21"/>
    <mergeCell ref="N20:N21"/>
    <mergeCell ref="P20:P21"/>
    <mergeCell ref="Q20:Q21"/>
    <mergeCell ref="S20:S21"/>
    <mergeCell ref="W18:W19"/>
    <mergeCell ref="Y18:Y19"/>
    <mergeCell ref="Z18:Z19"/>
    <mergeCell ref="S18:S19"/>
    <mergeCell ref="T18:T19"/>
    <mergeCell ref="V18:V19"/>
    <mergeCell ref="A20:A21"/>
    <mergeCell ref="D20:D21"/>
    <mergeCell ref="E20:E21"/>
    <mergeCell ref="G20:G21"/>
    <mergeCell ref="H20:H21"/>
    <mergeCell ref="J20:J21"/>
    <mergeCell ref="V22:V23"/>
    <mergeCell ref="W22:W23"/>
    <mergeCell ref="Y22:Y23"/>
    <mergeCell ref="T20:T21"/>
    <mergeCell ref="V20:V21"/>
    <mergeCell ref="W20:W21"/>
    <mergeCell ref="Y20:Y21"/>
    <mergeCell ref="A22:A23"/>
    <mergeCell ref="D22:D23"/>
    <mergeCell ref="E22:E23"/>
    <mergeCell ref="G22:G23"/>
    <mergeCell ref="H22:H23"/>
    <mergeCell ref="S22:S23"/>
    <mergeCell ref="T22:T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Q24:Q25"/>
    <mergeCell ref="S24:S25"/>
    <mergeCell ref="K24:K25"/>
    <mergeCell ref="M24:M25"/>
    <mergeCell ref="N24:N25"/>
    <mergeCell ref="P24:P25"/>
    <mergeCell ref="A24:A25"/>
    <mergeCell ref="D24:D25"/>
    <mergeCell ref="E24:E25"/>
    <mergeCell ref="G24:G25"/>
    <mergeCell ref="H24:H25"/>
    <mergeCell ref="J24:J25"/>
    <mergeCell ref="A28:A29"/>
    <mergeCell ref="D28:D29"/>
    <mergeCell ref="E28:E29"/>
    <mergeCell ref="G28:G29"/>
    <mergeCell ref="H28:H29"/>
    <mergeCell ref="J28:J29"/>
    <mergeCell ref="A26:A27"/>
    <mergeCell ref="D26:D27"/>
    <mergeCell ref="E26:E27"/>
    <mergeCell ref="G26:G27"/>
    <mergeCell ref="H26:H27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W26:W27"/>
    <mergeCell ref="Y26:Y27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</mergeCells>
  <printOptions horizontalCentered="1" verticalCentered="1"/>
  <pageMargins left="0" right="0" top="0.19652777777777777" bottom="0.19652777777777777" header="0.51180555555555551" footer="0.51180555555555551"/>
  <pageSetup paperSize="9" scale="73" firstPageNumber="0" orientation="landscape" horizontalDpi="300" verticalDpi="30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7"/>
  <sheetViews>
    <sheetView workbookViewId="0">
      <selection activeCell="C3" sqref="C3"/>
    </sheetView>
  </sheetViews>
  <sheetFormatPr defaultRowHeight="14.5" x14ac:dyDescent="0.35"/>
  <cols>
    <col min="1" max="1" width="6.26953125" customWidth="1"/>
    <col min="2" max="2" width="8.81640625" customWidth="1"/>
  </cols>
  <sheetData>
    <row r="1" spans="1:14" x14ac:dyDescent="0.35">
      <c r="A1" s="24" t="s">
        <v>131</v>
      </c>
    </row>
    <row r="2" spans="1:14" ht="3.75" customHeight="1" x14ac:dyDescent="0.35">
      <c r="A2" s="24"/>
    </row>
    <row r="3" spans="1:14" x14ac:dyDescent="0.35">
      <c r="A3" s="106"/>
      <c r="B3" s="106"/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3</v>
      </c>
    </row>
    <row r="4" spans="1:14" ht="15" hidden="1" customHeight="1" x14ac:dyDescent="0.35">
      <c r="A4" s="84">
        <v>1850</v>
      </c>
      <c r="B4" s="84" t="s">
        <v>78</v>
      </c>
      <c r="C4" s="167">
        <f>('1850'!E27-'1850'!D27)</f>
        <v>47.610000000000014</v>
      </c>
      <c r="D4" s="167">
        <f>('1850'!F27-'1850'!E27)</f>
        <v>30.069999999999993</v>
      </c>
      <c r="E4" s="167">
        <f>('1850'!G27-'1850'!F27)</f>
        <v>-477.51</v>
      </c>
      <c r="F4" s="167">
        <f>('1850'!H27-'1850'!G27)</f>
        <v>0</v>
      </c>
      <c r="G4" s="167">
        <f>('1850'!I27-'1850'!H27)</f>
        <v>0</v>
      </c>
      <c r="H4" s="167">
        <f>('1850'!J27-'1850'!I27)</f>
        <v>0</v>
      </c>
      <c r="I4" s="167">
        <f>('1850'!K27-'1850'!J27)</f>
        <v>0</v>
      </c>
      <c r="J4" s="167">
        <f>('1850'!L27-'1850'!K27)</f>
        <v>0</v>
      </c>
      <c r="K4" s="173">
        <f>'1850'!M27-'1850'!L27</f>
        <v>0</v>
      </c>
      <c r="L4" s="173">
        <f>'1850'!N27-'1850'!M27</f>
        <v>0</v>
      </c>
      <c r="M4" s="173">
        <f>'1850'!O27-'1850'!N27</f>
        <v>0</v>
      </c>
      <c r="N4" s="173">
        <f>'1850'!P27-'1850'!O27</f>
        <v>0</v>
      </c>
    </row>
    <row r="5" spans="1:14" ht="17.25" hidden="1" customHeight="1" x14ac:dyDescent="0.35">
      <c r="A5" s="84">
        <v>1850</v>
      </c>
      <c r="B5" s="107" t="s">
        <v>96</v>
      </c>
      <c r="C5" s="108">
        <f>'1850'!E28-'1850'!D28</f>
        <v>329</v>
      </c>
      <c r="D5" s="108">
        <f>'1850'!F28-'1850'!E28</f>
        <v>204</v>
      </c>
      <c r="E5" s="108">
        <f>'1850'!G28-'1850'!F28</f>
        <v>-3866</v>
      </c>
      <c r="F5" s="108">
        <f>'1850'!H28-'1850'!G28</f>
        <v>0</v>
      </c>
      <c r="G5" s="108">
        <f>'1850'!I28-'1850'!H28</f>
        <v>0</v>
      </c>
      <c r="H5" s="108">
        <f>'1850'!J28-'1850'!I28</f>
        <v>0</v>
      </c>
      <c r="I5" s="108">
        <f>'1850'!K28-'1850'!J28</f>
        <v>0</v>
      </c>
      <c r="J5" s="174">
        <f>'1850'!L28-'1850'!K28</f>
        <v>0</v>
      </c>
      <c r="K5" s="174">
        <f>'1850'!M28-'1850'!L28</f>
        <v>0</v>
      </c>
      <c r="L5" s="174">
        <f>'1850'!N28-'1850'!M28</f>
        <v>0</v>
      </c>
      <c r="M5" s="174">
        <f>'1850'!O28-'1850'!N28</f>
        <v>0</v>
      </c>
      <c r="N5" s="174">
        <f>'1850'!P28-'1850'!O28</f>
        <v>0</v>
      </c>
    </row>
    <row r="6" spans="1:14" ht="16.5" x14ac:dyDescent="0.35">
      <c r="A6" s="84">
        <v>1850</v>
      </c>
      <c r="B6" s="107" t="s">
        <v>97</v>
      </c>
      <c r="C6" s="109">
        <f t="shared" ref="C6:D6" si="0">C4/C5*1000</f>
        <v>144.71124620060795</v>
      </c>
      <c r="D6" s="109">
        <f t="shared" si="0"/>
        <v>147.4019607843137</v>
      </c>
      <c r="E6" s="109"/>
      <c r="F6" s="109"/>
      <c r="G6" s="109"/>
      <c r="H6" s="109"/>
      <c r="I6" s="109"/>
      <c r="J6" s="109"/>
      <c r="K6" s="109"/>
      <c r="L6" s="109"/>
      <c r="M6" s="109"/>
      <c r="N6" s="109"/>
    </row>
    <row r="7" spans="1:14" ht="15" hidden="1" customHeight="1" x14ac:dyDescent="0.35">
      <c r="A7" s="84">
        <v>1851</v>
      </c>
      <c r="B7" s="84" t="s">
        <v>78</v>
      </c>
      <c r="C7" s="167">
        <f>('1851'!F27-'1851'!E27)</f>
        <v>52.200000000000045</v>
      </c>
      <c r="D7" s="167">
        <f>('1851'!G27-'1851'!F27)</f>
        <v>33.509999999999991</v>
      </c>
      <c r="E7" s="167"/>
      <c r="F7" s="167"/>
      <c r="G7" s="167"/>
      <c r="H7" s="167"/>
      <c r="I7" s="167"/>
      <c r="J7" s="167"/>
      <c r="K7" s="167"/>
      <c r="L7" s="167"/>
      <c r="M7" s="167"/>
      <c r="N7" s="167"/>
    </row>
    <row r="8" spans="1:14" ht="17.25" hidden="1" customHeight="1" x14ac:dyDescent="0.35">
      <c r="A8" s="84">
        <v>1851</v>
      </c>
      <c r="B8" s="107" t="s">
        <v>96</v>
      </c>
      <c r="C8" s="108">
        <f>'1851'!F28-'1851'!E28</f>
        <v>479</v>
      </c>
      <c r="D8" s="108">
        <f>'1851'!G28-'1851'!F28</f>
        <v>311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</row>
    <row r="9" spans="1:14" ht="16.5" x14ac:dyDescent="0.35">
      <c r="A9" s="84">
        <v>1851</v>
      </c>
      <c r="B9" s="107" t="s">
        <v>97</v>
      </c>
      <c r="C9" s="109">
        <f t="shared" ref="C9:D9" si="1">C7/C8*1000</f>
        <v>108.97703549060553</v>
      </c>
      <c r="D9" s="109">
        <f t="shared" si="1"/>
        <v>107.74919614147908</v>
      </c>
      <c r="E9" s="109"/>
      <c r="F9" s="109"/>
      <c r="G9" s="109"/>
      <c r="H9" s="109"/>
      <c r="I9" s="109"/>
      <c r="J9" s="109"/>
      <c r="K9" s="109"/>
      <c r="L9" s="109"/>
      <c r="M9" s="109"/>
      <c r="N9" s="109"/>
    </row>
    <row r="10" spans="1:14" ht="15" hidden="1" customHeight="1" x14ac:dyDescent="0.35">
      <c r="A10" s="84">
        <v>1852</v>
      </c>
      <c r="B10" s="84" t="s">
        <v>78</v>
      </c>
      <c r="C10" s="167">
        <f>('1852'!E27-'1852'!D27)</f>
        <v>49.840000000000032</v>
      </c>
      <c r="D10" s="167">
        <f>('1852'!F27-'1852'!E27)</f>
        <v>29.410000000000025</v>
      </c>
      <c r="E10" s="167"/>
      <c r="F10" s="167"/>
      <c r="G10" s="167"/>
      <c r="H10" s="167"/>
      <c r="I10" s="167"/>
      <c r="J10" s="167"/>
      <c r="K10" s="167"/>
      <c r="L10" s="167"/>
      <c r="M10" s="167"/>
      <c r="N10" s="167"/>
    </row>
    <row r="11" spans="1:14" ht="17.25" hidden="1" customHeight="1" x14ac:dyDescent="0.35">
      <c r="A11" s="84">
        <v>1852</v>
      </c>
      <c r="B11" s="107" t="s">
        <v>96</v>
      </c>
      <c r="C11" s="108">
        <f>'1852'!E28-'1852'!D28</f>
        <v>293</v>
      </c>
      <c r="D11" s="108">
        <f>'1852'!F28-'1852'!E28</f>
        <v>160</v>
      </c>
      <c r="E11" s="108"/>
      <c r="F11" s="108"/>
      <c r="G11" s="108"/>
      <c r="H11" s="108"/>
      <c r="I11" s="108"/>
      <c r="J11" s="108"/>
      <c r="K11" s="108"/>
      <c r="L11" s="108"/>
      <c r="M11" s="108"/>
      <c r="N11" s="108"/>
    </row>
    <row r="12" spans="1:14" ht="16.5" x14ac:dyDescent="0.35">
      <c r="A12" s="84">
        <v>1852</v>
      </c>
      <c r="B12" s="107" t="s">
        <v>97</v>
      </c>
      <c r="C12" s="109">
        <f t="shared" ref="C12:D12" si="2">C10/C11*1000</f>
        <v>170.10238907849839</v>
      </c>
      <c r="D12" s="109">
        <f t="shared" si="2"/>
        <v>183.81250000000017</v>
      </c>
      <c r="E12" s="109"/>
      <c r="F12" s="109"/>
      <c r="G12" s="109"/>
      <c r="H12" s="109"/>
      <c r="I12" s="109"/>
      <c r="J12" s="109"/>
      <c r="K12" s="109"/>
      <c r="L12" s="109"/>
      <c r="M12" s="109"/>
      <c r="N12" s="109"/>
    </row>
    <row r="13" spans="1:14" ht="15" hidden="1" customHeight="1" x14ac:dyDescent="0.35">
      <c r="A13" s="84">
        <v>1853</v>
      </c>
      <c r="B13" s="84" t="s">
        <v>78</v>
      </c>
      <c r="C13" s="167">
        <f>('1853'!E28-'1853'!D28)</f>
        <v>48.470000000000027</v>
      </c>
      <c r="D13" s="167">
        <f>('1853'!F28-'1853'!E28)</f>
        <v>29.569999999999993</v>
      </c>
      <c r="E13" s="167"/>
      <c r="F13" s="167"/>
      <c r="G13" s="167"/>
      <c r="H13" s="167"/>
      <c r="I13" s="167"/>
      <c r="J13" s="167"/>
      <c r="K13" s="167"/>
      <c r="L13" s="167"/>
      <c r="M13" s="167"/>
      <c r="N13" s="167"/>
    </row>
    <row r="14" spans="1:14" ht="17.25" hidden="1" customHeight="1" x14ac:dyDescent="0.35">
      <c r="A14" s="84">
        <v>1853</v>
      </c>
      <c r="B14" s="107" t="s">
        <v>96</v>
      </c>
      <c r="C14" s="108">
        <f>'1853'!E29-'1853'!D29</f>
        <v>308</v>
      </c>
      <c r="D14" s="108">
        <f>'1853'!F29-'1853'!E29</f>
        <v>178</v>
      </c>
      <c r="E14" s="108"/>
      <c r="F14" s="108"/>
      <c r="G14" s="108"/>
      <c r="H14" s="108"/>
      <c r="I14" s="108"/>
      <c r="J14" s="108"/>
      <c r="K14" s="108"/>
      <c r="L14" s="108"/>
      <c r="M14" s="108"/>
      <c r="N14" s="108"/>
    </row>
    <row r="15" spans="1:14" ht="16.5" x14ac:dyDescent="0.35">
      <c r="A15" s="84">
        <v>1853</v>
      </c>
      <c r="B15" s="107" t="s">
        <v>97</v>
      </c>
      <c r="C15" s="109">
        <f t="shared" ref="C15:D15" si="3">C13/C14*1000</f>
        <v>157.37012987012997</v>
      </c>
      <c r="D15" s="109">
        <f t="shared" si="3"/>
        <v>166.12359550561794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09"/>
    </row>
    <row r="16" spans="1:14" ht="15" hidden="1" customHeight="1" x14ac:dyDescent="0.35">
      <c r="A16" s="84">
        <v>1854</v>
      </c>
      <c r="B16" s="84" t="s">
        <v>78</v>
      </c>
      <c r="C16" s="167">
        <f>'1854'!E27-'1854'!D27</f>
        <v>49.029999999999973</v>
      </c>
      <c r="D16" s="167">
        <f>'1854'!F27-'1854'!E27</f>
        <v>31.700000000000045</v>
      </c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1:14" ht="17.25" hidden="1" customHeight="1" x14ac:dyDescent="0.35">
      <c r="A17" s="84">
        <v>1854</v>
      </c>
      <c r="B17" s="107" t="s">
        <v>96</v>
      </c>
      <c r="C17" s="108">
        <f>'1854'!E28-'1854'!D28</f>
        <v>302</v>
      </c>
      <c r="D17" s="108">
        <f>'1854'!F28-'1854'!E28</f>
        <v>190</v>
      </c>
      <c r="E17" s="108"/>
      <c r="F17" s="108"/>
      <c r="G17" s="108"/>
      <c r="H17" s="108"/>
      <c r="I17" s="108"/>
      <c r="J17" s="108"/>
      <c r="K17" s="108"/>
      <c r="L17" s="108"/>
      <c r="M17" s="108"/>
      <c r="N17" s="108"/>
    </row>
    <row r="18" spans="1:14" ht="16.5" x14ac:dyDescent="0.35">
      <c r="A18" s="84">
        <v>1854</v>
      </c>
      <c r="B18" s="107" t="s">
        <v>97</v>
      </c>
      <c r="C18" s="109">
        <f t="shared" ref="C18:D18" si="4">C16/C17*1000</f>
        <v>162.35099337748335</v>
      </c>
      <c r="D18" s="109">
        <f t="shared" si="4"/>
        <v>166.84210526315812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09"/>
    </row>
    <row r="19" spans="1:14" ht="15" hidden="1" customHeight="1" x14ac:dyDescent="0.35">
      <c r="A19" s="84">
        <v>1855</v>
      </c>
      <c r="B19" s="84" t="s">
        <v>78</v>
      </c>
      <c r="C19" s="167">
        <f>'1855'!E27-'1855'!D27</f>
        <v>51.669999999999845</v>
      </c>
      <c r="D19" s="167">
        <f>'1855'!F27-'1855'!E27</f>
        <v>31.680000000000064</v>
      </c>
      <c r="E19" s="167"/>
      <c r="F19" s="167"/>
      <c r="G19" s="167"/>
      <c r="H19" s="167"/>
      <c r="I19" s="167"/>
      <c r="J19" s="167"/>
      <c r="K19" s="167"/>
      <c r="L19" s="167"/>
      <c r="M19" s="167"/>
      <c r="N19" s="167"/>
    </row>
    <row r="20" spans="1:14" ht="17.25" hidden="1" customHeight="1" x14ac:dyDescent="0.35">
      <c r="A20" s="84">
        <v>1855</v>
      </c>
      <c r="B20" s="107" t="s">
        <v>96</v>
      </c>
      <c r="C20" s="108">
        <f>'1855'!E28-'1855'!D28</f>
        <v>423</v>
      </c>
      <c r="D20" s="108">
        <f>'1855'!F28-'1855'!E28</f>
        <v>218</v>
      </c>
      <c r="E20" s="108"/>
      <c r="F20" s="108"/>
      <c r="G20" s="108"/>
      <c r="H20" s="108"/>
      <c r="I20" s="108"/>
      <c r="J20" s="108"/>
      <c r="K20" s="108"/>
      <c r="L20" s="108"/>
      <c r="M20" s="108"/>
      <c r="N20" s="108"/>
    </row>
    <row r="21" spans="1:14" ht="16.5" x14ac:dyDescent="0.35">
      <c r="A21" s="84">
        <v>1855</v>
      </c>
      <c r="B21" s="107" t="s">
        <v>97</v>
      </c>
      <c r="C21" s="109">
        <f t="shared" ref="C21:D21" si="5">C19/C20*1000</f>
        <v>122.15130023640626</v>
      </c>
      <c r="D21" s="109">
        <f t="shared" si="5"/>
        <v>145.32110091743147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09"/>
    </row>
    <row r="22" spans="1:14" ht="15" hidden="1" customHeight="1" x14ac:dyDescent="0.35">
      <c r="A22" s="84">
        <v>1856</v>
      </c>
      <c r="B22" s="84" t="s">
        <v>78</v>
      </c>
      <c r="C22" s="167">
        <f>'1856'!E27-'1856'!D27</f>
        <v>49.179999999999836</v>
      </c>
      <c r="D22" s="167">
        <f>'1856'!F27-'1856'!E27</f>
        <v>27.470000000000027</v>
      </c>
      <c r="E22" s="167"/>
      <c r="F22" s="167"/>
      <c r="G22" s="167"/>
      <c r="H22" s="167"/>
      <c r="I22" s="167"/>
      <c r="J22" s="167"/>
      <c r="K22" s="167"/>
      <c r="L22" s="167"/>
      <c r="M22" s="167"/>
      <c r="N22" s="167"/>
    </row>
    <row r="23" spans="1:14" ht="17.25" hidden="1" customHeight="1" x14ac:dyDescent="0.35">
      <c r="A23" s="84">
        <v>1856</v>
      </c>
      <c r="B23" s="107" t="s">
        <v>96</v>
      </c>
      <c r="C23" s="108">
        <f>'1856'!E28-'1856'!D28</f>
        <v>313</v>
      </c>
      <c r="D23" s="108">
        <f>'1856'!F28-'1856'!E28</f>
        <v>172</v>
      </c>
      <c r="E23" s="108"/>
      <c r="F23" s="108"/>
      <c r="G23" s="108"/>
      <c r="H23" s="108"/>
      <c r="I23" s="108"/>
      <c r="J23" s="108"/>
      <c r="K23" s="108"/>
      <c r="L23" s="108"/>
      <c r="M23" s="108"/>
      <c r="N23" s="108"/>
    </row>
    <row r="24" spans="1:14" ht="16.5" x14ac:dyDescent="0.35">
      <c r="A24" s="84">
        <v>1856</v>
      </c>
      <c r="B24" s="107" t="s">
        <v>97</v>
      </c>
      <c r="C24" s="109">
        <f t="shared" ref="C24:D24" si="6">C22/C23*1000</f>
        <v>157.12460063897711</v>
      </c>
      <c r="D24" s="109">
        <f t="shared" si="6"/>
        <v>159.70930232558155</v>
      </c>
      <c r="E24" s="109"/>
      <c r="F24" s="109"/>
      <c r="G24" s="109"/>
      <c r="H24" s="109"/>
      <c r="I24" s="109"/>
      <c r="J24" s="109"/>
      <c r="K24" s="109"/>
      <c r="L24" s="109"/>
      <c r="M24" s="109"/>
      <c r="N24" s="109"/>
    </row>
    <row r="25" spans="1:14" ht="15" hidden="1" customHeight="1" x14ac:dyDescent="0.35">
      <c r="A25" s="84">
        <v>1857</v>
      </c>
      <c r="B25" s="84" t="s">
        <v>78</v>
      </c>
      <c r="C25" s="167">
        <f>'1857'!E27-'1857'!D27</f>
        <v>52.070000000000164</v>
      </c>
      <c r="D25" s="167">
        <f>'1857'!F27-'1857'!E27</f>
        <v>32.75</v>
      </c>
      <c r="E25" s="167"/>
      <c r="F25" s="167"/>
      <c r="G25" s="167"/>
      <c r="H25" s="167"/>
      <c r="I25" s="167"/>
      <c r="J25" s="167"/>
      <c r="K25" s="167"/>
      <c r="L25" s="167"/>
      <c r="M25" s="167"/>
      <c r="N25" s="167"/>
    </row>
    <row r="26" spans="1:14" ht="17.25" hidden="1" customHeight="1" x14ac:dyDescent="0.35">
      <c r="A26" s="84">
        <v>1857</v>
      </c>
      <c r="B26" s="107" t="s">
        <v>96</v>
      </c>
      <c r="C26" s="108">
        <f>'1857'!E28-'1857'!D28</f>
        <v>408</v>
      </c>
      <c r="D26" s="108">
        <f>'1857'!F28-'1857'!E28</f>
        <v>238</v>
      </c>
      <c r="E26" s="108"/>
      <c r="F26" s="108"/>
      <c r="G26" s="108"/>
      <c r="H26" s="108"/>
      <c r="I26" s="108"/>
      <c r="J26" s="108"/>
      <c r="K26" s="108"/>
      <c r="L26" s="108"/>
      <c r="M26" s="108"/>
      <c r="N26" s="108"/>
    </row>
    <row r="27" spans="1:14" ht="16.5" x14ac:dyDescent="0.35">
      <c r="A27" s="84">
        <v>1857</v>
      </c>
      <c r="B27" s="107" t="s">
        <v>97</v>
      </c>
      <c r="C27" s="109">
        <f t="shared" ref="C27:D27" si="7">C25/C26*1000</f>
        <v>127.62254901960823</v>
      </c>
      <c r="D27" s="109">
        <f t="shared" si="7"/>
        <v>137.60504201680672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09"/>
    </row>
  </sheetData>
  <conditionalFormatting sqref="D4:N5">
    <cfRule type="cellIs" dxfId="3" priority="4" stopIfTrue="1" operator="equal">
      <formula>0</formula>
    </cfRule>
    <cfRule type="cellIs" dxfId="2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14"/>
  <sheetViews>
    <sheetView zoomScaleNormal="100" workbookViewId="0">
      <selection activeCell="E4" sqref="E4"/>
    </sheetView>
  </sheetViews>
  <sheetFormatPr defaultRowHeight="14.5" x14ac:dyDescent="0.35"/>
  <cols>
    <col min="1" max="1" width="9" customWidth="1"/>
    <col min="2" max="2" width="8.81640625" customWidth="1"/>
    <col min="16" max="16" width="8.7265625" customWidth="1"/>
    <col min="21" max="21" width="2.81640625" customWidth="1"/>
    <col min="23" max="23" width="9.26953125" customWidth="1"/>
  </cols>
  <sheetData>
    <row r="1" spans="1:24" x14ac:dyDescent="0.35">
      <c r="A1" s="24" t="s">
        <v>121</v>
      </c>
      <c r="E1" s="24" t="s">
        <v>120</v>
      </c>
      <c r="H1" s="24" t="s">
        <v>122</v>
      </c>
      <c r="O1" s="175">
        <f>'S1'!B1</f>
        <v>2026</v>
      </c>
    </row>
    <row r="2" spans="1:24" ht="2.25" customHeight="1" x14ac:dyDescent="0.35">
      <c r="A2" s="24"/>
      <c r="O2" s="176"/>
    </row>
    <row r="3" spans="1:24" ht="13.5" customHeight="1" x14ac:dyDescent="0.35">
      <c r="A3" s="106"/>
      <c r="B3" s="106"/>
      <c r="C3" s="84" t="s">
        <v>4</v>
      </c>
      <c r="D3" s="84" t="s">
        <v>5</v>
      </c>
      <c r="E3" s="84" t="s">
        <v>6</v>
      </c>
      <c r="F3" s="84" t="s">
        <v>7</v>
      </c>
      <c r="G3" s="84" t="s">
        <v>8</v>
      </c>
      <c r="H3" s="84" t="s">
        <v>9</v>
      </c>
      <c r="I3" s="84" t="s">
        <v>10</v>
      </c>
      <c r="J3" s="84" t="s">
        <v>11</v>
      </c>
      <c r="K3" s="84" t="s">
        <v>12</v>
      </c>
      <c r="L3" s="84" t="s">
        <v>13</v>
      </c>
      <c r="M3" s="84" t="s">
        <v>14</v>
      </c>
      <c r="N3" s="84" t="s">
        <v>3</v>
      </c>
      <c r="O3" s="175" t="s">
        <v>134</v>
      </c>
      <c r="Q3" s="159" t="s">
        <v>119</v>
      </c>
    </row>
    <row r="4" spans="1:24" ht="13.5" customHeight="1" x14ac:dyDescent="0.35">
      <c r="A4" s="84">
        <v>1850</v>
      </c>
      <c r="B4" s="84" t="s">
        <v>79</v>
      </c>
      <c r="C4" s="178">
        <f>'1850'!E26-'1850'!D26</f>
        <v>95.199999999999932</v>
      </c>
      <c r="D4" s="178">
        <f>'1850'!F26-'1850'!E26</f>
        <v>83.5</v>
      </c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9">
        <f>SUM(C4:N4)</f>
        <v>178.69999999999993</v>
      </c>
    </row>
    <row r="5" spans="1:24" ht="13.5" customHeight="1" x14ac:dyDescent="0.35">
      <c r="A5" s="84">
        <v>1851</v>
      </c>
      <c r="B5" s="84" t="s">
        <v>79</v>
      </c>
      <c r="C5" s="178">
        <f>'1851'!F26-'1851'!E26</f>
        <v>95</v>
      </c>
      <c r="D5" s="178">
        <f>'1851'!G26-'1851'!F26</f>
        <v>79.600000000000136</v>
      </c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9">
        <f t="shared" ref="O5:O14" si="0">SUM(C5:N5)</f>
        <v>174.60000000000014</v>
      </c>
    </row>
    <row r="6" spans="1:24" ht="13.5" customHeight="1" x14ac:dyDescent="0.35">
      <c r="A6" s="84">
        <v>1852</v>
      </c>
      <c r="B6" s="84" t="s">
        <v>79</v>
      </c>
      <c r="C6" s="178">
        <f>'1852'!E26-'1852'!D26</f>
        <v>77.400000000000091</v>
      </c>
      <c r="D6" s="178">
        <f>'1852'!F26-'1852'!E26</f>
        <v>75.5</v>
      </c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9">
        <f t="shared" si="0"/>
        <v>152.90000000000009</v>
      </c>
    </row>
    <row r="7" spans="1:24" ht="13.5" customHeight="1" x14ac:dyDescent="0.35">
      <c r="A7" s="84">
        <v>1853</v>
      </c>
      <c r="B7" s="84" t="s">
        <v>79</v>
      </c>
      <c r="C7" s="178">
        <f>'1853'!E27-'1853'!D27+'1853'!D26-'1853'!E26</f>
        <v>112.60000000000014</v>
      </c>
      <c r="D7" s="178">
        <f>'1853'!F27-'1853'!E27+'1853'!E26-'1853'!F26</f>
        <v>94.399999999999864</v>
      </c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9">
        <f t="shared" si="0"/>
        <v>207</v>
      </c>
    </row>
    <row r="8" spans="1:24" ht="13.5" customHeight="1" x14ac:dyDescent="0.35">
      <c r="A8" s="84">
        <v>1854</v>
      </c>
      <c r="B8" s="84" t="s">
        <v>79</v>
      </c>
      <c r="C8" s="178">
        <f>'1854'!E26-'1854'!D26</f>
        <v>64.199999999999932</v>
      </c>
      <c r="D8" s="178">
        <f>'1854'!F26-'1854'!E26</f>
        <v>58.200000000000045</v>
      </c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9">
        <f t="shared" si="0"/>
        <v>122.39999999999998</v>
      </c>
    </row>
    <row r="9" spans="1:24" ht="13.5" customHeight="1" x14ac:dyDescent="0.35">
      <c r="A9" s="84">
        <v>1855</v>
      </c>
      <c r="B9" s="84" t="s">
        <v>79</v>
      </c>
      <c r="C9" s="178">
        <f>'1855'!E26-'1855'!D26</f>
        <v>86.600000000000136</v>
      </c>
      <c r="D9" s="178">
        <f>'1855'!F26-'1855'!E26</f>
        <v>72.199999999999818</v>
      </c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9">
        <f t="shared" si="0"/>
        <v>158.79999999999995</v>
      </c>
    </row>
    <row r="10" spans="1:24" ht="13.5" customHeight="1" x14ac:dyDescent="0.35">
      <c r="A10" s="84">
        <v>1856</v>
      </c>
      <c r="B10" s="84" t="s">
        <v>79</v>
      </c>
      <c r="C10" s="178">
        <f>'1856'!E26-'1856'!D26</f>
        <v>75.300000000000068</v>
      </c>
      <c r="D10" s="178">
        <f>'1856'!F26-'1856'!E26</f>
        <v>62.899999999999864</v>
      </c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9">
        <f t="shared" si="0"/>
        <v>138.19999999999993</v>
      </c>
    </row>
    <row r="11" spans="1:24" ht="13.5" customHeight="1" x14ac:dyDescent="0.35">
      <c r="A11" s="84">
        <v>1857</v>
      </c>
      <c r="B11" s="84" t="s">
        <v>79</v>
      </c>
      <c r="C11" s="178">
        <f>'1857'!E26-'1857'!D26</f>
        <v>102</v>
      </c>
      <c r="D11" s="178">
        <f>'1857'!F26-'1857'!E26</f>
        <v>82.299999999999955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9">
        <f t="shared" si="0"/>
        <v>184.29999999999995</v>
      </c>
    </row>
    <row r="12" spans="1:24" ht="13.5" customHeight="1" x14ac:dyDescent="0.35">
      <c r="A12" s="84" t="s">
        <v>132</v>
      </c>
      <c r="B12" s="84" t="s">
        <v>79</v>
      </c>
      <c r="C12" s="178">
        <f>'1850'!E29-'1850'!D29</f>
        <v>394.89999999999418</v>
      </c>
      <c r="D12" s="178">
        <f>'1850'!F29-'1850'!E29</f>
        <v>344.80000000000291</v>
      </c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9">
        <f t="shared" si="0"/>
        <v>739.69999999999709</v>
      </c>
    </row>
    <row r="13" spans="1:24" ht="13.5" customHeight="1" x14ac:dyDescent="0.35">
      <c r="A13" s="84" t="s">
        <v>133</v>
      </c>
      <c r="B13" s="84" t="s">
        <v>79</v>
      </c>
      <c r="C13" s="178">
        <f>'1854'!E29-'1854'!D29</f>
        <v>326.60000000000002</v>
      </c>
      <c r="D13" s="178">
        <f>'1854'!F29-'1854'!E29</f>
        <v>276.79999999999995</v>
      </c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9">
        <f t="shared" si="0"/>
        <v>603.4</v>
      </c>
    </row>
    <row r="14" spans="1:24" ht="13.5" customHeight="1" x14ac:dyDescent="0.35">
      <c r="A14" s="106" t="s">
        <v>118</v>
      </c>
      <c r="B14" s="84" t="s">
        <v>79</v>
      </c>
      <c r="C14" s="180">
        <f>'1853'!E26-'1853'!D26</f>
        <v>0</v>
      </c>
      <c r="D14" s="180">
        <f>'1853'!F26-'1853'!E26</f>
        <v>0</v>
      </c>
      <c r="E14" s="180"/>
      <c r="F14" s="180"/>
      <c r="G14" s="180"/>
      <c r="H14" s="180"/>
      <c r="I14" s="180"/>
      <c r="J14" s="180"/>
      <c r="K14" s="180"/>
      <c r="L14" s="180"/>
      <c r="M14" s="180"/>
      <c r="N14" s="180"/>
      <c r="O14" s="181">
        <f t="shared" si="0"/>
        <v>0</v>
      </c>
      <c r="X14" t="s">
        <v>271</v>
      </c>
    </row>
  </sheetData>
  <conditionalFormatting sqref="O4:O14">
    <cfRule type="cellIs" dxfId="1" priority="1" stopIfTrue="1" operator="equal">
      <formula>0</formula>
    </cfRule>
    <cfRule type="cellIs" dxfId="0" priority="2" stopIfTrue="1" operator="lessThan">
      <formula>0</formula>
    </cfRule>
  </conditionalFormatting>
  <pageMargins left="0.70866141732283472" right="0.70866141732283472" top="0.78740157480314965" bottom="0.78740157480314965" header="0.31496062992125984" footer="0.31496062992125984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28</vt:i4>
      </vt:variant>
      <vt:variant>
        <vt:lpstr>Pojmenované oblasti</vt:lpstr>
      </vt:variant>
      <vt:variant>
        <vt:i4>11</vt:i4>
      </vt:variant>
    </vt:vector>
  </HeadingPairs>
  <TitlesOfParts>
    <vt:vector size="39" baseType="lpstr">
      <vt:lpstr>Byty odkazy</vt:lpstr>
      <vt:lpstr>Byty hodnoty</vt:lpstr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Rozdíly (2)</vt:lpstr>
      <vt:lpstr>S 2025</vt:lpstr>
      <vt:lpstr>S 2024 %</vt:lpstr>
      <vt:lpstr>Rozdíly</vt:lpstr>
      <vt:lpstr>Teplo-Paty</vt:lpstr>
      <vt:lpstr>Voda-Paty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  <vt:lpstr>'Byty hodnoty'!Oblast_tisku</vt:lpstr>
      <vt:lpstr>'Byty odkazy'!Oblast_tisku</vt:lpstr>
      <vt:lpstr>'S 2025'!Oblast_tisku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Mraz</cp:lastModifiedBy>
  <cp:lastPrinted>2026-02-02T12:36:12Z</cp:lastPrinted>
  <dcterms:created xsi:type="dcterms:W3CDTF">2013-05-06T13:45:20Z</dcterms:created>
  <dcterms:modified xsi:type="dcterms:W3CDTF">2026-03-05T12:52:24Z</dcterms:modified>
</cp:coreProperties>
</file>