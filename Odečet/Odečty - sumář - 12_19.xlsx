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743" firstSheet="3" activeTab="20"/>
  </bookViews>
  <sheets>
    <sheet name="1850" sheetId="1" r:id="rId1"/>
    <sheet name="1851" sheetId="2" r:id="rId2"/>
    <sheet name="1852" sheetId="3" r:id="rId3"/>
    <sheet name="1853" sheetId="4" r:id="rId4"/>
    <sheet name="1854" sheetId="5" r:id="rId5"/>
    <sheet name="1855" sheetId="6" r:id="rId6"/>
    <sheet name="1856" sheetId="7" r:id="rId7"/>
    <sheet name="1857" sheetId="8" r:id="rId8"/>
    <sheet name="S1" sheetId="9" r:id="rId9"/>
    <sheet name="S2" sheetId="10" r:id="rId10"/>
    <sheet name="S3" sheetId="11" r:id="rId11"/>
    <sheet name="S4" sheetId="12" r:id="rId12"/>
    <sheet name="S5" sheetId="13" r:id="rId13"/>
    <sheet name="S6" sheetId="14" r:id="rId14"/>
    <sheet name="S7" sheetId="15" r:id="rId15"/>
    <sheet name="S8" sheetId="16" r:id="rId16"/>
    <sheet name="S9" sheetId="24" r:id="rId17"/>
    <sheet name="S10" sheetId="18" r:id="rId18"/>
    <sheet name="S11" sheetId="19" r:id="rId19"/>
    <sheet name="S 29.11.-5.12." sheetId="26" r:id="rId20"/>
    <sheet name="S12" sheetId="20" r:id="rId21"/>
    <sheet name="S 2019" sheetId="23" r:id="rId22"/>
    <sheet name="Rozdíly" sheetId="21" r:id="rId23"/>
    <sheet name="Rozdíly (2)" sheetId="22" state="hidden" r:id="rId24"/>
    <sheet name="Paty" sheetId="25" r:id="rId25"/>
  </sheets>
  <definedNames>
    <definedName name="_xlnm.Print_Area" localSheetId="0">'1850'!$A$1:$O$32</definedName>
    <definedName name="_xlnm.Print_Area" localSheetId="1">'1851'!$A$1:$P$52</definedName>
    <definedName name="_xlnm.Print_Area" localSheetId="2">'1852'!$A$1:$O$31</definedName>
    <definedName name="_xlnm.Print_Area" localSheetId="3">'1853'!$A$1:$O$34</definedName>
    <definedName name="_xlnm.Print_Area" localSheetId="4">'1854'!$A$1:$O$31</definedName>
    <definedName name="_xlnm.Print_Area" localSheetId="5">'1855'!$A$1:$O$32</definedName>
    <definedName name="_xlnm.Print_Area" localSheetId="6">'1856'!$A$1:$O$32</definedName>
    <definedName name="_xlnm.Print_Area" localSheetId="7">'1857'!$A$1:$O$32</definedName>
  </definedNames>
  <calcPr calcId="124519"/>
</workbook>
</file>

<file path=xl/calcChain.xml><?xml version="1.0" encoding="utf-8"?>
<calcChain xmlns="http://schemas.openxmlformats.org/spreadsheetml/2006/main">
  <c r="H13" i="25"/>
  <c r="H10"/>
  <c r="H7"/>
  <c r="H4"/>
  <c r="B6" i="20" l="1"/>
  <c r="B21"/>
  <c r="S26" i="8"/>
  <c r="S16"/>
  <c r="S14"/>
  <c r="S12"/>
  <c r="S8"/>
  <c r="S6"/>
  <c r="S10"/>
  <c r="S18"/>
  <c r="S20"/>
  <c r="S22"/>
  <c r="S4"/>
  <c r="S26" i="7"/>
  <c r="S20"/>
  <c r="S16"/>
  <c r="S6"/>
  <c r="S8"/>
  <c r="S10"/>
  <c r="S12"/>
  <c r="S14"/>
  <c r="S18"/>
  <c r="S22"/>
  <c r="S4"/>
  <c r="B19" i="23"/>
  <c r="C19"/>
  <c r="C20"/>
  <c r="S20" i="6"/>
  <c r="S18"/>
  <c r="S14"/>
  <c r="S6"/>
  <c r="S4"/>
  <c r="S26"/>
  <c r="S8"/>
  <c r="S10"/>
  <c r="S12"/>
  <c r="S16"/>
  <c r="S22"/>
  <c r="B20" i="23"/>
  <c r="S26" i="5"/>
  <c r="S18"/>
  <c r="S6"/>
  <c r="S8"/>
  <c r="S10"/>
  <c r="S12"/>
  <c r="S14"/>
  <c r="S16"/>
  <c r="S20"/>
  <c r="S22"/>
  <c r="S4"/>
  <c r="AF4" i="4"/>
  <c r="AF6"/>
  <c r="AF8"/>
  <c r="AF10"/>
  <c r="AF12"/>
  <c r="AF14"/>
  <c r="AF16"/>
  <c r="AF18"/>
  <c r="AF20"/>
  <c r="AF22"/>
  <c r="L29" i="21"/>
  <c r="I29"/>
  <c r="F29"/>
  <c r="C29"/>
  <c r="N28"/>
  <c r="M28"/>
  <c r="L28"/>
  <c r="J28"/>
  <c r="K28" s="1"/>
  <c r="I28"/>
  <c r="G28"/>
  <c r="H28" s="1"/>
  <c r="F28"/>
  <c r="D28"/>
  <c r="E28" s="1"/>
  <c r="C28"/>
  <c r="E10" i="23"/>
  <c r="D10"/>
  <c r="C10"/>
  <c r="B10"/>
  <c r="B7"/>
  <c r="E5"/>
  <c r="D5"/>
  <c r="C5"/>
  <c r="Q27" i="4"/>
  <c r="Q6"/>
  <c r="Q8"/>
  <c r="Q10"/>
  <c r="Q12"/>
  <c r="Q14"/>
  <c r="Q16"/>
  <c r="Q18"/>
  <c r="Q20"/>
  <c r="Q22"/>
  <c r="Q4"/>
  <c r="R28"/>
  <c r="AF4" i="3"/>
  <c r="AF6"/>
  <c r="AF8"/>
  <c r="AF10"/>
  <c r="AF12"/>
  <c r="AF14"/>
  <c r="AF16"/>
  <c r="AF18"/>
  <c r="AF20"/>
  <c r="AF22"/>
  <c r="R27"/>
  <c r="Q26"/>
  <c r="Q6"/>
  <c r="Q8"/>
  <c r="Q10"/>
  <c r="Q12"/>
  <c r="Q14"/>
  <c r="Q16"/>
  <c r="Q18"/>
  <c r="Q20"/>
  <c r="Q22"/>
  <c r="Q4"/>
  <c r="Q30" i="4"/>
  <c r="Q29" i="3"/>
  <c r="R29" i="2"/>
  <c r="D29"/>
  <c r="AG33"/>
  <c r="AG34"/>
  <c r="AG35"/>
  <c r="AG36"/>
  <c r="AG37"/>
  <c r="AG40"/>
  <c r="AG41"/>
  <c r="AG42"/>
  <c r="AG43"/>
  <c r="AG44"/>
  <c r="AG45"/>
  <c r="AG46"/>
  <c r="AG47"/>
  <c r="AG48"/>
  <c r="AG49"/>
  <c r="AG4"/>
  <c r="AG6"/>
  <c r="AG8"/>
  <c r="AG10"/>
  <c r="AG12"/>
  <c r="AG14"/>
  <c r="AG16"/>
  <c r="AG18"/>
  <c r="AG20"/>
  <c r="AG22"/>
  <c r="S27"/>
  <c r="R26"/>
  <c r="R41"/>
  <c r="R42"/>
  <c r="R43"/>
  <c r="R44"/>
  <c r="R45"/>
  <c r="R46"/>
  <c r="R47"/>
  <c r="R48"/>
  <c r="R49"/>
  <c r="R40"/>
  <c r="R34"/>
  <c r="R35"/>
  <c r="R36"/>
  <c r="R37"/>
  <c r="R33"/>
  <c r="R6"/>
  <c r="R8"/>
  <c r="R10"/>
  <c r="R12"/>
  <c r="R14"/>
  <c r="R16"/>
  <c r="R18"/>
  <c r="R20"/>
  <c r="R22"/>
  <c r="R4"/>
  <c r="R2" i="8"/>
  <c r="R2" i="7"/>
  <c r="R2" i="6"/>
  <c r="R2" i="5"/>
  <c r="P2" i="4"/>
  <c r="Q2" i="2"/>
  <c r="P2" i="3"/>
  <c r="O2"/>
  <c r="B5" i="23"/>
  <c r="T27" i="1"/>
  <c r="S22"/>
  <c r="S6"/>
  <c r="S8"/>
  <c r="S10"/>
  <c r="S12"/>
  <c r="S14"/>
  <c r="S16"/>
  <c r="S18"/>
  <c r="S20"/>
  <c r="S4"/>
  <c r="S26"/>
  <c r="S29"/>
  <c r="K25" i="23"/>
  <c r="R20" l="1"/>
  <c r="E10" i="26"/>
  <c r="E9"/>
  <c r="D10"/>
  <c r="D9"/>
  <c r="C10"/>
  <c r="C9"/>
  <c r="B10"/>
  <c r="B9"/>
  <c r="B5"/>
  <c r="B4"/>
  <c r="B4" i="19"/>
  <c r="C1" i="26" l="1"/>
  <c r="J9"/>
  <c r="I9"/>
  <c r="H9"/>
  <c r="G9"/>
  <c r="E20" i="20"/>
  <c r="E20" i="23" s="1"/>
  <c r="E19" i="20"/>
  <c r="AH8" i="8"/>
  <c r="AH10"/>
  <c r="AH12"/>
  <c r="AH14"/>
  <c r="AH16"/>
  <c r="AH18"/>
  <c r="AH20"/>
  <c r="AH22"/>
  <c r="AH6"/>
  <c r="AH4"/>
  <c r="P2"/>
  <c r="Q2"/>
  <c r="D20" i="20"/>
  <c r="D20" i="23" s="1"/>
  <c r="D19" i="20"/>
  <c r="AH8" i="7"/>
  <c r="AH10"/>
  <c r="AH12"/>
  <c r="AH14"/>
  <c r="AH16"/>
  <c r="AH18"/>
  <c r="AH20"/>
  <c r="AH22"/>
  <c r="AH6"/>
  <c r="AH4"/>
  <c r="P2"/>
  <c r="Q2"/>
  <c r="C20" i="20"/>
  <c r="C19"/>
  <c r="H19" s="1"/>
  <c r="AH8" i="6"/>
  <c r="AH10"/>
  <c r="AH12"/>
  <c r="AH14"/>
  <c r="AH16"/>
  <c r="AH18"/>
  <c r="AH20"/>
  <c r="AH22"/>
  <c r="AH6"/>
  <c r="AH4"/>
  <c r="P2"/>
  <c r="Q2"/>
  <c r="B20" i="20"/>
  <c r="B19"/>
  <c r="G19" s="1"/>
  <c r="AH8" i="5"/>
  <c r="AH10"/>
  <c r="AH12"/>
  <c r="AH14"/>
  <c r="AH16"/>
  <c r="AH18"/>
  <c r="AH20"/>
  <c r="AH22"/>
  <c r="AH6"/>
  <c r="AH4"/>
  <c r="P2"/>
  <c r="Q2"/>
  <c r="B5" i="20"/>
  <c r="B4"/>
  <c r="G4" s="1"/>
  <c r="AH8" i="1"/>
  <c r="AH10"/>
  <c r="AH12"/>
  <c r="AH14"/>
  <c r="AH16"/>
  <c r="AH18"/>
  <c r="AH20"/>
  <c r="AH22"/>
  <c r="AH6"/>
  <c r="AH4"/>
  <c r="AF49" i="2"/>
  <c r="AE49"/>
  <c r="AD49"/>
  <c r="AC49"/>
  <c r="AB49"/>
  <c r="AA49"/>
  <c r="Z49"/>
  <c r="Y49"/>
  <c r="X49"/>
  <c r="W49"/>
  <c r="V49"/>
  <c r="AF48"/>
  <c r="AE48"/>
  <c r="AD48"/>
  <c r="AC48"/>
  <c r="AB48"/>
  <c r="AA48"/>
  <c r="Z48"/>
  <c r="Y48"/>
  <c r="X48"/>
  <c r="W48"/>
  <c r="V48"/>
  <c r="AF47"/>
  <c r="AE47"/>
  <c r="AD47"/>
  <c r="AC47"/>
  <c r="AB47"/>
  <c r="AA47"/>
  <c r="Z47"/>
  <c r="Y47"/>
  <c r="X47"/>
  <c r="W47"/>
  <c r="V47"/>
  <c r="AF46"/>
  <c r="AE46"/>
  <c r="AD46"/>
  <c r="AC46"/>
  <c r="AB46"/>
  <c r="AA46"/>
  <c r="Z46"/>
  <c r="Y46"/>
  <c r="X46"/>
  <c r="W46"/>
  <c r="V46"/>
  <c r="AF45"/>
  <c r="AE45"/>
  <c r="AD45"/>
  <c r="AC45"/>
  <c r="AB45"/>
  <c r="AA45"/>
  <c r="Z45"/>
  <c r="Y45"/>
  <c r="X45"/>
  <c r="W45"/>
  <c r="V45"/>
  <c r="AF44"/>
  <c r="AE44"/>
  <c r="AD44"/>
  <c r="AC44"/>
  <c r="AB44"/>
  <c r="AA44"/>
  <c r="Z44"/>
  <c r="Y44"/>
  <c r="X44"/>
  <c r="W44"/>
  <c r="V44"/>
  <c r="AF43"/>
  <c r="AE43"/>
  <c r="AD43"/>
  <c r="AC43"/>
  <c r="AB43"/>
  <c r="AA43"/>
  <c r="Z43"/>
  <c r="Y43"/>
  <c r="X43"/>
  <c r="W43"/>
  <c r="V43"/>
  <c r="AF42"/>
  <c r="AE42"/>
  <c r="AD42"/>
  <c r="AC42"/>
  <c r="AB42"/>
  <c r="AA42"/>
  <c r="Z42"/>
  <c r="Y42"/>
  <c r="X42"/>
  <c r="W42"/>
  <c r="V42"/>
  <c r="AF41"/>
  <c r="AE41"/>
  <c r="AD41"/>
  <c r="AC41"/>
  <c r="AB41"/>
  <c r="AA41"/>
  <c r="Z41"/>
  <c r="Y41"/>
  <c r="X41"/>
  <c r="W41"/>
  <c r="V41"/>
  <c r="AF40"/>
  <c r="AE40"/>
  <c r="AD40"/>
  <c r="AC40"/>
  <c r="AB40"/>
  <c r="AA40"/>
  <c r="Z40"/>
  <c r="Y40"/>
  <c r="X40"/>
  <c r="W40"/>
  <c r="V40"/>
  <c r="AF37"/>
  <c r="AE37"/>
  <c r="AD37"/>
  <c r="AC37"/>
  <c r="AB37"/>
  <c r="AA37"/>
  <c r="Z37"/>
  <c r="Y37"/>
  <c r="X37"/>
  <c r="W37"/>
  <c r="V37"/>
  <c r="AF36"/>
  <c r="AE36"/>
  <c r="AD36"/>
  <c r="AC36"/>
  <c r="AB36"/>
  <c r="AA36"/>
  <c r="Z36"/>
  <c r="Y36"/>
  <c r="X36"/>
  <c r="W36"/>
  <c r="V36"/>
  <c r="AF35"/>
  <c r="AE35"/>
  <c r="AD35"/>
  <c r="AC35"/>
  <c r="AB35"/>
  <c r="AA35"/>
  <c r="Z35"/>
  <c r="Y35"/>
  <c r="X35"/>
  <c r="W35"/>
  <c r="V35"/>
  <c r="AF34"/>
  <c r="AE34"/>
  <c r="AD34"/>
  <c r="AC34"/>
  <c r="AB34"/>
  <c r="AA34"/>
  <c r="Z34"/>
  <c r="Y34"/>
  <c r="X34"/>
  <c r="W34"/>
  <c r="V34"/>
  <c r="AF33"/>
  <c r="AE33"/>
  <c r="AD33"/>
  <c r="AC33"/>
  <c r="AB33"/>
  <c r="AA33"/>
  <c r="Z33"/>
  <c r="Y33"/>
  <c r="X33"/>
  <c r="W33"/>
  <c r="V33"/>
  <c r="AF22"/>
  <c r="AE22"/>
  <c r="AD22"/>
  <c r="AC22"/>
  <c r="AB22"/>
  <c r="AA22"/>
  <c r="Z22"/>
  <c r="Y22"/>
  <c r="X22"/>
  <c r="W22"/>
  <c r="V22"/>
  <c r="AF20"/>
  <c r="AE20"/>
  <c r="AD20"/>
  <c r="AC20"/>
  <c r="AB20"/>
  <c r="AA20"/>
  <c r="Z20"/>
  <c r="Y20"/>
  <c r="X20"/>
  <c r="W20"/>
  <c r="V20"/>
  <c r="AF18"/>
  <c r="AE18"/>
  <c r="AD18"/>
  <c r="AC18"/>
  <c r="AB18"/>
  <c r="AA18"/>
  <c r="Z18"/>
  <c r="Y18"/>
  <c r="X18"/>
  <c r="W18"/>
  <c r="V18"/>
  <c r="AF16"/>
  <c r="AE16"/>
  <c r="AD16"/>
  <c r="AC16"/>
  <c r="AB16"/>
  <c r="AA16"/>
  <c r="Z16"/>
  <c r="Y16"/>
  <c r="X16"/>
  <c r="W16"/>
  <c r="V16"/>
  <c r="AF14"/>
  <c r="AE14"/>
  <c r="AD14"/>
  <c r="AC14"/>
  <c r="AB14"/>
  <c r="AA14"/>
  <c r="Z14"/>
  <c r="Y14"/>
  <c r="X14"/>
  <c r="W14"/>
  <c r="V14"/>
  <c r="AF12"/>
  <c r="AE12"/>
  <c r="AD12"/>
  <c r="AC12"/>
  <c r="AB12"/>
  <c r="AA12"/>
  <c r="Z12"/>
  <c r="Y12"/>
  <c r="X12"/>
  <c r="W12"/>
  <c r="V12"/>
  <c r="AF10"/>
  <c r="AE10"/>
  <c r="AD10"/>
  <c r="AC10"/>
  <c r="AB10"/>
  <c r="AA10"/>
  <c r="Z10"/>
  <c r="Y10"/>
  <c r="X10"/>
  <c r="W10"/>
  <c r="V10"/>
  <c r="AF8"/>
  <c r="AE8"/>
  <c r="AD8"/>
  <c r="AC8"/>
  <c r="AB8"/>
  <c r="AA8"/>
  <c r="Z8"/>
  <c r="Y8"/>
  <c r="X8"/>
  <c r="W8"/>
  <c r="V8"/>
  <c r="AF6"/>
  <c r="AE6"/>
  <c r="AD6"/>
  <c r="AC6"/>
  <c r="AB6"/>
  <c r="AA6"/>
  <c r="Z6"/>
  <c r="Y6"/>
  <c r="X6"/>
  <c r="W6"/>
  <c r="V6"/>
  <c r="AF4"/>
  <c r="AE4"/>
  <c r="AD4"/>
  <c r="AC4"/>
  <c r="AB4"/>
  <c r="AA4"/>
  <c r="Z4"/>
  <c r="Y4"/>
  <c r="X4"/>
  <c r="W4"/>
  <c r="V4"/>
  <c r="AG22" i="1"/>
  <c r="AF22"/>
  <c r="AE22"/>
  <c r="AD22"/>
  <c r="AC22"/>
  <c r="AB22"/>
  <c r="AA22"/>
  <c r="Z22"/>
  <c r="Y22"/>
  <c r="X22"/>
  <c r="W22"/>
  <c r="AG20"/>
  <c r="AF20"/>
  <c r="AE20"/>
  <c r="AD20"/>
  <c r="AC20"/>
  <c r="AB20"/>
  <c r="AA20"/>
  <c r="Z20"/>
  <c r="Y20"/>
  <c r="X20"/>
  <c r="W20"/>
  <c r="AG18"/>
  <c r="AF18"/>
  <c r="AE18"/>
  <c r="AD18"/>
  <c r="AC18"/>
  <c r="AB18"/>
  <c r="AA18"/>
  <c r="Z18"/>
  <c r="Y18"/>
  <c r="X18"/>
  <c r="W18"/>
  <c r="AG16"/>
  <c r="AF16"/>
  <c r="AE16"/>
  <c r="AD16"/>
  <c r="AC16"/>
  <c r="AB16"/>
  <c r="AA16"/>
  <c r="Z16"/>
  <c r="Y16"/>
  <c r="X16"/>
  <c r="W16"/>
  <c r="AG14"/>
  <c r="AF14"/>
  <c r="AE14"/>
  <c r="AD14"/>
  <c r="AC14"/>
  <c r="AB14"/>
  <c r="AA14"/>
  <c r="Z14"/>
  <c r="Y14"/>
  <c r="X14"/>
  <c r="W14"/>
  <c r="AG12"/>
  <c r="AF12"/>
  <c r="AE12"/>
  <c r="AD12"/>
  <c r="AC12"/>
  <c r="AB12"/>
  <c r="AA12"/>
  <c r="Z12"/>
  <c r="Y12"/>
  <c r="X12"/>
  <c r="W12"/>
  <c r="AG10"/>
  <c r="AF10"/>
  <c r="AE10"/>
  <c r="AD10"/>
  <c r="AC10"/>
  <c r="AB10"/>
  <c r="AA10"/>
  <c r="Z10"/>
  <c r="Y10"/>
  <c r="X10"/>
  <c r="W10"/>
  <c r="AG8"/>
  <c r="AF8"/>
  <c r="AE8"/>
  <c r="AD8"/>
  <c r="AC8"/>
  <c r="AB8"/>
  <c r="AA8"/>
  <c r="Z8"/>
  <c r="Y8"/>
  <c r="X8"/>
  <c r="W8"/>
  <c r="AG6"/>
  <c r="AF6"/>
  <c r="AE6"/>
  <c r="AD6"/>
  <c r="AC6"/>
  <c r="AB6"/>
  <c r="AA6"/>
  <c r="Z6"/>
  <c r="Y6"/>
  <c r="X6"/>
  <c r="W6"/>
  <c r="AG4"/>
  <c r="AF4"/>
  <c r="AE4"/>
  <c r="AD4"/>
  <c r="AC4"/>
  <c r="AB4"/>
  <c r="AA4"/>
  <c r="Z4"/>
  <c r="Y4"/>
  <c r="X4"/>
  <c r="W4"/>
  <c r="AE22" i="3"/>
  <c r="AD22"/>
  <c r="AC22"/>
  <c r="AB22"/>
  <c r="AA22"/>
  <c r="Z22"/>
  <c r="Y22"/>
  <c r="X22"/>
  <c r="W22"/>
  <c r="V22"/>
  <c r="U22"/>
  <c r="AE20"/>
  <c r="AD20"/>
  <c r="AC20"/>
  <c r="AB20"/>
  <c r="AA20"/>
  <c r="Z20"/>
  <c r="Y20"/>
  <c r="X20"/>
  <c r="W20"/>
  <c r="V20"/>
  <c r="U20"/>
  <c r="AE18"/>
  <c r="AD18"/>
  <c r="AC18"/>
  <c r="AB18"/>
  <c r="AA18"/>
  <c r="Z18"/>
  <c r="Y18"/>
  <c r="X18"/>
  <c r="W18"/>
  <c r="V18"/>
  <c r="U18"/>
  <c r="AE16"/>
  <c r="AD16"/>
  <c r="AC16"/>
  <c r="AB16"/>
  <c r="AA16"/>
  <c r="Z16"/>
  <c r="Y16"/>
  <c r="X16"/>
  <c r="W16"/>
  <c r="V16"/>
  <c r="U16"/>
  <c r="AE14"/>
  <c r="AD14"/>
  <c r="AC14"/>
  <c r="AB14"/>
  <c r="AA14"/>
  <c r="Z14"/>
  <c r="Y14"/>
  <c r="X14"/>
  <c r="W14"/>
  <c r="V14"/>
  <c r="U14"/>
  <c r="AE12"/>
  <c r="AD12"/>
  <c r="AC12"/>
  <c r="AB12"/>
  <c r="AA12"/>
  <c r="Z12"/>
  <c r="Y12"/>
  <c r="X12"/>
  <c r="W12"/>
  <c r="V12"/>
  <c r="U12"/>
  <c r="AE10"/>
  <c r="AD10"/>
  <c r="AC10"/>
  <c r="AB10"/>
  <c r="AA10"/>
  <c r="Z10"/>
  <c r="Y10"/>
  <c r="X10"/>
  <c r="W10"/>
  <c r="V10"/>
  <c r="U10"/>
  <c r="AE8"/>
  <c r="AD8"/>
  <c r="AC8"/>
  <c r="AB8"/>
  <c r="AA8"/>
  <c r="Z8"/>
  <c r="Y8"/>
  <c r="X8"/>
  <c r="W8"/>
  <c r="V8"/>
  <c r="U8"/>
  <c r="AE6"/>
  <c r="AD6"/>
  <c r="AC6"/>
  <c r="AB6"/>
  <c r="AA6"/>
  <c r="Z6"/>
  <c r="Y6"/>
  <c r="X6"/>
  <c r="W6"/>
  <c r="V6"/>
  <c r="U6"/>
  <c r="AE4"/>
  <c r="AD4"/>
  <c r="AC4"/>
  <c r="AB4"/>
  <c r="AA4"/>
  <c r="Z4"/>
  <c r="Y4"/>
  <c r="X4"/>
  <c r="W4"/>
  <c r="V4"/>
  <c r="U4"/>
  <c r="AE22" i="4"/>
  <c r="AD22"/>
  <c r="AC22"/>
  <c r="AB22"/>
  <c r="AA22"/>
  <c r="Z22"/>
  <c r="Y22"/>
  <c r="X22"/>
  <c r="W22"/>
  <c r="V22"/>
  <c r="U22"/>
  <c r="AE20"/>
  <c r="AD20"/>
  <c r="AC20"/>
  <c r="AB20"/>
  <c r="AA20"/>
  <c r="Z20"/>
  <c r="Y20"/>
  <c r="X20"/>
  <c r="W20"/>
  <c r="V20"/>
  <c r="U20"/>
  <c r="AE18"/>
  <c r="AD18"/>
  <c r="AC18"/>
  <c r="AB18"/>
  <c r="AA18"/>
  <c r="Z18"/>
  <c r="Y18"/>
  <c r="X18"/>
  <c r="W18"/>
  <c r="V18"/>
  <c r="U18"/>
  <c r="AE16"/>
  <c r="AD16"/>
  <c r="AC16"/>
  <c r="AB16"/>
  <c r="AA16"/>
  <c r="Z16"/>
  <c r="Y16"/>
  <c r="X16"/>
  <c r="W16"/>
  <c r="V16"/>
  <c r="U16"/>
  <c r="AE14"/>
  <c r="AD14"/>
  <c r="AC14"/>
  <c r="AB14"/>
  <c r="AA14"/>
  <c r="Z14"/>
  <c r="Y14"/>
  <c r="X14"/>
  <c r="W14"/>
  <c r="V14"/>
  <c r="U14"/>
  <c r="AE12"/>
  <c r="AD12"/>
  <c r="AC12"/>
  <c r="AB12"/>
  <c r="AA12"/>
  <c r="Z12"/>
  <c r="Y12"/>
  <c r="X12"/>
  <c r="W12"/>
  <c r="V12"/>
  <c r="U12"/>
  <c r="AE10"/>
  <c r="AD10"/>
  <c r="AC10"/>
  <c r="AB10"/>
  <c r="AA10"/>
  <c r="Z10"/>
  <c r="Y10"/>
  <c r="X10"/>
  <c r="W10"/>
  <c r="V10"/>
  <c r="U10"/>
  <c r="AE8"/>
  <c r="AD8"/>
  <c r="AC8"/>
  <c r="AB8"/>
  <c r="AA8"/>
  <c r="Z8"/>
  <c r="Y8"/>
  <c r="X8"/>
  <c r="W8"/>
  <c r="V8"/>
  <c r="U8"/>
  <c r="AE6"/>
  <c r="AD6"/>
  <c r="AC6"/>
  <c r="AB6"/>
  <c r="AA6"/>
  <c r="Z6"/>
  <c r="Y6"/>
  <c r="X6"/>
  <c r="W6"/>
  <c r="V6"/>
  <c r="U6"/>
  <c r="AE4"/>
  <c r="AD4"/>
  <c r="AC4"/>
  <c r="AB4"/>
  <c r="AA4"/>
  <c r="Z4"/>
  <c r="Y4"/>
  <c r="X4"/>
  <c r="W4"/>
  <c r="V4"/>
  <c r="U4"/>
  <c r="AG22" i="5"/>
  <c r="AF22"/>
  <c r="AE22"/>
  <c r="AD22"/>
  <c r="AC22"/>
  <c r="AB22"/>
  <c r="AA22"/>
  <c r="Z22"/>
  <c r="Y22"/>
  <c r="X22"/>
  <c r="W22"/>
  <c r="AG20"/>
  <c r="AF20"/>
  <c r="AE20"/>
  <c r="AD20"/>
  <c r="AC20"/>
  <c r="AB20"/>
  <c r="AA20"/>
  <c r="Z20"/>
  <c r="Y20"/>
  <c r="X20"/>
  <c r="W20"/>
  <c r="AG18"/>
  <c r="AF18"/>
  <c r="AE18"/>
  <c r="AD18"/>
  <c r="AC18"/>
  <c r="AB18"/>
  <c r="AA18"/>
  <c r="Z18"/>
  <c r="Y18"/>
  <c r="X18"/>
  <c r="W18"/>
  <c r="AG16"/>
  <c r="AF16"/>
  <c r="AE16"/>
  <c r="AD16"/>
  <c r="AC16"/>
  <c r="AB16"/>
  <c r="AA16"/>
  <c r="Z16"/>
  <c r="Y16"/>
  <c r="X16"/>
  <c r="W16"/>
  <c r="AG14"/>
  <c r="AF14"/>
  <c r="AE14"/>
  <c r="AD14"/>
  <c r="AC14"/>
  <c r="AB14"/>
  <c r="AA14"/>
  <c r="Z14"/>
  <c r="Y14"/>
  <c r="X14"/>
  <c r="W14"/>
  <c r="AG12"/>
  <c r="AF12"/>
  <c r="AE12"/>
  <c r="AD12"/>
  <c r="AC12"/>
  <c r="AB12"/>
  <c r="AA12"/>
  <c r="Z12"/>
  <c r="Y12"/>
  <c r="X12"/>
  <c r="W12"/>
  <c r="AG10"/>
  <c r="AF10"/>
  <c r="AE10"/>
  <c r="AD10"/>
  <c r="AC10"/>
  <c r="AB10"/>
  <c r="AA10"/>
  <c r="Z10"/>
  <c r="Y10"/>
  <c r="X10"/>
  <c r="W10"/>
  <c r="AG8"/>
  <c r="AF8"/>
  <c r="AE8"/>
  <c r="AD8"/>
  <c r="AC8"/>
  <c r="AB8"/>
  <c r="AA8"/>
  <c r="Z8"/>
  <c r="Y8"/>
  <c r="X8"/>
  <c r="W8"/>
  <c r="AG6"/>
  <c r="AF6"/>
  <c r="AE6"/>
  <c r="AD6"/>
  <c r="AC6"/>
  <c r="AB6"/>
  <c r="AA6"/>
  <c r="Z6"/>
  <c r="Y6"/>
  <c r="X6"/>
  <c r="W6"/>
  <c r="AG4"/>
  <c r="AF4"/>
  <c r="AE4"/>
  <c r="AD4"/>
  <c r="AC4"/>
  <c r="AB4"/>
  <c r="AA4"/>
  <c r="Z4"/>
  <c r="Y4"/>
  <c r="X4"/>
  <c r="W4"/>
  <c r="AG22" i="6"/>
  <c r="AF22"/>
  <c r="AE22"/>
  <c r="AD22"/>
  <c r="AC22"/>
  <c r="AB22"/>
  <c r="AA22"/>
  <c r="Z22"/>
  <c r="Y22"/>
  <c r="X22"/>
  <c r="W22"/>
  <c r="AG20"/>
  <c r="AF20"/>
  <c r="AE20"/>
  <c r="AD20"/>
  <c r="AC20"/>
  <c r="AB20"/>
  <c r="AA20"/>
  <c r="Z20"/>
  <c r="Y20"/>
  <c r="X20"/>
  <c r="W20"/>
  <c r="AG18"/>
  <c r="AF18"/>
  <c r="AE18"/>
  <c r="AD18"/>
  <c r="AC18"/>
  <c r="AB18"/>
  <c r="AA18"/>
  <c r="Z18"/>
  <c r="Y18"/>
  <c r="X18"/>
  <c r="W18"/>
  <c r="AG16"/>
  <c r="AF16"/>
  <c r="AE16"/>
  <c r="AD16"/>
  <c r="AC16"/>
  <c r="AB16"/>
  <c r="AA16"/>
  <c r="Z16"/>
  <c r="Y16"/>
  <c r="X16"/>
  <c r="W16"/>
  <c r="AG14"/>
  <c r="AF14"/>
  <c r="AE14"/>
  <c r="AD14"/>
  <c r="AC14"/>
  <c r="AB14"/>
  <c r="AA14"/>
  <c r="Z14"/>
  <c r="Y14"/>
  <c r="X14"/>
  <c r="W14"/>
  <c r="AG12"/>
  <c r="AF12"/>
  <c r="AE12"/>
  <c r="AD12"/>
  <c r="AC12"/>
  <c r="AB12"/>
  <c r="AA12"/>
  <c r="Z12"/>
  <c r="Y12"/>
  <c r="X12"/>
  <c r="W12"/>
  <c r="AG10"/>
  <c r="AF10"/>
  <c r="AE10"/>
  <c r="AD10"/>
  <c r="AC10"/>
  <c r="AB10"/>
  <c r="AA10"/>
  <c r="Z10"/>
  <c r="Y10"/>
  <c r="X10"/>
  <c r="W10"/>
  <c r="AG8"/>
  <c r="AF8"/>
  <c r="AE8"/>
  <c r="AD8"/>
  <c r="AC8"/>
  <c r="AB8"/>
  <c r="AA8"/>
  <c r="Z8"/>
  <c r="Y8"/>
  <c r="X8"/>
  <c r="W8"/>
  <c r="AG6"/>
  <c r="AF6"/>
  <c r="AE6"/>
  <c r="AD6"/>
  <c r="AC6"/>
  <c r="AB6"/>
  <c r="AA6"/>
  <c r="Z6"/>
  <c r="Y6"/>
  <c r="X6"/>
  <c r="W6"/>
  <c r="AG4"/>
  <c r="AF4"/>
  <c r="AE4"/>
  <c r="AD4"/>
  <c r="AC4"/>
  <c r="AB4"/>
  <c r="AA4"/>
  <c r="Z4"/>
  <c r="Y4"/>
  <c r="X4"/>
  <c r="W4"/>
  <c r="AG22" i="7"/>
  <c r="AF22"/>
  <c r="AE22"/>
  <c r="AD22"/>
  <c r="AC22"/>
  <c r="AB22"/>
  <c r="AA22"/>
  <c r="Z22"/>
  <c r="Y22"/>
  <c r="X22"/>
  <c r="W22"/>
  <c r="AG20"/>
  <c r="AF20"/>
  <c r="AE20"/>
  <c r="AD20"/>
  <c r="AC20"/>
  <c r="AB20"/>
  <c r="AA20"/>
  <c r="Z20"/>
  <c r="Y20"/>
  <c r="X20"/>
  <c r="W20"/>
  <c r="AG18"/>
  <c r="AF18"/>
  <c r="AE18"/>
  <c r="AD18"/>
  <c r="AC18"/>
  <c r="AB18"/>
  <c r="AA18"/>
  <c r="Z18"/>
  <c r="Y18"/>
  <c r="X18"/>
  <c r="W18"/>
  <c r="AG16"/>
  <c r="AF16"/>
  <c r="AE16"/>
  <c r="AD16"/>
  <c r="AC16"/>
  <c r="AB16"/>
  <c r="AA16"/>
  <c r="Z16"/>
  <c r="Y16"/>
  <c r="X16"/>
  <c r="W16"/>
  <c r="AG14"/>
  <c r="AF14"/>
  <c r="AE14"/>
  <c r="AD14"/>
  <c r="AC14"/>
  <c r="AB14"/>
  <c r="AA14"/>
  <c r="Z14"/>
  <c r="Y14"/>
  <c r="X14"/>
  <c r="W14"/>
  <c r="AG12"/>
  <c r="AF12"/>
  <c r="AE12"/>
  <c r="AD12"/>
  <c r="AC12"/>
  <c r="AB12"/>
  <c r="AA12"/>
  <c r="Z12"/>
  <c r="Y12"/>
  <c r="X12"/>
  <c r="W12"/>
  <c r="AG10"/>
  <c r="AF10"/>
  <c r="AE10"/>
  <c r="AD10"/>
  <c r="AC10"/>
  <c r="AB10"/>
  <c r="AA10"/>
  <c r="Z10"/>
  <c r="Y10"/>
  <c r="X10"/>
  <c r="W10"/>
  <c r="AG8"/>
  <c r="AF8"/>
  <c r="AE8"/>
  <c r="AD8"/>
  <c r="AC8"/>
  <c r="AB8"/>
  <c r="AA8"/>
  <c r="Z8"/>
  <c r="Y8"/>
  <c r="X8"/>
  <c r="W8"/>
  <c r="AG6"/>
  <c r="AF6"/>
  <c r="AE6"/>
  <c r="AD6"/>
  <c r="AC6"/>
  <c r="AB6"/>
  <c r="AA6"/>
  <c r="Z6"/>
  <c r="Y6"/>
  <c r="X6"/>
  <c r="W6"/>
  <c r="AG4"/>
  <c r="AF4"/>
  <c r="AE4"/>
  <c r="AD4"/>
  <c r="AC4"/>
  <c r="AB4"/>
  <c r="AA4"/>
  <c r="Z4"/>
  <c r="Y4"/>
  <c r="X4"/>
  <c r="W4"/>
  <c r="W6" i="8"/>
  <c r="X6"/>
  <c r="Y6"/>
  <c r="Z6"/>
  <c r="AA6"/>
  <c r="AB6"/>
  <c r="AC6"/>
  <c r="AD6"/>
  <c r="AE6"/>
  <c r="AF6"/>
  <c r="AG6"/>
  <c r="W8"/>
  <c r="X8"/>
  <c r="Y8"/>
  <c r="Z8"/>
  <c r="AA8"/>
  <c r="AB8"/>
  <c r="AC8"/>
  <c r="AD8"/>
  <c r="AE8"/>
  <c r="AF8"/>
  <c r="AG8"/>
  <c r="W10"/>
  <c r="X10"/>
  <c r="Y10"/>
  <c r="Z10"/>
  <c r="AA10"/>
  <c r="AB10"/>
  <c r="AC10"/>
  <c r="AD10"/>
  <c r="AE10"/>
  <c r="AF10"/>
  <c r="AG10"/>
  <c r="W12"/>
  <c r="X12"/>
  <c r="Y12"/>
  <c r="Z12"/>
  <c r="AA12"/>
  <c r="AB12"/>
  <c r="AC12"/>
  <c r="AD12"/>
  <c r="AE12"/>
  <c r="AF12"/>
  <c r="AG12"/>
  <c r="W14"/>
  <c r="X14"/>
  <c r="Y14"/>
  <c r="Z14"/>
  <c r="AA14"/>
  <c r="AB14"/>
  <c r="AC14"/>
  <c r="AD14"/>
  <c r="AE14"/>
  <c r="AF14"/>
  <c r="AG14"/>
  <c r="W16"/>
  <c r="X16"/>
  <c r="Y16"/>
  <c r="Z16"/>
  <c r="AA16"/>
  <c r="AB16"/>
  <c r="AC16"/>
  <c r="AD16"/>
  <c r="AE16"/>
  <c r="AF16"/>
  <c r="AG16"/>
  <c r="W18"/>
  <c r="X18"/>
  <c r="Y18"/>
  <c r="Z18"/>
  <c r="AA18"/>
  <c r="AB18"/>
  <c r="AC18"/>
  <c r="AD18"/>
  <c r="AE18"/>
  <c r="AF18"/>
  <c r="AG18"/>
  <c r="W20"/>
  <c r="X20"/>
  <c r="Y20"/>
  <c r="Z20"/>
  <c r="AA20"/>
  <c r="AB20"/>
  <c r="AC20"/>
  <c r="AD20"/>
  <c r="AE20"/>
  <c r="AF20"/>
  <c r="AG20"/>
  <c r="W22"/>
  <c r="X22"/>
  <c r="Y22"/>
  <c r="Z22"/>
  <c r="AA22"/>
  <c r="AB22"/>
  <c r="AC22"/>
  <c r="AD22"/>
  <c r="AE22"/>
  <c r="AF22"/>
  <c r="AG22"/>
  <c r="AG4"/>
  <c r="AF4"/>
  <c r="X4"/>
  <c r="Y4"/>
  <c r="Z4"/>
  <c r="AA4"/>
  <c r="AB4"/>
  <c r="AC4"/>
  <c r="AD4"/>
  <c r="AE4"/>
  <c r="W4"/>
  <c r="O2"/>
  <c r="O2" i="7"/>
  <c r="O2" i="6"/>
  <c r="O2" i="5"/>
  <c r="O2" i="4"/>
  <c r="P2" i="2"/>
  <c r="E19" i="18"/>
  <c r="D19"/>
  <c r="C19"/>
  <c r="B19"/>
  <c r="E4"/>
  <c r="D4"/>
  <c r="C4"/>
  <c r="B4"/>
  <c r="E20"/>
  <c r="D20"/>
  <c r="C20"/>
  <c r="B20"/>
  <c r="E5"/>
  <c r="D5"/>
  <c r="C5"/>
  <c r="B5"/>
  <c r="N2" i="8"/>
  <c r="N2" i="7"/>
  <c r="N2" i="6"/>
  <c r="N2" i="5"/>
  <c r="N2" i="4"/>
  <c r="N2" i="3"/>
  <c r="O2" i="2"/>
  <c r="M2" i="8"/>
  <c r="M2" i="7"/>
  <c r="M2" i="6"/>
  <c r="J19" i="20" l="1"/>
  <c r="E19" i="23"/>
  <c r="I19" i="20"/>
  <c r="D19" i="23"/>
  <c r="H4" i="18"/>
  <c r="G4" i="26"/>
  <c r="J4" i="18"/>
  <c r="H19"/>
  <c r="J19"/>
  <c r="G4"/>
  <c r="I4"/>
  <c r="G19"/>
  <c r="I19"/>
  <c r="M2" i="5"/>
  <c r="M2" i="4"/>
  <c r="M2" i="3"/>
  <c r="N2" i="2"/>
  <c r="L2" i="4"/>
  <c r="L2" i="5"/>
  <c r="L2" i="6"/>
  <c r="L2" i="7"/>
  <c r="L2" i="8"/>
  <c r="L2" i="3"/>
  <c r="M2" i="2"/>
  <c r="K2" i="8" l="1"/>
  <c r="K2" i="7"/>
  <c r="K2" i="6"/>
  <c r="K2" i="5"/>
  <c r="K2" i="4"/>
  <c r="K2" i="3"/>
  <c r="L2" i="2"/>
  <c r="R18" i="23"/>
  <c r="J2" i="8"/>
  <c r="J2" i="7"/>
  <c r="J2" i="6"/>
  <c r="J2" i="5"/>
  <c r="J2" i="4"/>
  <c r="J2" i="3"/>
  <c r="K2" i="2"/>
  <c r="E10" i="14"/>
  <c r="L17" i="21" s="1"/>
  <c r="D10" i="14"/>
  <c r="C10"/>
  <c r="B10"/>
  <c r="I2" i="8"/>
  <c r="I2" i="7"/>
  <c r="I2" i="6"/>
  <c r="I2" i="5"/>
  <c r="I2" i="4"/>
  <c r="I2" i="3"/>
  <c r="J2" i="2"/>
  <c r="H2" i="8"/>
  <c r="H2" i="7"/>
  <c r="H2" i="6"/>
  <c r="H2" i="5"/>
  <c r="H2" i="4"/>
  <c r="H2" i="3"/>
  <c r="I2" i="2"/>
  <c r="R12" i="23"/>
  <c r="R21"/>
  <c r="R17"/>
  <c r="R16"/>
  <c r="R15"/>
  <c r="R14"/>
  <c r="R22" s="1"/>
  <c r="R13"/>
  <c r="R11"/>
  <c r="R10"/>
  <c r="R9"/>
  <c r="T5" i="6"/>
  <c r="T7"/>
  <c r="T9"/>
  <c r="T11"/>
  <c r="T13"/>
  <c r="T15"/>
  <c r="T17"/>
  <c r="T19"/>
  <c r="T21"/>
  <c r="T23"/>
  <c r="G2" i="8"/>
  <c r="G2" i="7"/>
  <c r="G2" i="6"/>
  <c r="G2" i="5"/>
  <c r="G2" i="4"/>
  <c r="G2" i="3"/>
  <c r="H2" i="2"/>
  <c r="F2" i="7"/>
  <c r="F2" i="6"/>
  <c r="F2" i="5"/>
  <c r="F2" i="4"/>
  <c r="F2" i="3"/>
  <c r="G2" i="2"/>
  <c r="F2" i="8"/>
  <c r="B7" i="10"/>
  <c r="F2" i="2"/>
  <c r="E2" i="3"/>
  <c r="E2" i="4"/>
  <c r="E2" i="5"/>
  <c r="E2" i="6"/>
  <c r="E2" i="7"/>
  <c r="E2" i="8"/>
  <c r="D2"/>
  <c r="D2" i="7"/>
  <c r="D2" i="6"/>
  <c r="D2" i="5"/>
  <c r="D2" i="4"/>
  <c r="D2" i="3"/>
  <c r="E2" i="2"/>
  <c r="N4" i="25"/>
  <c r="N5"/>
  <c r="N7"/>
  <c r="N8"/>
  <c r="N10"/>
  <c r="N11"/>
  <c r="N13"/>
  <c r="N14"/>
  <c r="N16"/>
  <c r="N17"/>
  <c r="N19"/>
  <c r="N20"/>
  <c r="N22"/>
  <c r="N23"/>
  <c r="N25"/>
  <c r="N26"/>
  <c r="L8"/>
  <c r="M8"/>
  <c r="L10"/>
  <c r="M10"/>
  <c r="L11"/>
  <c r="M11"/>
  <c r="L12"/>
  <c r="M12"/>
  <c r="L13"/>
  <c r="M13"/>
  <c r="L14"/>
  <c r="M14"/>
  <c r="L15"/>
  <c r="M15"/>
  <c r="L16"/>
  <c r="M16"/>
  <c r="L17"/>
  <c r="M17"/>
  <c r="L18"/>
  <c r="M18"/>
  <c r="L19"/>
  <c r="M19"/>
  <c r="L20"/>
  <c r="M20"/>
  <c r="L21"/>
  <c r="M21"/>
  <c r="L22"/>
  <c r="M22"/>
  <c r="L23"/>
  <c r="M23"/>
  <c r="L24"/>
  <c r="M24"/>
  <c r="L25"/>
  <c r="M25"/>
  <c r="L26"/>
  <c r="M26"/>
  <c r="L27"/>
  <c r="M27"/>
  <c r="L7"/>
  <c r="L9" s="1"/>
  <c r="M7"/>
  <c r="M9" s="1"/>
  <c r="E7"/>
  <c r="F7"/>
  <c r="G7"/>
  <c r="I7"/>
  <c r="J7"/>
  <c r="K7"/>
  <c r="E8"/>
  <c r="F8"/>
  <c r="G8"/>
  <c r="I8"/>
  <c r="J8"/>
  <c r="K8"/>
  <c r="E10"/>
  <c r="F10"/>
  <c r="G10"/>
  <c r="I10"/>
  <c r="J10"/>
  <c r="K10"/>
  <c r="E11"/>
  <c r="F11"/>
  <c r="G11"/>
  <c r="I11"/>
  <c r="J11"/>
  <c r="K11"/>
  <c r="E13"/>
  <c r="F13"/>
  <c r="G13"/>
  <c r="I13"/>
  <c r="J13"/>
  <c r="K13"/>
  <c r="E14"/>
  <c r="F14"/>
  <c r="G14"/>
  <c r="I14"/>
  <c r="J14"/>
  <c r="K14"/>
  <c r="E16"/>
  <c r="F16"/>
  <c r="G16"/>
  <c r="H16"/>
  <c r="I16"/>
  <c r="J16"/>
  <c r="K16"/>
  <c r="E17"/>
  <c r="F17"/>
  <c r="G17"/>
  <c r="H17"/>
  <c r="I17"/>
  <c r="J17"/>
  <c r="K17"/>
  <c r="E19"/>
  <c r="F19"/>
  <c r="G19"/>
  <c r="H19"/>
  <c r="I19"/>
  <c r="J19"/>
  <c r="K19"/>
  <c r="E20"/>
  <c r="F20"/>
  <c r="G20"/>
  <c r="H20"/>
  <c r="I20"/>
  <c r="J20"/>
  <c r="K20"/>
  <c r="E22"/>
  <c r="F22"/>
  <c r="G22"/>
  <c r="H22"/>
  <c r="I22"/>
  <c r="J22"/>
  <c r="K22"/>
  <c r="E23"/>
  <c r="F23"/>
  <c r="G23"/>
  <c r="H23"/>
  <c r="I23"/>
  <c r="J23"/>
  <c r="K23"/>
  <c r="E25"/>
  <c r="F25"/>
  <c r="G25"/>
  <c r="H25"/>
  <c r="I25"/>
  <c r="J25"/>
  <c r="K25"/>
  <c r="E26"/>
  <c r="F26"/>
  <c r="G26"/>
  <c r="H26"/>
  <c r="I26"/>
  <c r="J26"/>
  <c r="K26"/>
  <c r="C4"/>
  <c r="D4"/>
  <c r="E4"/>
  <c r="F4"/>
  <c r="G4"/>
  <c r="I4"/>
  <c r="J4"/>
  <c r="K4"/>
  <c r="L4"/>
  <c r="M4"/>
  <c r="C5"/>
  <c r="D5"/>
  <c r="E5"/>
  <c r="F5"/>
  <c r="G5"/>
  <c r="I5"/>
  <c r="J5"/>
  <c r="K5"/>
  <c r="L5"/>
  <c r="M5"/>
  <c r="C7"/>
  <c r="D7"/>
  <c r="C8"/>
  <c r="D8"/>
  <c r="C9"/>
  <c r="D9"/>
  <c r="C10"/>
  <c r="D10"/>
  <c r="C11"/>
  <c r="D11"/>
  <c r="C12"/>
  <c r="D12"/>
  <c r="C13"/>
  <c r="D13"/>
  <c r="C14"/>
  <c r="D14"/>
  <c r="C15"/>
  <c r="D15"/>
  <c r="C16"/>
  <c r="D16"/>
  <c r="C17"/>
  <c r="D17"/>
  <c r="C18"/>
  <c r="D18"/>
  <c r="C19"/>
  <c r="D19"/>
  <c r="C20"/>
  <c r="D20"/>
  <c r="C21"/>
  <c r="D21"/>
  <c r="C22"/>
  <c r="D22"/>
  <c r="C23"/>
  <c r="D23"/>
  <c r="C24"/>
  <c r="D24"/>
  <c r="C25"/>
  <c r="D25"/>
  <c r="C26"/>
  <c r="D26"/>
  <c r="C27"/>
  <c r="D27"/>
  <c r="B1" i="23"/>
  <c r="B12"/>
  <c r="C12"/>
  <c r="D12"/>
  <c r="E12"/>
  <c r="B14"/>
  <c r="B15"/>
  <c r="R23" s="1"/>
  <c r="B22"/>
  <c r="I24" s="1"/>
  <c r="L24" s="1"/>
  <c r="B25"/>
  <c r="C25"/>
  <c r="D25"/>
  <c r="E25"/>
  <c r="B27"/>
  <c r="C27"/>
  <c r="D27"/>
  <c r="E27"/>
  <c r="F1" i="21"/>
  <c r="B1" i="20"/>
  <c r="C4"/>
  <c r="D4"/>
  <c r="C5"/>
  <c r="D5"/>
  <c r="E5"/>
  <c r="B7"/>
  <c r="B9"/>
  <c r="C9"/>
  <c r="D9"/>
  <c r="E9"/>
  <c r="B10"/>
  <c r="C10"/>
  <c r="F29" i="22" s="1"/>
  <c r="D10" i="20"/>
  <c r="I29" i="22" s="1"/>
  <c r="E10" i="20"/>
  <c r="L29" i="22" s="1"/>
  <c r="B12" i="20"/>
  <c r="C12"/>
  <c r="D12"/>
  <c r="E12"/>
  <c r="B14"/>
  <c r="B15"/>
  <c r="B22"/>
  <c r="B24"/>
  <c r="C24"/>
  <c r="D24"/>
  <c r="E24"/>
  <c r="B25"/>
  <c r="C25"/>
  <c r="D25"/>
  <c r="E25"/>
  <c r="X29" i="21" s="1"/>
  <c r="B27" i="20"/>
  <c r="C27"/>
  <c r="D27"/>
  <c r="E27"/>
  <c r="B1" i="19"/>
  <c r="C4"/>
  <c r="D4"/>
  <c r="B5"/>
  <c r="C5"/>
  <c r="D5"/>
  <c r="E5"/>
  <c r="B7"/>
  <c r="B9"/>
  <c r="C9"/>
  <c r="D9"/>
  <c r="E9"/>
  <c r="B10"/>
  <c r="C10"/>
  <c r="F27" i="21" s="1"/>
  <c r="D10" i="19"/>
  <c r="E10"/>
  <c r="B12"/>
  <c r="C12"/>
  <c r="D12"/>
  <c r="E12"/>
  <c r="B14"/>
  <c r="B15"/>
  <c r="B19"/>
  <c r="C19"/>
  <c r="D19"/>
  <c r="E19"/>
  <c r="B20"/>
  <c r="C20"/>
  <c r="D20"/>
  <c r="E20"/>
  <c r="B22"/>
  <c r="B24"/>
  <c r="C24"/>
  <c r="D24"/>
  <c r="E24"/>
  <c r="B25"/>
  <c r="C25"/>
  <c r="R27" i="21" s="1"/>
  <c r="D25" i="19"/>
  <c r="E25"/>
  <c r="X27" i="21" s="1"/>
  <c r="B27" i="19"/>
  <c r="C27"/>
  <c r="D27"/>
  <c r="E27"/>
  <c r="B1" i="18"/>
  <c r="B7"/>
  <c r="B9"/>
  <c r="C9"/>
  <c r="D9"/>
  <c r="E9"/>
  <c r="B10"/>
  <c r="C10"/>
  <c r="D10"/>
  <c r="E10"/>
  <c r="B12"/>
  <c r="C12"/>
  <c r="D12"/>
  <c r="E12"/>
  <c r="B14"/>
  <c r="B15"/>
  <c r="B22"/>
  <c r="B24"/>
  <c r="C24"/>
  <c r="D24"/>
  <c r="E24"/>
  <c r="B25"/>
  <c r="C25"/>
  <c r="D25"/>
  <c r="E25"/>
  <c r="X25" i="21" s="1"/>
  <c r="B27" i="18"/>
  <c r="C27"/>
  <c r="D27"/>
  <c r="E27"/>
  <c r="B1" i="24"/>
  <c r="B4"/>
  <c r="C4"/>
  <c r="D4"/>
  <c r="B5"/>
  <c r="C5"/>
  <c r="D5"/>
  <c r="E5"/>
  <c r="B7"/>
  <c r="B9"/>
  <c r="C9"/>
  <c r="D9"/>
  <c r="E9"/>
  <c r="B10"/>
  <c r="C10"/>
  <c r="D10"/>
  <c r="E10"/>
  <c r="B12"/>
  <c r="C12"/>
  <c r="D12"/>
  <c r="E12"/>
  <c r="B14"/>
  <c r="B15"/>
  <c r="B19"/>
  <c r="C19"/>
  <c r="D19"/>
  <c r="E19"/>
  <c r="B20"/>
  <c r="C20"/>
  <c r="D20"/>
  <c r="E20"/>
  <c r="B22"/>
  <c r="B24"/>
  <c r="C24"/>
  <c r="D24"/>
  <c r="E24"/>
  <c r="B25"/>
  <c r="C25"/>
  <c r="D25"/>
  <c r="E25"/>
  <c r="B27"/>
  <c r="C27"/>
  <c r="D27"/>
  <c r="E27"/>
  <c r="B1" i="16"/>
  <c r="B4"/>
  <c r="C4"/>
  <c r="D4"/>
  <c r="B5"/>
  <c r="C5"/>
  <c r="D5"/>
  <c r="E5"/>
  <c r="B7"/>
  <c r="B9"/>
  <c r="C20" i="22" s="1"/>
  <c r="C9" i="16"/>
  <c r="F20" i="22" s="1"/>
  <c r="D9" i="16"/>
  <c r="I20" i="22" s="1"/>
  <c r="E9" i="16"/>
  <c r="L20" i="22" s="1"/>
  <c r="B10" i="16"/>
  <c r="D20" i="22" s="1"/>
  <c r="C10" i="16"/>
  <c r="F21" i="22" s="1"/>
  <c r="D10" i="16"/>
  <c r="I21" i="21" s="1"/>
  <c r="E10" i="16"/>
  <c r="L21" i="21" s="1"/>
  <c r="B12" i="16"/>
  <c r="C12"/>
  <c r="D12"/>
  <c r="E12"/>
  <c r="B14"/>
  <c r="B15"/>
  <c r="B19"/>
  <c r="C19"/>
  <c r="D19"/>
  <c r="E19"/>
  <c r="B20"/>
  <c r="C20"/>
  <c r="D20"/>
  <c r="E20"/>
  <c r="B22"/>
  <c r="B24"/>
  <c r="O20" i="22" s="1"/>
  <c r="C24" i="16"/>
  <c r="R20" i="21" s="1"/>
  <c r="D24" i="16"/>
  <c r="U20" i="22" s="1"/>
  <c r="E24" i="16"/>
  <c r="X20" i="22" s="1"/>
  <c r="B25" i="16"/>
  <c r="O21" i="21" s="1"/>
  <c r="C25" i="16"/>
  <c r="S20" i="21" s="1"/>
  <c r="D25" i="16"/>
  <c r="U21" i="21" s="1"/>
  <c r="E25" i="16"/>
  <c r="X21" i="21" s="1"/>
  <c r="B27" i="16"/>
  <c r="C27"/>
  <c r="D27"/>
  <c r="E27"/>
  <c r="B1" i="15"/>
  <c r="B4"/>
  <c r="C4"/>
  <c r="D4"/>
  <c r="B5"/>
  <c r="C5"/>
  <c r="D5"/>
  <c r="E5"/>
  <c r="B7"/>
  <c r="B9"/>
  <c r="C18" i="22" s="1"/>
  <c r="C9" i="15"/>
  <c r="F18" i="22" s="1"/>
  <c r="D9" i="15"/>
  <c r="I18" i="22" s="1"/>
  <c r="E9" i="15"/>
  <c r="L18" i="22" s="1"/>
  <c r="B10" i="15"/>
  <c r="C19" i="22" s="1"/>
  <c r="C10" i="15"/>
  <c r="F19" i="22" s="1"/>
  <c r="D10" i="15"/>
  <c r="I19" i="21" s="1"/>
  <c r="E10" i="15"/>
  <c r="L19" i="21" s="1"/>
  <c r="B12" i="15"/>
  <c r="C12"/>
  <c r="D12"/>
  <c r="E12"/>
  <c r="B14"/>
  <c r="B15"/>
  <c r="B19"/>
  <c r="C19"/>
  <c r="D19"/>
  <c r="E19"/>
  <c r="B20"/>
  <c r="C20"/>
  <c r="D20"/>
  <c r="E20"/>
  <c r="B22"/>
  <c r="B24"/>
  <c r="O18" i="22" s="1"/>
  <c r="C24" i="15"/>
  <c r="R18" i="22" s="1"/>
  <c r="D24" i="15"/>
  <c r="U18" i="22" s="1"/>
  <c r="E24" i="15"/>
  <c r="X18" i="22" s="1"/>
  <c r="B25" i="15"/>
  <c r="O19" i="21" s="1"/>
  <c r="C25" i="15"/>
  <c r="S18" i="21" s="1"/>
  <c r="D25" i="15"/>
  <c r="U19" i="21" s="1"/>
  <c r="E25" i="15"/>
  <c r="X19" i="21" s="1"/>
  <c r="B27" i="15"/>
  <c r="C27"/>
  <c r="D27"/>
  <c r="E27"/>
  <c r="B1" i="14"/>
  <c r="B4"/>
  <c r="C4"/>
  <c r="D4"/>
  <c r="B5"/>
  <c r="C5"/>
  <c r="D5"/>
  <c r="E5"/>
  <c r="B7"/>
  <c r="B9"/>
  <c r="C16" i="22" s="1"/>
  <c r="C9" i="14"/>
  <c r="F16" i="22" s="1"/>
  <c r="D9" i="14"/>
  <c r="I16" i="22" s="1"/>
  <c r="E9" i="14"/>
  <c r="L16" i="22" s="1"/>
  <c r="C17"/>
  <c r="F17" i="21"/>
  <c r="I17" i="22"/>
  <c r="B12" i="14"/>
  <c r="C12"/>
  <c r="D12"/>
  <c r="E12"/>
  <c r="B14"/>
  <c r="B15"/>
  <c r="B19"/>
  <c r="C19"/>
  <c r="D19"/>
  <c r="E19"/>
  <c r="B20"/>
  <c r="C20"/>
  <c r="D20"/>
  <c r="E20"/>
  <c r="B22"/>
  <c r="B24"/>
  <c r="O16" i="22" s="1"/>
  <c r="C24" i="14"/>
  <c r="R16" i="22" s="1"/>
  <c r="D24" i="14"/>
  <c r="U16" i="22" s="1"/>
  <c r="E24" i="14"/>
  <c r="X16" i="22" s="1"/>
  <c r="B25" i="14"/>
  <c r="O17" i="21" s="1"/>
  <c r="C25" i="14"/>
  <c r="R17" i="21" s="1"/>
  <c r="D25" i="14"/>
  <c r="U17" i="21" s="1"/>
  <c r="E25" i="14"/>
  <c r="X17" i="21" s="1"/>
  <c r="B27" i="14"/>
  <c r="C27"/>
  <c r="D27"/>
  <c r="E27"/>
  <c r="B1" i="13"/>
  <c r="B4"/>
  <c r="C4"/>
  <c r="D4"/>
  <c r="B5"/>
  <c r="C5"/>
  <c r="D5"/>
  <c r="E5"/>
  <c r="B7"/>
  <c r="B9"/>
  <c r="C14" i="22" s="1"/>
  <c r="C9" i="13"/>
  <c r="F14" i="22" s="1"/>
  <c r="D9" i="13"/>
  <c r="I14" i="22" s="1"/>
  <c r="E9" i="13"/>
  <c r="L14" i="22" s="1"/>
  <c r="B10" i="13"/>
  <c r="D14" i="22" s="1"/>
  <c r="C10" i="13"/>
  <c r="G14" i="22" s="1"/>
  <c r="D10" i="13"/>
  <c r="I15" i="22" s="1"/>
  <c r="E10" i="13"/>
  <c r="M14" i="22" s="1"/>
  <c r="B12" i="13"/>
  <c r="C12"/>
  <c r="D12"/>
  <c r="E12"/>
  <c r="B14"/>
  <c r="B15"/>
  <c r="B19"/>
  <c r="C19"/>
  <c r="D19"/>
  <c r="E19"/>
  <c r="B20"/>
  <c r="C20"/>
  <c r="D20"/>
  <c r="E20"/>
  <c r="B22"/>
  <c r="B24"/>
  <c r="O14" i="22" s="1"/>
  <c r="C24" i="13"/>
  <c r="R14" i="22" s="1"/>
  <c r="D24" i="13"/>
  <c r="U14" i="22" s="1"/>
  <c r="E24" i="13"/>
  <c r="X14" i="22" s="1"/>
  <c r="B25" i="13"/>
  <c r="O15" i="22" s="1"/>
  <c r="C25" i="13"/>
  <c r="R15" i="22" s="1"/>
  <c r="D25" i="13"/>
  <c r="U15" i="21" s="1"/>
  <c r="E25" i="13"/>
  <c r="X15" i="22" s="1"/>
  <c r="B27" i="13"/>
  <c r="C27"/>
  <c r="D27"/>
  <c r="E27"/>
  <c r="B1" i="12"/>
  <c r="B4"/>
  <c r="C4"/>
  <c r="D4"/>
  <c r="B5"/>
  <c r="C5"/>
  <c r="D5"/>
  <c r="E5"/>
  <c r="B7"/>
  <c r="B9"/>
  <c r="C9"/>
  <c r="F12" i="22" s="1"/>
  <c r="D9" i="12"/>
  <c r="I12" i="22" s="1"/>
  <c r="E9" i="12"/>
  <c r="L12" i="22" s="1"/>
  <c r="B10" i="12"/>
  <c r="D12" i="22" s="1"/>
  <c r="C10" i="12"/>
  <c r="F13" i="21" s="1"/>
  <c r="D10" i="12"/>
  <c r="I13" i="22" s="1"/>
  <c r="E10" i="12"/>
  <c r="L13" i="21" s="1"/>
  <c r="B12" i="12"/>
  <c r="C12"/>
  <c r="D12"/>
  <c r="E12"/>
  <c r="B14"/>
  <c r="B15"/>
  <c r="B19"/>
  <c r="C19"/>
  <c r="D19"/>
  <c r="E19"/>
  <c r="B20"/>
  <c r="C20"/>
  <c r="D20"/>
  <c r="E20"/>
  <c r="B22"/>
  <c r="B24"/>
  <c r="O12" i="22" s="1"/>
  <c r="C24" i="12"/>
  <c r="R12" i="22" s="1"/>
  <c r="D24" i="12"/>
  <c r="U12" i="22" s="1"/>
  <c r="E24" i="12"/>
  <c r="X12" i="22" s="1"/>
  <c r="B25" i="12"/>
  <c r="P12" i="22" s="1"/>
  <c r="C25" i="12"/>
  <c r="R13" i="22" s="1"/>
  <c r="D25" i="12"/>
  <c r="U13" i="21" s="1"/>
  <c r="E25" i="12"/>
  <c r="X13" i="22" s="1"/>
  <c r="B27" i="12"/>
  <c r="C27"/>
  <c r="D27"/>
  <c r="E27"/>
  <c r="B1" i="11"/>
  <c r="B4"/>
  <c r="C4"/>
  <c r="D4"/>
  <c r="B5"/>
  <c r="C5"/>
  <c r="D5"/>
  <c r="E5"/>
  <c r="B7"/>
  <c r="B9"/>
  <c r="C10" i="22" s="1"/>
  <c r="C9" i="11"/>
  <c r="F10" i="22" s="1"/>
  <c r="D9" i="11"/>
  <c r="I10" i="22" s="1"/>
  <c r="E9" i="11"/>
  <c r="L10" i="22" s="1"/>
  <c r="B10" i="11"/>
  <c r="C11" i="21" s="1"/>
  <c r="C10" i="11"/>
  <c r="F11" i="22" s="1"/>
  <c r="D10" i="11"/>
  <c r="I11" i="21" s="1"/>
  <c r="E10" i="11"/>
  <c r="L11" i="22" s="1"/>
  <c r="B12" i="11"/>
  <c r="C12"/>
  <c r="D12"/>
  <c r="E12"/>
  <c r="B14"/>
  <c r="B15"/>
  <c r="B19"/>
  <c r="C19"/>
  <c r="D19"/>
  <c r="E19"/>
  <c r="B20"/>
  <c r="C20"/>
  <c r="D20"/>
  <c r="E20"/>
  <c r="B22"/>
  <c r="B24"/>
  <c r="O10" i="21" s="1"/>
  <c r="C24" i="11"/>
  <c r="D24"/>
  <c r="U10" i="21" s="1"/>
  <c r="E24" i="11"/>
  <c r="X10" i="21" s="1"/>
  <c r="B25" i="11"/>
  <c r="O11" i="22" s="1"/>
  <c r="C25" i="11"/>
  <c r="R11" i="22" s="1"/>
  <c r="D25" i="11"/>
  <c r="U11" i="22" s="1"/>
  <c r="E25" i="11"/>
  <c r="X11" i="22" s="1"/>
  <c r="B27" i="11"/>
  <c r="C27"/>
  <c r="D27"/>
  <c r="E27"/>
  <c r="B1" i="10"/>
  <c r="B4"/>
  <c r="C4"/>
  <c r="D4"/>
  <c r="E4"/>
  <c r="B5"/>
  <c r="C5"/>
  <c r="D5"/>
  <c r="E5"/>
  <c r="B9"/>
  <c r="C8" i="21" s="1"/>
  <c r="C9" i="10"/>
  <c r="F8" i="21" s="1"/>
  <c r="D9" i="10"/>
  <c r="I8" i="21" s="1"/>
  <c r="E9" i="10"/>
  <c r="L8" i="21" s="1"/>
  <c r="B10" i="10"/>
  <c r="C9" i="21" s="1"/>
  <c r="C10" i="10"/>
  <c r="F9" i="22" s="1"/>
  <c r="D10" i="10"/>
  <c r="I9" i="21" s="1"/>
  <c r="E10" i="10"/>
  <c r="L9" i="22" s="1"/>
  <c r="B12" i="10"/>
  <c r="C12"/>
  <c r="D12"/>
  <c r="E12"/>
  <c r="B14"/>
  <c r="B15"/>
  <c r="B19"/>
  <c r="C19"/>
  <c r="D19"/>
  <c r="E19"/>
  <c r="B20"/>
  <c r="C20"/>
  <c r="D20"/>
  <c r="E20"/>
  <c r="B22"/>
  <c r="B24"/>
  <c r="O8" i="22" s="1"/>
  <c r="C24" i="10"/>
  <c r="R8" i="21" s="1"/>
  <c r="D24" i="10"/>
  <c r="U8" i="21" s="1"/>
  <c r="E24" i="10"/>
  <c r="X8" i="21" s="1"/>
  <c r="B25" i="10"/>
  <c r="P8" i="22" s="1"/>
  <c r="C25" i="10"/>
  <c r="R9" i="21" s="1"/>
  <c r="D25" i="10"/>
  <c r="U9" i="22" s="1"/>
  <c r="E25" i="10"/>
  <c r="Y8" i="21" s="1"/>
  <c r="B27" i="10"/>
  <c r="C27"/>
  <c r="D27"/>
  <c r="E27"/>
  <c r="B4" i="9"/>
  <c r="C4"/>
  <c r="D4"/>
  <c r="E4"/>
  <c r="B5"/>
  <c r="C5"/>
  <c r="D5"/>
  <c r="E5"/>
  <c r="B7"/>
  <c r="B9"/>
  <c r="C6" i="21" s="1"/>
  <c r="C9" i="9"/>
  <c r="F6" i="21" s="1"/>
  <c r="D9" i="9"/>
  <c r="I6" i="21" s="1"/>
  <c r="E9" i="9"/>
  <c r="L6" i="21" s="1"/>
  <c r="B10" i="9"/>
  <c r="D6" i="22" s="1"/>
  <c r="C10" i="9"/>
  <c r="G6" i="21" s="1"/>
  <c r="D10" i="9"/>
  <c r="J6" i="22" s="1"/>
  <c r="E10" i="9"/>
  <c r="M6" i="21" s="1"/>
  <c r="B12" i="9"/>
  <c r="C12"/>
  <c r="D12"/>
  <c r="E12"/>
  <c r="B14"/>
  <c r="B15"/>
  <c r="B19"/>
  <c r="C19"/>
  <c r="D19"/>
  <c r="E19"/>
  <c r="B20"/>
  <c r="C20"/>
  <c r="D20"/>
  <c r="E20"/>
  <c r="B22"/>
  <c r="B24"/>
  <c r="O6" i="22" s="1"/>
  <c r="C24" i="9"/>
  <c r="D24"/>
  <c r="U6" i="22" s="1"/>
  <c r="E24" i="9"/>
  <c r="B25"/>
  <c r="O7" i="21" s="1"/>
  <c r="C25" i="9"/>
  <c r="R7" i="21" s="1"/>
  <c r="D25" i="9"/>
  <c r="U7" i="21" s="1"/>
  <c r="E25" i="9"/>
  <c r="X7" i="22" s="1"/>
  <c r="B27" i="9"/>
  <c r="C27"/>
  <c r="D27"/>
  <c r="E27"/>
  <c r="C2" i="8"/>
  <c r="T5"/>
  <c r="T7"/>
  <c r="T9"/>
  <c r="T11"/>
  <c r="T13"/>
  <c r="T15"/>
  <c r="T17"/>
  <c r="T19"/>
  <c r="T21"/>
  <c r="T23"/>
  <c r="S24"/>
  <c r="T24"/>
  <c r="U25"/>
  <c r="T27"/>
  <c r="A29"/>
  <c r="C29"/>
  <c r="D29"/>
  <c r="E29"/>
  <c r="F29"/>
  <c r="G29"/>
  <c r="H29"/>
  <c r="I29"/>
  <c r="J29"/>
  <c r="K29"/>
  <c r="L29"/>
  <c r="N29"/>
  <c r="O29"/>
  <c r="R29"/>
  <c r="S29" s="1"/>
  <c r="C2" i="7"/>
  <c r="T5"/>
  <c r="T7"/>
  <c r="T9"/>
  <c r="T11"/>
  <c r="T13"/>
  <c r="T15"/>
  <c r="T17"/>
  <c r="T19"/>
  <c r="T21"/>
  <c r="T23"/>
  <c r="S24"/>
  <c r="T24"/>
  <c r="U25"/>
  <c r="T27"/>
  <c r="A29"/>
  <c r="C29"/>
  <c r="D29"/>
  <c r="E29"/>
  <c r="F29"/>
  <c r="G29"/>
  <c r="H29"/>
  <c r="I29"/>
  <c r="J29"/>
  <c r="K29"/>
  <c r="L29"/>
  <c r="N29"/>
  <c r="O29"/>
  <c r="R29"/>
  <c r="S29" s="1"/>
  <c r="C2" i="6"/>
  <c r="U25"/>
  <c r="T27"/>
  <c r="A29"/>
  <c r="C29"/>
  <c r="D29"/>
  <c r="E29"/>
  <c r="F29"/>
  <c r="G29"/>
  <c r="H29"/>
  <c r="I29"/>
  <c r="J29"/>
  <c r="K29"/>
  <c r="L29"/>
  <c r="N29"/>
  <c r="O29"/>
  <c r="R29"/>
  <c r="S29" s="1"/>
  <c r="C2" i="5"/>
  <c r="T5"/>
  <c r="T7"/>
  <c r="T9"/>
  <c r="T11"/>
  <c r="T13"/>
  <c r="T15"/>
  <c r="T17"/>
  <c r="T19"/>
  <c r="T21"/>
  <c r="T23"/>
  <c r="S24"/>
  <c r="T24"/>
  <c r="U25"/>
  <c r="T27"/>
  <c r="S29"/>
  <c r="C2" i="4"/>
  <c r="R5"/>
  <c r="R7"/>
  <c r="R9"/>
  <c r="R11"/>
  <c r="R13"/>
  <c r="R15"/>
  <c r="R17"/>
  <c r="R19"/>
  <c r="R21"/>
  <c r="R23"/>
  <c r="S24"/>
  <c r="S25"/>
  <c r="Q26"/>
  <c r="A30"/>
  <c r="C30"/>
  <c r="D30"/>
  <c r="E30"/>
  <c r="F30"/>
  <c r="G30"/>
  <c r="H30"/>
  <c r="I30"/>
  <c r="J30"/>
  <c r="K30"/>
  <c r="L30"/>
  <c r="N30"/>
  <c r="O30"/>
  <c r="P30"/>
  <c r="C2" i="3"/>
  <c r="R5"/>
  <c r="R7"/>
  <c r="R9"/>
  <c r="R11"/>
  <c r="R13"/>
  <c r="R15"/>
  <c r="R17"/>
  <c r="R19"/>
  <c r="R21"/>
  <c r="R23"/>
  <c r="R24"/>
  <c r="S25"/>
  <c r="A29"/>
  <c r="C29"/>
  <c r="D29"/>
  <c r="E29"/>
  <c r="F29"/>
  <c r="G29"/>
  <c r="H29"/>
  <c r="I29"/>
  <c r="J29"/>
  <c r="K29"/>
  <c r="L29"/>
  <c r="N29"/>
  <c r="O29"/>
  <c r="P29"/>
  <c r="D2" i="2"/>
  <c r="S5"/>
  <c r="S7"/>
  <c r="S9"/>
  <c r="S11"/>
  <c r="S13"/>
  <c r="S15"/>
  <c r="S17"/>
  <c r="S19"/>
  <c r="S21"/>
  <c r="S23"/>
  <c r="T24"/>
  <c r="B29"/>
  <c r="E29"/>
  <c r="F29"/>
  <c r="G29"/>
  <c r="H29"/>
  <c r="I29"/>
  <c r="J29"/>
  <c r="K29"/>
  <c r="L29"/>
  <c r="M29"/>
  <c r="O29"/>
  <c r="P29"/>
  <c r="Q29"/>
  <c r="T5" i="1"/>
  <c r="T7"/>
  <c r="T9"/>
  <c r="T11"/>
  <c r="T13"/>
  <c r="T15"/>
  <c r="T17"/>
  <c r="T19"/>
  <c r="T21"/>
  <c r="T23"/>
  <c r="U25"/>
  <c r="V6" i="22"/>
  <c r="P6"/>
  <c r="I7" i="21"/>
  <c r="J6"/>
  <c r="D6"/>
  <c r="I6" i="22"/>
  <c r="C6"/>
  <c r="I9"/>
  <c r="C9"/>
  <c r="C8"/>
  <c r="S10"/>
  <c r="R10"/>
  <c r="U13"/>
  <c r="C12"/>
  <c r="V16"/>
  <c r="U17"/>
  <c r="P16"/>
  <c r="O17"/>
  <c r="R19"/>
  <c r="L19"/>
  <c r="U21"/>
  <c r="O21"/>
  <c r="I21"/>
  <c r="P24"/>
  <c r="I25"/>
  <c r="R27"/>
  <c r="F27"/>
  <c r="J28"/>
  <c r="X7" i="21"/>
  <c r="L7" i="22"/>
  <c r="M6"/>
  <c r="F7"/>
  <c r="G6"/>
  <c r="L6"/>
  <c r="F6"/>
  <c r="X9"/>
  <c r="M8"/>
  <c r="G8"/>
  <c r="L8"/>
  <c r="F8"/>
  <c r="J10"/>
  <c r="D10"/>
  <c r="F13"/>
  <c r="U15"/>
  <c r="R17"/>
  <c r="F17"/>
  <c r="V18"/>
  <c r="O19"/>
  <c r="X21"/>
  <c r="R21"/>
  <c r="L21"/>
  <c r="X25"/>
  <c r="R25"/>
  <c r="X29"/>
  <c r="G28"/>
  <c r="U21" i="23" l="1"/>
  <c r="U18"/>
  <c r="U16"/>
  <c r="U14"/>
  <c r="U12"/>
  <c r="U10"/>
  <c r="R24"/>
  <c r="U17"/>
  <c r="U15"/>
  <c r="U13"/>
  <c r="U11"/>
  <c r="U9"/>
  <c r="U20"/>
  <c r="I18" s="1"/>
  <c r="Y28" i="21"/>
  <c r="Z28" s="1"/>
  <c r="X28"/>
  <c r="U29" i="22"/>
  <c r="U29" i="21"/>
  <c r="V28"/>
  <c r="W28" s="1"/>
  <c r="U28"/>
  <c r="R29" i="22"/>
  <c r="R29" i="21"/>
  <c r="R28"/>
  <c r="S28"/>
  <c r="T28" s="1"/>
  <c r="T24" i="6"/>
  <c r="S24"/>
  <c r="O29" i="22"/>
  <c r="O29" i="21"/>
  <c r="P28"/>
  <c r="Q28" s="1"/>
  <c r="O28"/>
  <c r="R24" i="4"/>
  <c r="I26" i="23"/>
  <c r="L26" s="1"/>
  <c r="I25"/>
  <c r="L25" s="1"/>
  <c r="T24" i="1"/>
  <c r="S24"/>
  <c r="U28" i="22"/>
  <c r="I24" i="20"/>
  <c r="O28" i="22"/>
  <c r="G24" i="20"/>
  <c r="L28" i="22"/>
  <c r="J9" i="20"/>
  <c r="F28" i="22"/>
  <c r="H9" i="20"/>
  <c r="I4"/>
  <c r="X28" i="22"/>
  <c r="J24" i="20"/>
  <c r="R28" i="22"/>
  <c r="H24" i="20"/>
  <c r="I28" i="22"/>
  <c r="I9" i="20"/>
  <c r="C28" i="22"/>
  <c r="G9" i="20"/>
  <c r="H4"/>
  <c r="C7" i="21"/>
  <c r="I4" i="16"/>
  <c r="G4"/>
  <c r="I4" i="24"/>
  <c r="G4"/>
  <c r="J24" i="18"/>
  <c r="H24"/>
  <c r="I9"/>
  <c r="G9"/>
  <c r="I24"/>
  <c r="G24"/>
  <c r="J9"/>
  <c r="H9"/>
  <c r="I24" i="19"/>
  <c r="G24"/>
  <c r="H19"/>
  <c r="J9"/>
  <c r="H9"/>
  <c r="H4"/>
  <c r="H24"/>
  <c r="I19"/>
  <c r="G19"/>
  <c r="I9"/>
  <c r="G9"/>
  <c r="I4"/>
  <c r="G4"/>
  <c r="J19"/>
  <c r="J24"/>
  <c r="X27" i="22"/>
  <c r="X26"/>
  <c r="X26" i="21"/>
  <c r="Y26"/>
  <c r="Z26" s="1"/>
  <c r="U27" i="22"/>
  <c r="U27" i="21"/>
  <c r="U26" i="22"/>
  <c r="V26" i="21"/>
  <c r="W26" s="1"/>
  <c r="U26"/>
  <c r="R26" i="22"/>
  <c r="S26" i="21"/>
  <c r="T26" s="1"/>
  <c r="R26"/>
  <c r="O27" i="22"/>
  <c r="O27" i="21"/>
  <c r="O26" i="22"/>
  <c r="O26" i="21"/>
  <c r="P26"/>
  <c r="L27" i="22"/>
  <c r="L27" i="21"/>
  <c r="L26" i="22"/>
  <c r="L26" i="21"/>
  <c r="M26"/>
  <c r="I27" i="22"/>
  <c r="I27" i="21"/>
  <c r="I26" i="22"/>
  <c r="J26" i="21"/>
  <c r="K26" s="1"/>
  <c r="I26"/>
  <c r="F26" i="22"/>
  <c r="G26" i="21"/>
  <c r="H26" s="1"/>
  <c r="F26"/>
  <c r="C27" i="22"/>
  <c r="C27" i="21"/>
  <c r="C26" i="22"/>
  <c r="C26" i="21"/>
  <c r="D26"/>
  <c r="R25"/>
  <c r="S24"/>
  <c r="R24" i="22"/>
  <c r="R24" i="21"/>
  <c r="I25"/>
  <c r="J24"/>
  <c r="K24" s="1"/>
  <c r="D24"/>
  <c r="C25"/>
  <c r="I24" i="22"/>
  <c r="I24" i="21"/>
  <c r="C24" i="22"/>
  <c r="C24" i="21"/>
  <c r="U25" i="22"/>
  <c r="U25" i="21"/>
  <c r="V24"/>
  <c r="O25" i="22"/>
  <c r="P24" i="21"/>
  <c r="O25"/>
  <c r="U24" i="22"/>
  <c r="U24" i="21"/>
  <c r="O24" i="22"/>
  <c r="O24" i="21"/>
  <c r="L25" i="22"/>
  <c r="L25" i="21"/>
  <c r="M24"/>
  <c r="F25" i="22"/>
  <c r="F25" i="21"/>
  <c r="G24"/>
  <c r="L24" i="22"/>
  <c r="L24" i="21"/>
  <c r="F24" i="22"/>
  <c r="F24" i="21"/>
  <c r="X24" i="22"/>
  <c r="X24" i="21"/>
  <c r="Y24"/>
  <c r="Z24" s="1"/>
  <c r="V26" i="22"/>
  <c r="W26" s="1"/>
  <c r="V24"/>
  <c r="W24" s="1"/>
  <c r="G26"/>
  <c r="H26" s="1"/>
  <c r="Q24" i="3"/>
  <c r="S24" i="2"/>
  <c r="H4" i="11"/>
  <c r="H4" i="12"/>
  <c r="H4" i="13"/>
  <c r="X23" i="21"/>
  <c r="Y22"/>
  <c r="R23"/>
  <c r="S22"/>
  <c r="X22" i="22"/>
  <c r="X22" i="21"/>
  <c r="J24" i="24"/>
  <c r="R22" i="22"/>
  <c r="H24" i="24"/>
  <c r="R22" i="21"/>
  <c r="I23"/>
  <c r="J22"/>
  <c r="D22" i="22"/>
  <c r="D22" i="21"/>
  <c r="C23"/>
  <c r="I22"/>
  <c r="I9" i="24"/>
  <c r="C22" i="22"/>
  <c r="G9" i="24"/>
  <c r="C22" i="21"/>
  <c r="J19" i="9"/>
  <c r="H19"/>
  <c r="I4"/>
  <c r="G4"/>
  <c r="J19" i="10"/>
  <c r="H19"/>
  <c r="J4"/>
  <c r="H4"/>
  <c r="J19" i="11"/>
  <c r="H19"/>
  <c r="J19" i="12"/>
  <c r="H19"/>
  <c r="J19" i="13"/>
  <c r="H19"/>
  <c r="I19" i="16"/>
  <c r="G19"/>
  <c r="I19" i="24"/>
  <c r="G19"/>
  <c r="U23" i="21"/>
  <c r="V22"/>
  <c r="P22"/>
  <c r="O23"/>
  <c r="U22" i="22"/>
  <c r="U22" i="21"/>
  <c r="I24" i="24"/>
  <c r="O22" i="22"/>
  <c r="O22" i="21"/>
  <c r="G24" i="24"/>
  <c r="L23" i="21"/>
  <c r="M22"/>
  <c r="F23" i="22"/>
  <c r="F23" i="21"/>
  <c r="G22"/>
  <c r="L22"/>
  <c r="J9" i="24"/>
  <c r="F22" i="21"/>
  <c r="H9" i="24"/>
  <c r="J24" i="9"/>
  <c r="H24"/>
  <c r="I19"/>
  <c r="G19"/>
  <c r="J4"/>
  <c r="H4"/>
  <c r="I19" i="10"/>
  <c r="G19"/>
  <c r="I4"/>
  <c r="G4"/>
  <c r="H24" i="11"/>
  <c r="I19"/>
  <c r="G19"/>
  <c r="I4"/>
  <c r="G4"/>
  <c r="I19" i="12"/>
  <c r="G19"/>
  <c r="G9"/>
  <c r="I4"/>
  <c r="G4"/>
  <c r="I19" i="13"/>
  <c r="G19"/>
  <c r="I4"/>
  <c r="G4"/>
  <c r="J19" i="16"/>
  <c r="H19"/>
  <c r="H4"/>
  <c r="J19" i="24"/>
  <c r="H19"/>
  <c r="H4"/>
  <c r="J19" i="15"/>
  <c r="H19"/>
  <c r="F18" i="21"/>
  <c r="P18"/>
  <c r="F19"/>
  <c r="G9" i="16"/>
  <c r="I9"/>
  <c r="H24"/>
  <c r="J24"/>
  <c r="G9" i="13"/>
  <c r="I9"/>
  <c r="H24"/>
  <c r="J24"/>
  <c r="I9" i="12"/>
  <c r="H24"/>
  <c r="J24"/>
  <c r="G9" i="11"/>
  <c r="I9"/>
  <c r="J24"/>
  <c r="G9" i="9"/>
  <c r="I9"/>
  <c r="G9" i="10"/>
  <c r="I9"/>
  <c r="H24"/>
  <c r="J24"/>
  <c r="D20" i="21"/>
  <c r="F20"/>
  <c r="I20"/>
  <c r="M20"/>
  <c r="N20" s="1"/>
  <c r="P20"/>
  <c r="Q20" s="1"/>
  <c r="U20"/>
  <c r="Y20"/>
  <c r="Z20" s="1"/>
  <c r="F21"/>
  <c r="R21"/>
  <c r="T20" s="1"/>
  <c r="I4" i="14"/>
  <c r="G4"/>
  <c r="I19" i="15"/>
  <c r="G19"/>
  <c r="H4"/>
  <c r="I4"/>
  <c r="G4"/>
  <c r="M18" i="21"/>
  <c r="N18" s="1"/>
  <c r="U18"/>
  <c r="H9" i="16"/>
  <c r="J9"/>
  <c r="G24"/>
  <c r="I24"/>
  <c r="H9" i="13"/>
  <c r="J9"/>
  <c r="G24"/>
  <c r="I24"/>
  <c r="H9" i="12"/>
  <c r="J9"/>
  <c r="G24"/>
  <c r="I24"/>
  <c r="H9" i="11"/>
  <c r="J9"/>
  <c r="G24"/>
  <c r="I24"/>
  <c r="H9" i="9"/>
  <c r="J9"/>
  <c r="G24"/>
  <c r="I24"/>
  <c r="H9" i="10"/>
  <c r="J9"/>
  <c r="G24"/>
  <c r="I24"/>
  <c r="C20" i="21"/>
  <c r="G20"/>
  <c r="H20" s="1"/>
  <c r="J20"/>
  <c r="K20" s="1"/>
  <c r="L20"/>
  <c r="O20"/>
  <c r="V20"/>
  <c r="W20" s="1"/>
  <c r="X20"/>
  <c r="C21"/>
  <c r="Q18"/>
  <c r="J19" i="14"/>
  <c r="H19"/>
  <c r="D18" i="21"/>
  <c r="I18"/>
  <c r="R18"/>
  <c r="Y18"/>
  <c r="Z18" s="1"/>
  <c r="R19"/>
  <c r="T18" s="1"/>
  <c r="G9" i="15"/>
  <c r="I9"/>
  <c r="H24"/>
  <c r="J24"/>
  <c r="I19" i="14"/>
  <c r="G19"/>
  <c r="H4"/>
  <c r="C18" i="21"/>
  <c r="G18"/>
  <c r="J18"/>
  <c r="K18" s="1"/>
  <c r="L18"/>
  <c r="O18"/>
  <c r="V18"/>
  <c r="W18" s="1"/>
  <c r="X18"/>
  <c r="C19"/>
  <c r="H9" i="15"/>
  <c r="J9"/>
  <c r="G24"/>
  <c r="I24"/>
  <c r="E6" i="21"/>
  <c r="K6"/>
  <c r="J9" i="14"/>
  <c r="H9"/>
  <c r="G24"/>
  <c r="J24"/>
  <c r="H24"/>
  <c r="G9"/>
  <c r="I9"/>
  <c r="I24"/>
  <c r="O14" i="21"/>
  <c r="U16"/>
  <c r="O15"/>
  <c r="Y18" i="22"/>
  <c r="X16" i="21"/>
  <c r="Y16"/>
  <c r="Z16" s="1"/>
  <c r="V16"/>
  <c r="W16" s="1"/>
  <c r="S16"/>
  <c r="T16" s="1"/>
  <c r="R16"/>
  <c r="P16"/>
  <c r="Q16" s="1"/>
  <c r="O16"/>
  <c r="L16"/>
  <c r="M16"/>
  <c r="N16" s="1"/>
  <c r="I17"/>
  <c r="J16"/>
  <c r="I16"/>
  <c r="G16"/>
  <c r="H16" s="1"/>
  <c r="F16"/>
  <c r="C17"/>
  <c r="D16" i="22"/>
  <c r="E16" s="1"/>
  <c r="D16" i="21"/>
  <c r="E16" s="1"/>
  <c r="C16"/>
  <c r="X15"/>
  <c r="Y14"/>
  <c r="Y16" i="22"/>
  <c r="X14" i="21"/>
  <c r="U14"/>
  <c r="V14"/>
  <c r="W14" s="1"/>
  <c r="R15"/>
  <c r="S16" i="22"/>
  <c r="T16" s="1"/>
  <c r="S14" i="21"/>
  <c r="T14" s="1"/>
  <c r="S14" i="22"/>
  <c r="T14" s="1"/>
  <c r="R14" i="21"/>
  <c r="P14"/>
  <c r="L15" i="22"/>
  <c r="N14" s="1"/>
  <c r="L15" i="21"/>
  <c r="M14"/>
  <c r="M16" i="22"/>
  <c r="L14" i="21"/>
  <c r="I15"/>
  <c r="I14"/>
  <c r="J16" i="22"/>
  <c r="K16" s="1"/>
  <c r="J14" i="21"/>
  <c r="F15"/>
  <c r="F14"/>
  <c r="G14"/>
  <c r="H14" s="1"/>
  <c r="C15"/>
  <c r="D14"/>
  <c r="C14"/>
  <c r="H5" i="23"/>
  <c r="C13" i="21"/>
  <c r="H7" i="23"/>
  <c r="X13" i="21"/>
  <c r="Y12"/>
  <c r="Y14" i="22"/>
  <c r="Z14" s="1"/>
  <c r="X12" i="21"/>
  <c r="V12"/>
  <c r="W12" s="1"/>
  <c r="V14" i="22"/>
  <c r="W14" s="1"/>
  <c r="U12" i="21"/>
  <c r="R13"/>
  <c r="S12"/>
  <c r="S12" i="22"/>
  <c r="T12" s="1"/>
  <c r="R12" i="21"/>
  <c r="O13"/>
  <c r="O13" i="22"/>
  <c r="Q12" s="1"/>
  <c r="O12" i="21"/>
  <c r="P14" i="22"/>
  <c r="Q14" s="1"/>
  <c r="P12" i="21"/>
  <c r="Q12" s="1"/>
  <c r="L12"/>
  <c r="M12"/>
  <c r="N12" s="1"/>
  <c r="I13"/>
  <c r="J12"/>
  <c r="I12"/>
  <c r="F15" i="22"/>
  <c r="H14" s="1"/>
  <c r="F12" i="21"/>
  <c r="G12"/>
  <c r="H12" s="1"/>
  <c r="D12"/>
  <c r="E12" s="1"/>
  <c r="C12"/>
  <c r="H6" i="23"/>
  <c r="H8"/>
  <c r="N21" i="25"/>
  <c r="N15"/>
  <c r="N6"/>
  <c r="C10" i="21"/>
  <c r="X11"/>
  <c r="Y10"/>
  <c r="X10" i="22"/>
  <c r="V10" i="21"/>
  <c r="U11"/>
  <c r="S10"/>
  <c r="R11"/>
  <c r="R10"/>
  <c r="O11"/>
  <c r="P10"/>
  <c r="L11"/>
  <c r="M10"/>
  <c r="L10"/>
  <c r="I10"/>
  <c r="J10"/>
  <c r="K10" s="1"/>
  <c r="F11"/>
  <c r="G10"/>
  <c r="F10"/>
  <c r="D10"/>
  <c r="E10" s="1"/>
  <c r="R9" i="22"/>
  <c r="H6"/>
  <c r="N6"/>
  <c r="R7"/>
  <c r="I8"/>
  <c r="D8"/>
  <c r="J8"/>
  <c r="K8" s="1"/>
  <c r="C7"/>
  <c r="E6" s="1"/>
  <c r="I7"/>
  <c r="D4" i="23"/>
  <c r="B4"/>
  <c r="H12" i="25"/>
  <c r="N24"/>
  <c r="D8" i="21"/>
  <c r="E8" s="1"/>
  <c r="G8"/>
  <c r="P8"/>
  <c r="S8"/>
  <c r="T8" s="1"/>
  <c r="F9"/>
  <c r="L9"/>
  <c r="X9"/>
  <c r="Z8" s="1"/>
  <c r="J8"/>
  <c r="K8" s="1"/>
  <c r="M8"/>
  <c r="O8"/>
  <c r="V8"/>
  <c r="O9"/>
  <c r="U9"/>
  <c r="V10" i="22"/>
  <c r="W10" s="1"/>
  <c r="U10"/>
  <c r="P10"/>
  <c r="Q10" s="1"/>
  <c r="O10"/>
  <c r="N8"/>
  <c r="H8"/>
  <c r="C4" i="23"/>
  <c r="E24"/>
  <c r="C24"/>
  <c r="L6" i="25"/>
  <c r="E27"/>
  <c r="K21"/>
  <c r="I21"/>
  <c r="G21"/>
  <c r="E15"/>
  <c r="N18"/>
  <c r="Y8" i="22"/>
  <c r="Z8" s="1"/>
  <c r="X8"/>
  <c r="V8"/>
  <c r="W8" s="1"/>
  <c r="U7"/>
  <c r="W6" s="1"/>
  <c r="U8"/>
  <c r="U6" i="21"/>
  <c r="S8" i="22"/>
  <c r="T8" s="1"/>
  <c r="R6"/>
  <c r="S6"/>
  <c r="R8"/>
  <c r="R6" i="21"/>
  <c r="S6"/>
  <c r="T6" s="1"/>
  <c r="O7" i="22"/>
  <c r="Q6" s="1"/>
  <c r="O6" i="21"/>
  <c r="D6" i="25"/>
  <c r="E8" i="22"/>
  <c r="X6" i="21"/>
  <c r="Y6"/>
  <c r="Z6" s="1"/>
  <c r="J27" i="25"/>
  <c r="H27"/>
  <c r="F27"/>
  <c r="X6" i="22"/>
  <c r="Y6"/>
  <c r="Z6" s="1"/>
  <c r="D24" i="23"/>
  <c r="J18" i="25"/>
  <c r="F18"/>
  <c r="B24" i="23"/>
  <c r="I11" i="22"/>
  <c r="K10" s="1"/>
  <c r="D9" i="23"/>
  <c r="G16" i="22"/>
  <c r="H16" s="1"/>
  <c r="G12"/>
  <c r="H12" s="1"/>
  <c r="G18"/>
  <c r="H18" s="1"/>
  <c r="G10"/>
  <c r="H10" s="1"/>
  <c r="C15"/>
  <c r="E14" s="1"/>
  <c r="C11"/>
  <c r="E10" s="1"/>
  <c r="D28"/>
  <c r="C25"/>
  <c r="C13"/>
  <c r="E12" s="1"/>
  <c r="B9" i="23"/>
  <c r="M6" i="25"/>
  <c r="C6"/>
  <c r="Q16" i="22"/>
  <c r="T10"/>
  <c r="K6"/>
  <c r="B21" i="12"/>
  <c r="G21" s="1"/>
  <c r="K24" i="25"/>
  <c r="I24"/>
  <c r="G24"/>
  <c r="E24"/>
  <c r="G9"/>
  <c r="N12"/>
  <c r="C9" i="23"/>
  <c r="E9"/>
  <c r="N27" i="25"/>
  <c r="V28" i="22"/>
  <c r="W28" s="1"/>
  <c r="Q24" i="4"/>
  <c r="E4" i="20"/>
  <c r="J4" s="1"/>
  <c r="M28" i="22"/>
  <c r="N28" s="1"/>
  <c r="R24" i="2"/>
  <c r="N9" i="25"/>
  <c r="C29" i="22"/>
  <c r="X17"/>
  <c r="J14"/>
  <c r="K14" s="1"/>
  <c r="Y12"/>
  <c r="Z12" s="1"/>
  <c r="F7" i="21"/>
  <c r="L7"/>
  <c r="N6" s="1"/>
  <c r="J12" i="22"/>
  <c r="K12" s="1"/>
  <c r="V12"/>
  <c r="W12" s="1"/>
  <c r="Y10"/>
  <c r="Z10" s="1"/>
  <c r="O9"/>
  <c r="Q8" s="1"/>
  <c r="P6" i="21"/>
  <c r="Q6" s="1"/>
  <c r="V6"/>
  <c r="W6" s="1"/>
  <c r="J24" i="25"/>
  <c r="H24"/>
  <c r="F24"/>
  <c r="K27"/>
  <c r="I27"/>
  <c r="G27"/>
  <c r="E21"/>
  <c r="K9"/>
  <c r="Y28" i="22"/>
  <c r="Z28" s="1"/>
  <c r="Y26"/>
  <c r="S28"/>
  <c r="T28" s="1"/>
  <c r="S26"/>
  <c r="T26" s="1"/>
  <c r="P28"/>
  <c r="Q28" s="1"/>
  <c r="H28"/>
  <c r="K28"/>
  <c r="J6" i="25"/>
  <c r="H6"/>
  <c r="F6"/>
  <c r="Q24" i="22"/>
  <c r="B6" i="9"/>
  <c r="G6" s="1"/>
  <c r="B6" i="10"/>
  <c r="G6" s="1"/>
  <c r="B21" i="23"/>
  <c r="B6"/>
  <c r="K6" i="25"/>
  <c r="I6"/>
  <c r="G6"/>
  <c r="E6"/>
  <c r="H18"/>
  <c r="K12"/>
  <c r="I12"/>
  <c r="G12"/>
  <c r="E12"/>
  <c r="J12"/>
  <c r="F12"/>
  <c r="I9"/>
  <c r="E9"/>
  <c r="M26" i="22"/>
  <c r="E4" i="19"/>
  <c r="J4" s="1"/>
  <c r="E4" i="24"/>
  <c r="J4" s="1"/>
  <c r="L17" i="22"/>
  <c r="M12"/>
  <c r="J15" i="25"/>
  <c r="H15"/>
  <c r="F15"/>
  <c r="K15"/>
  <c r="I15"/>
  <c r="G15"/>
  <c r="L13" i="22"/>
  <c r="M10"/>
  <c r="N10" s="1"/>
  <c r="E4" i="11"/>
  <c r="J4" s="1"/>
  <c r="E4" i="16"/>
  <c r="J4" s="1"/>
  <c r="E4" i="15"/>
  <c r="J4" s="1"/>
  <c r="E4" i="14"/>
  <c r="J4" s="1"/>
  <c r="E4" i="13"/>
  <c r="J4" s="1"/>
  <c r="E4" i="12"/>
  <c r="J4" s="1"/>
  <c r="Y24" i="22"/>
  <c r="Z24" s="1"/>
  <c r="S24"/>
  <c r="T24" s="1"/>
  <c r="P26"/>
  <c r="M24"/>
  <c r="N24" s="1"/>
  <c r="J26"/>
  <c r="D26"/>
  <c r="E26" s="1"/>
  <c r="B6" i="19"/>
  <c r="G6" s="1"/>
  <c r="L22" i="22"/>
  <c r="G22"/>
  <c r="H22" s="1"/>
  <c r="L23"/>
  <c r="O23"/>
  <c r="R23"/>
  <c r="U23"/>
  <c r="X23"/>
  <c r="P22"/>
  <c r="Q22" s="1"/>
  <c r="V22"/>
  <c r="C23"/>
  <c r="E22" s="1"/>
  <c r="I23"/>
  <c r="B21" i="19"/>
  <c r="G21" s="1"/>
  <c r="J21" i="25"/>
  <c r="H21"/>
  <c r="F21"/>
  <c r="K18"/>
  <c r="I18"/>
  <c r="G18"/>
  <c r="E18"/>
  <c r="J9"/>
  <c r="H9"/>
  <c r="F9"/>
  <c r="F22" i="22"/>
  <c r="I22"/>
  <c r="J22"/>
  <c r="M22"/>
  <c r="S22"/>
  <c r="T22" s="1"/>
  <c r="Y22"/>
  <c r="J24"/>
  <c r="K24" s="1"/>
  <c r="G24"/>
  <c r="H24" s="1"/>
  <c r="B6" i="24"/>
  <c r="G6" s="1"/>
  <c r="D24" i="22"/>
  <c r="W16"/>
  <c r="B21" i="9"/>
  <c r="G21" s="1"/>
  <c r="B21" i="10"/>
  <c r="G21" s="1"/>
  <c r="B6" i="11"/>
  <c r="G6" s="1"/>
  <c r="B21" i="13"/>
  <c r="G21" s="1"/>
  <c r="B21" i="18"/>
  <c r="G21" s="1"/>
  <c r="G21" i="20"/>
  <c r="H6" i="21"/>
  <c r="B21" i="11"/>
  <c r="G21" s="1"/>
  <c r="B6" i="12"/>
  <c r="G6" s="1"/>
  <c r="B6" i="13"/>
  <c r="G6" s="1"/>
  <c r="B21" i="14"/>
  <c r="G21" s="1"/>
  <c r="B6"/>
  <c r="G6" s="1"/>
  <c r="B6" i="18"/>
  <c r="G6" s="1"/>
  <c r="G6" i="20"/>
  <c r="B21" i="24"/>
  <c r="G21" s="1"/>
  <c r="S20" i="22"/>
  <c r="T20" s="1"/>
  <c r="R20"/>
  <c r="C21"/>
  <c r="E20" s="1"/>
  <c r="X19"/>
  <c r="B21" i="15"/>
  <c r="G21" s="1"/>
  <c r="Y20" i="22"/>
  <c r="Z20" s="1"/>
  <c r="U19"/>
  <c r="W18" s="1"/>
  <c r="B21" i="16"/>
  <c r="G21" s="1"/>
  <c r="V20" i="22"/>
  <c r="W20" s="1"/>
  <c r="S18"/>
  <c r="P20"/>
  <c r="Q20" s="1"/>
  <c r="P18"/>
  <c r="B6" i="15"/>
  <c r="G6" s="1"/>
  <c r="M20" i="22"/>
  <c r="N20" s="1"/>
  <c r="M18"/>
  <c r="N18" s="1"/>
  <c r="I19"/>
  <c r="J20"/>
  <c r="K20" s="1"/>
  <c r="J18"/>
  <c r="G20"/>
  <c r="H20" s="1"/>
  <c r="B6" i="16"/>
  <c r="G6" s="1"/>
  <c r="D18" i="22"/>
  <c r="K18" i="23" l="1"/>
  <c r="E28" i="22"/>
  <c r="K15" i="23"/>
  <c r="M15"/>
  <c r="J18"/>
  <c r="M18"/>
  <c r="L15"/>
  <c r="I15"/>
  <c r="L18"/>
  <c r="J15"/>
  <c r="Q26" i="21"/>
  <c r="E26"/>
  <c r="N24"/>
  <c r="Q24"/>
  <c r="W24"/>
  <c r="N26"/>
  <c r="Z26" i="22"/>
  <c r="Q26"/>
  <c r="N26"/>
  <c r="K26"/>
  <c r="Z18"/>
  <c r="Q22" i="21"/>
  <c r="H24"/>
  <c r="E24"/>
  <c r="T24"/>
  <c r="H18"/>
  <c r="H22"/>
  <c r="N22"/>
  <c r="W22"/>
  <c r="E22"/>
  <c r="K22"/>
  <c r="T22"/>
  <c r="Z22"/>
  <c r="K16"/>
  <c r="E20"/>
  <c r="Z12"/>
  <c r="E14"/>
  <c r="Q14"/>
  <c r="E18"/>
  <c r="H15" i="23"/>
  <c r="K14" i="21"/>
  <c r="Z14"/>
  <c r="Z16" i="22"/>
  <c r="N16"/>
  <c r="N14" i="21"/>
  <c r="H10"/>
  <c r="T12"/>
  <c r="K12"/>
  <c r="E24" i="22"/>
  <c r="T6"/>
  <c r="H8" i="21"/>
  <c r="N10"/>
  <c r="Q10"/>
  <c r="T10"/>
  <c r="Z10"/>
  <c r="W10"/>
  <c r="W22" i="22"/>
  <c r="W8" i="21"/>
  <c r="N8"/>
  <c r="Q8"/>
  <c r="D33"/>
  <c r="N22" i="22"/>
  <c r="N12"/>
  <c r="E4" i="23"/>
  <c r="V33" i="21"/>
  <c r="V31" i="22"/>
  <c r="Z22"/>
  <c r="Y33"/>
  <c r="P33" i="21"/>
  <c r="J33"/>
  <c r="K22" i="22"/>
  <c r="S33" i="21"/>
  <c r="S31" i="22"/>
  <c r="J33"/>
  <c r="G31"/>
  <c r="G33"/>
  <c r="D33"/>
  <c r="Y33" i="21"/>
  <c r="Y31"/>
  <c r="Y31" i="22"/>
  <c r="V33"/>
  <c r="V31" i="21"/>
  <c r="T18" i="22"/>
  <c r="S33"/>
  <c r="S31" i="21"/>
  <c r="P31"/>
  <c r="P31" i="22"/>
  <c r="Q18"/>
  <c r="P33"/>
  <c r="M31" i="21"/>
  <c r="M33" i="22"/>
  <c r="M33" i="21"/>
  <c r="M31" i="22"/>
  <c r="K18"/>
  <c r="J31" i="21"/>
  <c r="J31" i="22"/>
  <c r="G31" i="21"/>
  <c r="G33"/>
  <c r="D31" i="22"/>
  <c r="E18"/>
  <c r="D31" i="21"/>
  <c r="H18" i="23" l="1"/>
  <c r="U23"/>
</calcChain>
</file>

<file path=xl/comments1.xml><?xml version="1.0" encoding="utf-8"?>
<comments xmlns="http://schemas.openxmlformats.org/spreadsheetml/2006/main">
  <authors>
    <author>Ivo Mráz</author>
  </authors>
  <commentList>
    <comment ref="I17" authorId="0">
      <text>
        <r>
          <rPr>
            <sz val="9"/>
            <color indexed="81"/>
            <rFont val="Tahoma"/>
            <family val="2"/>
            <charset val="238"/>
          </rPr>
          <t>část června nešel kalorimetr</t>
        </r>
      </text>
    </comment>
  </commentList>
</comments>
</file>

<file path=xl/comments2.xml><?xml version="1.0" encoding="utf-8"?>
<comments xmlns="http://schemas.openxmlformats.org/spreadsheetml/2006/main">
  <authors>
    <author>Ivo Mráz</author>
  </authors>
  <commentList>
    <comment ref="B7" authorId="0">
      <text>
        <r>
          <rPr>
            <b/>
            <sz val="9"/>
            <color indexed="81"/>
            <rFont val="Tahoma"/>
            <family val="2"/>
            <charset val="238"/>
          </rPr>
          <t>14.2.2019 výměna faktur.vodoměru</t>
        </r>
      </text>
    </comment>
  </commentList>
</comments>
</file>

<file path=xl/comments3.xml><?xml version="1.0" encoding="utf-8"?>
<comments xmlns="http://schemas.openxmlformats.org/spreadsheetml/2006/main">
  <authors>
    <author>Ivo Mráz</author>
  </authors>
  <commentList>
    <comment ref="I3" authorId="0">
      <text>
        <r>
          <rPr>
            <b/>
            <sz val="9"/>
            <color indexed="81"/>
            <rFont val="Tahoma"/>
            <family val="2"/>
            <charset val="238"/>
          </rPr>
          <t>netroufám si ale něco označit</t>
        </r>
      </text>
    </comment>
    <comment ref="J4" authorId="0">
      <text>
        <r>
          <rPr>
            <b/>
            <sz val="9"/>
            <color indexed="81"/>
            <rFont val="Tahoma"/>
            <family val="2"/>
            <charset val="238"/>
          </rPr>
          <t>1853 by mohl jako jediný asi vyhovovat</t>
        </r>
      </text>
    </comment>
  </commentList>
</comments>
</file>

<file path=xl/comments4.xml><?xml version="1.0" encoding="utf-8"?>
<comments xmlns="http://schemas.openxmlformats.org/spreadsheetml/2006/main">
  <authors>
    <author>HP-HP</author>
    <author/>
    <author>Ivo Mráz</author>
  </authors>
  <commentList>
    <comment ref="E5" authorId="0">
      <text>
        <r>
          <rPr>
            <b/>
            <sz val="9"/>
            <color indexed="81"/>
            <rFont val="Tahoma"/>
            <family val="2"/>
            <charset val="238"/>
          </rPr>
          <t>Včetně zahrady</t>
        </r>
      </text>
    </comment>
    <comment ref="B15" authorId="1">
      <text>
        <r>
          <rPr>
            <b/>
            <sz val="9"/>
            <color indexed="8"/>
            <rFont val="Tahoma"/>
            <family val="2"/>
            <charset val="238"/>
          </rPr>
          <t>rozpis pro vyúčtování vedle</t>
        </r>
      </text>
    </comment>
    <comment ref="P20" authorId="2">
      <text>
        <r>
          <rPr>
            <b/>
            <sz val="9"/>
            <color indexed="81"/>
            <rFont val="Tahoma"/>
            <family val="2"/>
            <charset val="238"/>
          </rPr>
          <t>Ivo Mráz:</t>
        </r>
        <r>
          <rPr>
            <sz val="9"/>
            <color indexed="81"/>
            <rFont val="Tahoma"/>
            <family val="2"/>
            <charset val="238"/>
          </rPr>
          <t xml:space="preserve">
Začátek fakturační vodoměr 4.11.2019</t>
        </r>
      </text>
    </comment>
    <comment ref="Q20" authorId="2">
      <text>
        <r>
          <rPr>
            <b/>
            <sz val="9"/>
            <color indexed="81"/>
            <rFont val="Tahoma"/>
            <family val="2"/>
            <charset val="238"/>
          </rPr>
          <t>Ivo Mráz:</t>
        </r>
        <r>
          <rPr>
            <sz val="9"/>
            <color indexed="81"/>
            <rFont val="Tahoma"/>
            <family val="2"/>
            <charset val="238"/>
          </rPr>
          <t xml:space="preserve">
Konec fakturační vodoměr 10.11.2019</t>
        </r>
      </text>
    </comment>
  </commentList>
</comments>
</file>

<file path=xl/sharedStrings.xml><?xml version="1.0" encoding="utf-8"?>
<sst xmlns="http://schemas.openxmlformats.org/spreadsheetml/2006/main" count="1235" uniqueCount="367">
  <si>
    <t>voda</t>
  </si>
  <si>
    <t>teplo</t>
  </si>
  <si>
    <t xml:space="preserve">byt č. </t>
  </si>
  <si>
    <t>prosinec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</si>
  <si>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</si>
  <si>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</si>
  <si>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</si>
  <si>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</si>
  <si>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</si>
  <si>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</si>
  <si>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</si>
  <si>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</si>
  <si>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</si>
  <si>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</si>
  <si>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</si>
  <si>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kalorimetr č.    SN 34582391</t>
  </si>
  <si>
    <t>kalorimetr č.    SN 34582401</t>
  </si>
  <si>
    <t>kalorimetr č.    SN 34582385</t>
  </si>
  <si>
    <t>kalorimetr č.    SN 34582414</t>
  </si>
  <si>
    <t>kalorimetr č.    SN 34582396</t>
  </si>
  <si>
    <t>kalorimetr č.    SN 34582416</t>
  </si>
  <si>
    <t>kalorimetr č.    SN 34582423</t>
  </si>
  <si>
    <t>kalorimetr č.    SN 34582410</t>
  </si>
  <si>
    <t>kalorimetr č.    SN 34582408</t>
  </si>
  <si>
    <t>kalorimetr č.    SN 34582413</t>
  </si>
  <si>
    <t>spol.spotř.</t>
  </si>
  <si>
    <t>elektroměr č.        18972503</t>
  </si>
  <si>
    <t>patní kalorimetr č./MWh</t>
  </si>
  <si>
    <t>patní kalorimetr č./kub.m</t>
  </si>
  <si>
    <t>modře - žádný nárůst</t>
  </si>
  <si>
    <t>Nové</t>
  </si>
  <si>
    <t>číslování</t>
  </si>
  <si>
    <t>kalorimetr č.    SN 34582402</t>
  </si>
  <si>
    <t>2 a 3</t>
  </si>
  <si>
    <t>kalorimetr č.    SN 34582400</t>
  </si>
  <si>
    <t>5 a 6</t>
  </si>
  <si>
    <t>kalorimetr č.    SN 34582398</t>
  </si>
  <si>
    <t>kalorimetr č.    SN 34582419</t>
  </si>
  <si>
    <t>8 a 9</t>
  </si>
  <si>
    <t>kalorimetr č.    SN 34582384</t>
  </si>
  <si>
    <t>11 a 15</t>
  </si>
  <si>
    <t>kalorimetr č.    SN 34582397</t>
  </si>
  <si>
    <t>kalorimetr č.    SN 34582417</t>
  </si>
  <si>
    <t>12 a 13</t>
  </si>
  <si>
    <t>kalorimetr č.    SN 34582392</t>
  </si>
  <si>
    <t>kalorimetr č.    SN 34582418</t>
  </si>
  <si>
    <t>kalorimetr č.    SN 34582411</t>
  </si>
  <si>
    <t>elektroměr č.        72350116</t>
  </si>
  <si>
    <t>patní kalorimetr č. /MWh</t>
  </si>
  <si>
    <t>VODOMĚRY TEPLÁ VODA</t>
  </si>
  <si>
    <t>kalorimetr č.    SN 34582388</t>
  </si>
  <si>
    <t>kalorimetr č.    SN 34582394</t>
  </si>
  <si>
    <t>kalorimetr č.    SN 34582389</t>
  </si>
  <si>
    <t>kalorimetr č.    SN 34582395</t>
  </si>
  <si>
    <t>kalorimetr č.    SN 34582393</t>
  </si>
  <si>
    <t>kalorimetr č.    SN 34582399</t>
  </si>
  <si>
    <t>kalorimetr č.    SN 34582404</t>
  </si>
  <si>
    <t>kalorimetr č.    SN 34582406</t>
  </si>
  <si>
    <t>kalorimetr č.    SN 34582405</t>
  </si>
  <si>
    <t>kalorimetr č.    SN 34582407</t>
  </si>
  <si>
    <t>elektroměr č.       723 50117</t>
  </si>
  <si>
    <t>Voda</t>
  </si>
  <si>
    <t>Teplo</t>
  </si>
  <si>
    <t>Elektr</t>
  </si>
  <si>
    <t>kalorimetr č.    SN 34582390</t>
  </si>
  <si>
    <t>kalorimetr č.    SN 34582422</t>
  </si>
  <si>
    <t>kalorimetr č.    SN 34582386</t>
  </si>
  <si>
    <t>kalorimetr č.    SN 34582421</t>
  </si>
  <si>
    <t>kalorimetr č.    SN 34582387</t>
  </si>
  <si>
    <t>kalorimetr č.    SN 34582420</t>
  </si>
  <si>
    <t>kalorimetr č.    SN 34582412</t>
  </si>
  <si>
    <t>kalorimetr č.    SN 34582403</t>
  </si>
  <si>
    <t>kalorimetr č.    SN 34582409</t>
  </si>
  <si>
    <t>kalorimetr č.    SN 34582415</t>
  </si>
  <si>
    <t>elektroměr č.  72350114 dům</t>
  </si>
  <si>
    <t>elektroměr č.  72325367  VO</t>
  </si>
  <si>
    <t>vodoměr areál  č.10282180</t>
  </si>
  <si>
    <t>patní kalorimetr č./ MWh</t>
  </si>
  <si>
    <t>patní kalorimetr č. /kub.m</t>
  </si>
  <si>
    <t>kalorimetr č.    SN 34672835</t>
  </si>
  <si>
    <t>kalorimetr č.    SN 34672801</t>
  </si>
  <si>
    <t>kalorimetr č.    SN 34672802</t>
  </si>
  <si>
    <t>kalorimetr č.    SN 34672814</t>
  </si>
  <si>
    <t>kalorimetr č.    SN 34672815</t>
  </si>
  <si>
    <t>kalorimetr č.    SN 34672806</t>
  </si>
  <si>
    <t>kalorimetr č.    SN 34672809</t>
  </si>
  <si>
    <t>kalorimetr č.    SN 34672804</t>
  </si>
  <si>
    <t>kalorimetr č.    SN 34672829</t>
  </si>
  <si>
    <t>elektroměr č.        72370871</t>
  </si>
  <si>
    <t>patní kalorimetr č. / MWh</t>
  </si>
  <si>
    <t>patní kalorimetr č.  / kub.m</t>
  </si>
  <si>
    <t>kalorimetr č.    SN 34672816</t>
  </si>
  <si>
    <t>kalorimetr č.    SN 34672822</t>
  </si>
  <si>
    <t>kalorimetr č.    SN 34672827</t>
  </si>
  <si>
    <t>kalorimetr č.    SN 34672837</t>
  </si>
  <si>
    <t>kalorimetr č.    SN 34672834</t>
  </si>
  <si>
    <t>kalorimetr č.    SN 34672819</t>
  </si>
  <si>
    <t>kalorimetr č.    SN 34672826</t>
  </si>
  <si>
    <t>kalorimetr č.    SN 34672818</t>
  </si>
  <si>
    <t>kalorimetr č.    SN 34672812</t>
  </si>
  <si>
    <t>kalorimetr č.    SN 34672823</t>
  </si>
  <si>
    <t>elektroměr č.        72370870</t>
  </si>
  <si>
    <t>kalorimetr č.    SN 34672813</t>
  </si>
  <si>
    <t>kalorimetr č.    SN 34672830</t>
  </si>
  <si>
    <t>kalorimetr č.    SN 34672808</t>
  </si>
  <si>
    <t>kalorimetr č.    SN 34672836</t>
  </si>
  <si>
    <t>kalorimetr č.    SN 34672800</t>
  </si>
  <si>
    <t>kalorimetr č.    SN 34672833</t>
  </si>
  <si>
    <t>kalorimetr č.    SN 34672817</t>
  </si>
  <si>
    <t>kalorimetr č.    SN 34672810</t>
  </si>
  <si>
    <t>kalorimetr č.    SN 34672824</t>
  </si>
  <si>
    <t>kalorimetr č.    SN 34672832</t>
  </si>
  <si>
    <t>elektroměr č.         72371793</t>
  </si>
  <si>
    <t>kalorimetr č.    SN 34672828</t>
  </si>
  <si>
    <t>kalorimetr č.    SN 34672811</t>
  </si>
  <si>
    <t>kalorimetr č.    SN 34672803</t>
  </si>
  <si>
    <t>kalorimetr č.    SN 34672807</t>
  </si>
  <si>
    <t>kalorimetr č.    SN 34672838</t>
  </si>
  <si>
    <t>kalorimetr č.    SN 34672805</t>
  </si>
  <si>
    <t>kalorimetr č.    SN 34672821</t>
  </si>
  <si>
    <t>kalorimetr č.    SN 34672820</t>
  </si>
  <si>
    <t>kalorimetr č.    SN 34672831</t>
  </si>
  <si>
    <t>kalorimetr č.    SN 34672825</t>
  </si>
  <si>
    <t>elektroměr č.        72370868</t>
  </si>
  <si>
    <t>Sumář - spotřeba leden</t>
  </si>
  <si>
    <t>Voda - m3</t>
  </si>
  <si>
    <t>Náměry bytových vodoměrů</t>
  </si>
  <si>
    <t>Patní vodoměry</t>
  </si>
  <si>
    <t>Součet patních vodoměrů</t>
  </si>
  <si>
    <t>fakturační vodoměr</t>
  </si>
  <si>
    <t>Teplo - GJ</t>
  </si>
  <si>
    <t>Náměry bytových kalorimetrů</t>
  </si>
  <si>
    <t>Fakturační kalorimetry</t>
  </si>
  <si>
    <t>Elektřina - kWh</t>
  </si>
  <si>
    <t>Elektroměr dům</t>
  </si>
  <si>
    <t>Elektroměr areál</t>
  </si>
  <si>
    <t>Vodoměr areál</t>
  </si>
  <si>
    <t>Sumář - spotřeba únor</t>
  </si>
  <si>
    <t xml:space="preserve">Elektřina - </t>
  </si>
  <si>
    <t>Sumář - spotřeba březen</t>
  </si>
  <si>
    <t>Sumář - spotřeba duben</t>
  </si>
  <si>
    <t>Sumář - spotřeba květen</t>
  </si>
  <si>
    <t>Sumář - spotřeba červen</t>
  </si>
  <si>
    <t>Sumář - spotřeba červenec</t>
  </si>
  <si>
    <t>Sumář - spotřeba srpen</t>
  </si>
  <si>
    <t>Sumář - spotřeba září</t>
  </si>
  <si>
    <t>Sumář - spotřeba říjen</t>
  </si>
  <si>
    <t>Sumář - spotřeba listopad</t>
  </si>
  <si>
    <t>Sumář - spotřeba prosinec</t>
  </si>
  <si>
    <t>Přehled rozdílů a ztrát za teplo v GJ</t>
  </si>
  <si>
    <t>odečet</t>
  </si>
  <si>
    <t>rozdíl [GJ]</t>
  </si>
  <si>
    <t>rozdíl [%]</t>
  </si>
  <si>
    <t>součty kal.</t>
  </si>
  <si>
    <t>faktur.kal.</t>
  </si>
  <si>
    <t>CELKEM ROZDÍL v GJ</t>
  </si>
  <si>
    <t>CELKEM ROZDÍL v %</t>
  </si>
  <si>
    <t>Sumář - spotřeba rok</t>
  </si>
  <si>
    <t>z toho do</t>
  </si>
  <si>
    <t>pro byty 1853</t>
  </si>
  <si>
    <t>se solí</t>
  </si>
  <si>
    <t>vodné + stočné</t>
  </si>
  <si>
    <t>vyúčtování</t>
  </si>
  <si>
    <t>pro zahradu</t>
  </si>
  <si>
    <t>bez soli</t>
  </si>
  <si>
    <t>pro domy 1850 - 1853</t>
  </si>
  <si>
    <t>pro</t>
  </si>
  <si>
    <t>SVJ 1850-1857</t>
  </si>
  <si>
    <t>1857/3 Brantovi</t>
  </si>
  <si>
    <t>1856/2 Morongovi</t>
  </si>
  <si>
    <t>1855/2 Hřebečkovi</t>
  </si>
  <si>
    <t>2B</t>
  </si>
  <si>
    <t>3B</t>
  </si>
  <si>
    <t>5B</t>
  </si>
  <si>
    <t>6B</t>
  </si>
  <si>
    <t>8B</t>
  </si>
  <si>
    <t>1851/2 Šmejcká</t>
  </si>
  <si>
    <t>GJ</t>
  </si>
  <si>
    <t>m3</t>
  </si>
  <si>
    <t>KWh</t>
  </si>
  <si>
    <t>elektr</t>
  </si>
  <si>
    <t>Přepočet spotřeb</t>
  </si>
  <si>
    <t>Brantovi</t>
  </si>
  <si>
    <t xml:space="preserve">Hřebečkovi </t>
  </si>
  <si>
    <t>Morongovi</t>
  </si>
  <si>
    <t>SVJ 1850 - 1857</t>
  </si>
  <si>
    <t>Celkem zahradní fakturační vodoměr</t>
  </si>
  <si>
    <t xml:space="preserve">Rozdíl </t>
  </si>
  <si>
    <t>Spotřeby dle zahradních poměr.vodoměrů</t>
  </si>
  <si>
    <t>Celkem zahrada dle poměr.vodoměrů</t>
  </si>
  <si>
    <t>rozdíl</t>
  </si>
  <si>
    <t>fakturační vodoměr č.         110109308</t>
  </si>
  <si>
    <t>Fakturační vodoměr:           02343759</t>
  </si>
  <si>
    <t>kalorimetr č.    SN 69067316</t>
  </si>
  <si>
    <t>Odběrné místo</t>
  </si>
  <si>
    <t>počátek</t>
  </si>
  <si>
    <t>konec</t>
  </si>
  <si>
    <t>Baťkovi</t>
  </si>
  <si>
    <t>1856/3 Baťkovi</t>
  </si>
  <si>
    <t>Poznámka:</t>
  </si>
  <si>
    <r>
      <t>m</t>
    </r>
    <r>
      <rPr>
        <vertAlign val="superscript"/>
        <sz val="11"/>
        <color indexed="8"/>
        <rFont val="Calibri"/>
        <family val="2"/>
        <charset val="238"/>
      </rPr>
      <t>3</t>
    </r>
  </si>
  <si>
    <r>
      <t>MJ/m</t>
    </r>
    <r>
      <rPr>
        <vertAlign val="superscript"/>
        <sz val="11"/>
        <color indexed="8"/>
        <rFont val="Calibri"/>
        <family val="2"/>
        <charset val="238"/>
      </rPr>
      <t>3</t>
    </r>
  </si>
  <si>
    <t>závada kalorimetru 1855</t>
  </si>
  <si>
    <t>starý</t>
  </si>
  <si>
    <t>nový</t>
  </si>
  <si>
    <t>Výměna fakturač. vodoměru</t>
  </si>
  <si>
    <t>dne 14.2.2019</t>
  </si>
  <si>
    <t>Pro fakturaci</t>
  </si>
  <si>
    <t>Hiršalová</t>
  </si>
  <si>
    <t>Lazarová</t>
  </si>
  <si>
    <t xml:space="preserve">  navíc samostatně spotřebováno m3 zahradní vody</t>
  </si>
  <si>
    <t>1857/1 Hiršalová</t>
  </si>
  <si>
    <t>Bodnarovi</t>
  </si>
  <si>
    <t>Vuová</t>
  </si>
  <si>
    <t>1853/1 Vuová</t>
  </si>
  <si>
    <t>1853/2 Bodnarovi</t>
  </si>
  <si>
    <t>1857/2 Lazarová</t>
  </si>
  <si>
    <t>1856/1 Písaříkovi</t>
  </si>
  <si>
    <t>Písaříkovi</t>
  </si>
  <si>
    <t xml:space="preserve">stav: </t>
  </si>
  <si>
    <t>MWh</t>
  </si>
  <si>
    <t xml:space="preserve">Dne 17.6.2019 odpojen kalor. (cejchování), </t>
  </si>
  <si>
    <t>Dne 20.6.2019 zapojen znovuzapojení,</t>
  </si>
  <si>
    <t>Šmejcká 1</t>
  </si>
  <si>
    <t>Šmejcká 2</t>
  </si>
  <si>
    <t>Šmejcká 1 výměna zahradního vodoměru za 2 - 7/2019</t>
  </si>
  <si>
    <t>Šmejcká 2 nový vodoměr</t>
  </si>
  <si>
    <t>Dne 4.10.2019 výměna vodoměrů - byty + pata</t>
  </si>
  <si>
    <t>nový vod.</t>
  </si>
  <si>
    <t>vodoměr č.          190834092</t>
  </si>
  <si>
    <t>vodoměr č.          190834090</t>
  </si>
  <si>
    <t>vodoměr č.          190834097</t>
  </si>
  <si>
    <t>vodoměr č.          190834098</t>
  </si>
  <si>
    <t>vodoměr č.          190834095</t>
  </si>
  <si>
    <t>vodoměr č.          190834099</t>
  </si>
  <si>
    <t>vodoměr č.          190834102</t>
  </si>
  <si>
    <t>vodoměr č.          190834104</t>
  </si>
  <si>
    <t>vodoměr č.          190834109</t>
  </si>
  <si>
    <t>patní vodoměr č. 190976787</t>
  </si>
  <si>
    <t>patní vodoměr č. 190976791</t>
  </si>
  <si>
    <t>vodoměr č.          190834116</t>
  </si>
  <si>
    <t>vodoměr č.          190834126</t>
  </si>
  <si>
    <t>vodoměr  SV č.   190834120</t>
  </si>
  <si>
    <t>vodoměr  TUV č.  190049257</t>
  </si>
  <si>
    <t>vodoměr  SV č.     190834114</t>
  </si>
  <si>
    <t>vodoměr  TUV č.  190049252</t>
  </si>
  <si>
    <t>vodoměr  SV č.   190834093</t>
  </si>
  <si>
    <t>vodoměr  TUV č.  190049448</t>
  </si>
  <si>
    <t>vodoměr  SV č.     190834107</t>
  </si>
  <si>
    <t>vodoměr  TUV č.  190049255</t>
  </si>
  <si>
    <t>vodoměr  SV č.   190834122</t>
  </si>
  <si>
    <t>vodoměr  TUV č.  190049254</t>
  </si>
  <si>
    <t>vodoměr  SV č.     190834094</t>
  </si>
  <si>
    <t>vodoměr  TUV č.  190049449</t>
  </si>
  <si>
    <t>vodoměr  SV č.  190834125</t>
  </si>
  <si>
    <t>vodoměr  TUV č.  190049234</t>
  </si>
  <si>
    <t xml:space="preserve">vodoměr  SV č.     190834111 </t>
  </si>
  <si>
    <t>vodoměr  TUV č.  190049258</t>
  </si>
  <si>
    <t>vodoměr  SV č.     190834128</t>
  </si>
  <si>
    <t>vodoměr  TUV č.  190049253</t>
  </si>
  <si>
    <t>vodoměr č.          190834119</t>
  </si>
  <si>
    <t>vodoměr č.          190834091</t>
  </si>
  <si>
    <t>vodoměr č.          190834124</t>
  </si>
  <si>
    <t>vodoměr  SV č.   190834112</t>
  </si>
  <si>
    <t>vodoměr  TUV č.  190049444</t>
  </si>
  <si>
    <t>patní vodoměr č. 190976792</t>
  </si>
  <si>
    <t>vodoměr č.          190834115</t>
  </si>
  <si>
    <t>vodoměr č.          190834121</t>
  </si>
  <si>
    <t>vodoměr č.          190834117</t>
  </si>
  <si>
    <t>vodoměr č.          190834096</t>
  </si>
  <si>
    <t>vodoměr č.          190834110</t>
  </si>
  <si>
    <t>vodoměr č.          190834127</t>
  </si>
  <si>
    <t>vodoměr č.          190834123</t>
  </si>
  <si>
    <t>vodoměr č.          190834118</t>
  </si>
  <si>
    <t>vodoměr č.          190834113</t>
  </si>
  <si>
    <t>vodoměr č.          190834129</t>
  </si>
  <si>
    <t>patní vodoměr č. 190976789</t>
  </si>
  <si>
    <t>vodoměr č.          190834100</t>
  </si>
  <si>
    <t>vodoměr č.          190906789</t>
  </si>
  <si>
    <t>vodoměr č.          190906786</t>
  </si>
  <si>
    <t>vodoměr č.          190834105</t>
  </si>
  <si>
    <t>vodoměr č.          190906792</t>
  </si>
  <si>
    <t>vodoměr č.          190906795</t>
  </si>
  <si>
    <t>vodoměr č.          190834103</t>
  </si>
  <si>
    <t>vodoměr č.          190834101</t>
  </si>
  <si>
    <t>vodoměr č.          190834108</t>
  </si>
  <si>
    <t>vodoměr č.          190906953</t>
  </si>
  <si>
    <t>patní vodoměr č. 190976793</t>
  </si>
  <si>
    <t>vodoměr č.          190906992</t>
  </si>
  <si>
    <t>vodoměr č.          190906991</t>
  </si>
  <si>
    <t>vodoměr č.          190906988</t>
  </si>
  <si>
    <t xml:space="preserve">vodoměr č.          190906987   </t>
  </si>
  <si>
    <t>vodoměr č.          190907002</t>
  </si>
  <si>
    <t>vodoměr č.          190906994</t>
  </si>
  <si>
    <t>vodoměr č.          190906986</t>
  </si>
  <si>
    <t>vodoměr č.          190906990</t>
  </si>
  <si>
    <t>vodoměr č.          190906995</t>
  </si>
  <si>
    <t>nové vod.</t>
  </si>
  <si>
    <t>patní vodoměr č.  190544822</t>
  </si>
  <si>
    <t>vodoměr č.          190907001</t>
  </si>
  <si>
    <t>vodoměr č.          190907005</t>
  </si>
  <si>
    <t>vodoměr č.          190907004</t>
  </si>
  <si>
    <t>vodoměr č.          190906998</t>
  </si>
  <si>
    <t>vodoměr č.          190906996</t>
  </si>
  <si>
    <t>patní vodoměr č. 190976786</t>
  </si>
  <si>
    <t>vodoměr č.          190907008</t>
  </si>
  <si>
    <t>vodoměr č.          190907023</t>
  </si>
  <si>
    <t>vodoměr č.         190907015</t>
  </si>
  <si>
    <t>vodoměr č.          190907020</t>
  </si>
  <si>
    <t>vodoměr č.          190907016</t>
  </si>
  <si>
    <t>vodoměr č.          190907024</t>
  </si>
  <si>
    <t>vodoměr č.          190907019</t>
  </si>
  <si>
    <t>patní vodoměr č. 190976785</t>
  </si>
  <si>
    <t>vodoměr č.          190907022</t>
  </si>
  <si>
    <t>vodoměr č.          190907009</t>
  </si>
  <si>
    <t>vodoměr č.          190907014</t>
  </si>
  <si>
    <t>vodoměr č.          190907021</t>
  </si>
  <si>
    <t>vodoměr č.          190907025</t>
  </si>
  <si>
    <t>Odečty vody za září jsou ze dne výměny 4.10.</t>
  </si>
  <si>
    <t>spotřeby nový vodoměr</t>
  </si>
  <si>
    <t>spotřeby po měsících starý vodoměr</t>
  </si>
  <si>
    <t>byt</t>
  </si>
  <si>
    <t>teplá voda</t>
  </si>
  <si>
    <t>na 100% vadné kusy (viz. list domu)</t>
  </si>
  <si>
    <t>tady také něco nehraje</t>
  </si>
  <si>
    <t>vodoměr č.          191519263</t>
  </si>
  <si>
    <t>výměna</t>
  </si>
  <si>
    <t>vodoměr č.          191519259</t>
  </si>
  <si>
    <t>vodoměr č.          191519283</t>
  </si>
  <si>
    <t>vodoměr č.          190045692</t>
  </si>
  <si>
    <t>vodoměr č.          191519269</t>
  </si>
  <si>
    <t>vodoměr č.          191519268</t>
  </si>
  <si>
    <t>vodoměr č.          191519260</t>
  </si>
  <si>
    <t>vodoměr č.          191519256</t>
  </si>
  <si>
    <t>vodoměr č.          191519266</t>
  </si>
  <si>
    <t>vodoměr č.          191519284</t>
  </si>
  <si>
    <t>vodoměr č.          191519282</t>
  </si>
  <si>
    <t>vodoměr č.          191519276</t>
  </si>
  <si>
    <t>vodoměr č.          191519285</t>
  </si>
  <si>
    <t>vodoměr č.          191519267</t>
  </si>
  <si>
    <t>tady něco nehraje</t>
  </si>
  <si>
    <t>vadné</t>
  </si>
  <si>
    <t>-</t>
  </si>
  <si>
    <t>Sumář - spotřeba    29.11. - 5.12.</t>
  </si>
  <si>
    <t>bez výměny</t>
  </si>
  <si>
    <t>Ztráty v procentech</t>
  </si>
  <si>
    <t>Dne 5.12.2019 výměna vadných vodoměrů</t>
  </si>
  <si>
    <t>1856/9 Vágnerovi</t>
  </si>
  <si>
    <t>Vágnerovi</t>
  </si>
  <si>
    <t>vodoměr č.          191519281</t>
  </si>
  <si>
    <t>Celkem spotřeba areálu</t>
  </si>
  <si>
    <t>za jednotku</t>
  </si>
  <si>
    <t>CELKEM</t>
  </si>
  <si>
    <t>Elektřina</t>
  </si>
  <si>
    <t>kWh</t>
  </si>
  <si>
    <t>TV</t>
  </si>
  <si>
    <t>xx</t>
  </si>
  <si>
    <t>Vodom.</t>
  </si>
  <si>
    <t>SV</t>
  </si>
  <si>
    <t>spotřeby po měsících starý vodoměr SV</t>
  </si>
  <si>
    <t>studená voda</t>
  </si>
  <si>
    <t>SROVNÁVACÍ TABULKA ZBYTKU DĚLENÝCH BYTŮ - spotřeby SV a TV</t>
  </si>
  <si>
    <t>Vytipování vadných vodoměrů</t>
  </si>
  <si>
    <t>Po 2. kole výměny vadných vodoměrů</t>
  </si>
  <si>
    <t>Rozdíly v předávání tepla podle patního měřidla v jednotlivých domech po měsících v MJ/m3 (GJ*1000)</t>
  </si>
  <si>
    <t>ale stejně ještě něco nehraje</t>
  </si>
  <si>
    <t>Po druhém kole výměny - lepší,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</si>
</sst>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%"/>
    <numFmt numFmtId="167" formatCode="#,##0.00\ &quot;Kč&quot;"/>
  </numFmts>
  <fonts count="32">
    <font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6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48"/>
      <name val="Calibri"/>
      <family val="2"/>
      <charset val="238"/>
    </font>
    <font>
      <b/>
      <sz val="11"/>
      <color indexed="10"/>
      <name val="Calibri"/>
      <family val="2"/>
      <charset val="238"/>
    </font>
    <font>
      <sz val="14"/>
      <color indexed="8"/>
      <name val="Arial"/>
      <family val="2"/>
      <charset val="238"/>
    </font>
    <font>
      <b/>
      <sz val="14"/>
      <color indexed="8"/>
      <name val="Arial"/>
      <family val="2"/>
      <charset val="238"/>
    </font>
    <font>
      <b/>
      <sz val="9"/>
      <color indexed="8"/>
      <name val="Tahoma"/>
      <family val="2"/>
      <charset val="238"/>
    </font>
    <font>
      <b/>
      <sz val="14"/>
      <color indexed="8"/>
      <name val="Calibri"/>
      <family val="2"/>
      <charset val="238"/>
    </font>
    <font>
      <sz val="14"/>
      <color indexed="8"/>
      <name val="Calibri"/>
      <family val="2"/>
      <charset val="238"/>
    </font>
    <font>
      <b/>
      <sz val="12"/>
      <color indexed="8"/>
      <name val="Calibri"/>
      <family val="2"/>
      <charset val="238"/>
    </font>
    <font>
      <sz val="11"/>
      <color indexed="53"/>
      <name val="Calibri"/>
      <family val="2"/>
      <charset val="238"/>
    </font>
    <font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1"/>
      <name val="Calibri"/>
      <family val="2"/>
      <charset val="238"/>
    </font>
    <font>
      <b/>
      <sz val="9"/>
      <color indexed="81"/>
      <name val="Tahoma"/>
      <family val="2"/>
      <charset val="238"/>
    </font>
    <font>
      <vertAlign val="superscript"/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70C0"/>
      <name val="Calibri"/>
      <family val="2"/>
      <charset val="238"/>
    </font>
    <font>
      <sz val="11"/>
      <color indexed="8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sz val="11"/>
      <color theme="0" tint="-0.249977111117893"/>
      <name val="Calibri"/>
      <family val="2"/>
      <charset val="238"/>
    </font>
    <font>
      <sz val="12"/>
      <color rgb="FF0070C0"/>
      <name val="Arial"/>
      <family val="2"/>
      <charset val="238"/>
    </font>
    <font>
      <sz val="10"/>
      <color theme="0" tint="-0.249977111117893"/>
      <name val="Arial"/>
      <family val="2"/>
      <charset val="238"/>
    </font>
    <font>
      <sz val="14"/>
      <color theme="0" tint="-0.249977111117893"/>
      <name val="Arial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indexed="51"/>
        <bgColor indexed="13"/>
      </patternFill>
    </fill>
    <fill>
      <patternFill patternType="solid">
        <fgColor indexed="27"/>
        <bgColor indexed="41"/>
      </patternFill>
    </fill>
    <fill>
      <patternFill patternType="solid">
        <fgColor indexed="11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13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</fills>
  <borders count="6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2">
    <xf numFmtId="0" fontId="0" fillId="0" borderId="0"/>
    <xf numFmtId="0" fontId="22" fillId="0" borderId="0"/>
  </cellStyleXfs>
  <cellXfs count="33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1" xfId="0" applyNumberFormat="1" applyBorder="1"/>
    <xf numFmtId="164" fontId="0" fillId="0" borderId="6" xfId="0" applyNumberFormat="1" applyBorder="1"/>
    <xf numFmtId="164" fontId="0" fillId="0" borderId="0" xfId="0" applyNumberFormat="1"/>
    <xf numFmtId="0" fontId="7" fillId="0" borderId="7" xfId="0" applyFon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" fontId="0" fillId="0" borderId="8" xfId="0" applyNumberFormat="1" applyBorder="1"/>
    <xf numFmtId="0" fontId="7" fillId="0" borderId="7" xfId="0" applyFont="1" applyFill="1" applyBorder="1"/>
    <xf numFmtId="1" fontId="0" fillId="0" borderId="8" xfId="0" applyNumberFormat="1" applyFill="1" applyBorder="1"/>
    <xf numFmtId="1" fontId="0" fillId="0" borderId="0" xfId="0" applyNumberFormat="1"/>
    <xf numFmtId="0" fontId="7" fillId="0" borderId="8" xfId="0" applyFont="1" applyBorder="1"/>
    <xf numFmtId="165" fontId="0" fillId="0" borderId="8" xfId="0" applyNumberFormat="1" applyBorder="1"/>
    <xf numFmtId="2" fontId="0" fillId="0" borderId="8" xfId="0" applyNumberFormat="1" applyBorder="1"/>
    <xf numFmtId="2" fontId="0" fillId="0" borderId="8" xfId="0" applyNumberFormat="1" applyFill="1" applyBorder="1"/>
    <xf numFmtId="0" fontId="7" fillId="0" borderId="12" xfId="0" applyFont="1" applyBorder="1"/>
    <xf numFmtId="1" fontId="0" fillId="0" borderId="12" xfId="0" applyNumberFormat="1" applyBorder="1"/>
    <xf numFmtId="0" fontId="0" fillId="0" borderId="14" xfId="0" applyBorder="1"/>
    <xf numFmtId="0" fontId="0" fillId="0" borderId="15" xfId="0" applyBorder="1"/>
    <xf numFmtId="0" fontId="7" fillId="0" borderId="0" xfId="0" applyFont="1" applyFill="1" applyBorder="1"/>
    <xf numFmtId="0" fontId="8" fillId="0" borderId="0" xfId="0" applyFont="1"/>
    <xf numFmtId="0" fontId="9" fillId="0" borderId="0" xfId="0" applyFont="1"/>
    <xf numFmtId="0" fontId="0" fillId="0" borderId="0" xfId="0" applyFill="1"/>
    <xf numFmtId="0" fontId="7" fillId="0" borderId="17" xfId="0" applyFont="1" applyBorder="1"/>
    <xf numFmtId="3" fontId="0" fillId="0" borderId="0" xfId="0" applyNumberFormat="1"/>
    <xf numFmtId="0" fontId="7" fillId="0" borderId="19" xfId="0" applyFont="1" applyBorder="1"/>
    <xf numFmtId="164" fontId="0" fillId="0" borderId="8" xfId="0" applyNumberFormat="1" applyFill="1" applyBorder="1"/>
    <xf numFmtId="1" fontId="0" fillId="0" borderId="3" xfId="0" applyNumberFormat="1" applyBorder="1"/>
    <xf numFmtId="0" fontId="7" fillId="0" borderId="2" xfId="0" applyFont="1" applyFill="1" applyBorder="1"/>
    <xf numFmtId="1" fontId="0" fillId="0" borderId="12" xfId="0" applyNumberFormat="1" applyFill="1" applyBorder="1"/>
    <xf numFmtId="0" fontId="0" fillId="0" borderId="10" xfId="0" applyBorder="1"/>
    <xf numFmtId="165" fontId="0" fillId="0" borderId="0" xfId="0" applyNumberFormat="1"/>
    <xf numFmtId="0" fontId="10" fillId="0" borderId="0" xfId="0" applyFont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left"/>
    </xf>
    <xf numFmtId="0" fontId="10" fillId="0" borderId="20" xfId="0" applyFont="1" applyBorder="1"/>
    <xf numFmtId="165" fontId="10" fillId="0" borderId="20" xfId="0" applyNumberFormat="1" applyFont="1" applyBorder="1"/>
    <xf numFmtId="164" fontId="10" fillId="0" borderId="20" xfId="0" applyNumberFormat="1" applyFont="1" applyBorder="1"/>
    <xf numFmtId="1" fontId="10" fillId="0" borderId="20" xfId="0" applyNumberFormat="1" applyFont="1" applyBorder="1"/>
    <xf numFmtId="0" fontId="10" fillId="0" borderId="0" xfId="0" applyFont="1" applyBorder="1"/>
    <xf numFmtId="1" fontId="10" fillId="0" borderId="0" xfId="0" applyNumberFormat="1" applyFont="1" applyBorder="1"/>
    <xf numFmtId="164" fontId="10" fillId="0" borderId="0" xfId="0" applyNumberFormat="1" applyFont="1" applyBorder="1"/>
    <xf numFmtId="0" fontId="10" fillId="0" borderId="21" xfId="0" applyFont="1" applyBorder="1"/>
    <xf numFmtId="2" fontId="10" fillId="0" borderId="20" xfId="0" applyNumberFormat="1" applyFont="1" applyBorder="1"/>
    <xf numFmtId="1" fontId="10" fillId="0" borderId="20" xfId="0" applyNumberFormat="1" applyFont="1" applyFill="1" applyBorder="1"/>
    <xf numFmtId="0" fontId="11" fillId="0" borderId="0" xfId="0" applyFont="1"/>
    <xf numFmtId="0" fontId="10" fillId="0" borderId="20" xfId="0" applyFont="1" applyFill="1" applyBorder="1"/>
    <xf numFmtId="164" fontId="10" fillId="0" borderId="20" xfId="0" applyNumberFormat="1" applyFont="1" applyFill="1" applyBorder="1"/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20" xfId="0" applyFont="1" applyBorder="1" applyAlignment="1">
      <alignment vertical="center"/>
    </xf>
    <xf numFmtId="2" fontId="0" fillId="0" borderId="20" xfId="0" applyNumberFormat="1" applyBorder="1" applyAlignment="1">
      <alignment vertical="center"/>
    </xf>
    <xf numFmtId="164" fontId="0" fillId="0" borderId="20" xfId="0" applyNumberFormat="1" applyBorder="1" applyAlignment="1">
      <alignment vertical="center"/>
    </xf>
    <xf numFmtId="0" fontId="0" fillId="0" borderId="20" xfId="0" applyNumberFormat="1" applyBorder="1" applyAlignment="1">
      <alignment vertical="center"/>
    </xf>
    <xf numFmtId="0" fontId="15" fillId="0" borderId="0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2" fontId="0" fillId="0" borderId="0" xfId="0" applyNumberFormat="1" applyBorder="1" applyAlignment="1">
      <alignment vertical="center"/>
    </xf>
    <xf numFmtId="2" fontId="0" fillId="0" borderId="0" xfId="0" applyNumberForma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6" fontId="7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0" fontId="0" fillId="0" borderId="0" xfId="0" applyFont="1" applyAlignment="1">
      <alignment wrapText="1"/>
    </xf>
    <xf numFmtId="0" fontId="0" fillId="0" borderId="0" xfId="0" applyFont="1"/>
    <xf numFmtId="0" fontId="11" fillId="0" borderId="0" xfId="0" applyFont="1" applyBorder="1" applyAlignment="1">
      <alignment horizontal="center"/>
    </xf>
    <xf numFmtId="0" fontId="10" fillId="0" borderId="0" xfId="0" applyFont="1" applyFill="1" applyBorder="1"/>
    <xf numFmtId="164" fontId="17" fillId="3" borderId="0" xfId="0" applyNumberFormat="1" applyFont="1" applyFill="1" applyBorder="1"/>
    <xf numFmtId="164" fontId="10" fillId="3" borderId="20" xfId="0" applyNumberFormat="1" applyFont="1" applyFill="1" applyBorder="1"/>
    <xf numFmtId="0" fontId="17" fillId="3" borderId="20" xfId="0" applyFont="1" applyFill="1" applyBorder="1"/>
    <xf numFmtId="0" fontId="17" fillId="0" borderId="0" xfId="0" applyFont="1"/>
    <xf numFmtId="0" fontId="10" fillId="0" borderId="0" xfId="0" applyFont="1" applyBorder="1" applyAlignment="1">
      <alignment horizontal="center"/>
    </xf>
    <xf numFmtId="164" fontId="17" fillId="4" borderId="0" xfId="0" applyNumberFormat="1" applyFont="1" applyFill="1" applyBorder="1"/>
    <xf numFmtId="164" fontId="10" fillId="4" borderId="20" xfId="0" applyNumberFormat="1" applyFont="1" applyFill="1" applyBorder="1"/>
    <xf numFmtId="0" fontId="17" fillId="4" borderId="20" xfId="0" applyFont="1" applyFill="1" applyBorder="1"/>
    <xf numFmtId="164" fontId="17" fillId="2" borderId="0" xfId="0" applyNumberFormat="1" applyFont="1" applyFill="1" applyBorder="1"/>
    <xf numFmtId="164" fontId="10" fillId="2" borderId="0" xfId="0" applyNumberFormat="1" applyFont="1" applyFill="1" applyBorder="1"/>
    <xf numFmtId="0" fontId="0" fillId="0" borderId="15" xfId="0" applyFill="1" applyBorder="1"/>
    <xf numFmtId="0" fontId="22" fillId="0" borderId="0" xfId="1" applyFill="1"/>
    <xf numFmtId="0" fontId="22" fillId="0" borderId="0" xfId="1" applyFill="1" applyAlignment="1">
      <alignment horizontal="right"/>
    </xf>
    <xf numFmtId="165" fontId="22" fillId="0" borderId="0" xfId="1" applyNumberFormat="1" applyFill="1" applyAlignment="1">
      <alignment horizontal="center"/>
    </xf>
    <xf numFmtId="164" fontId="19" fillId="0" borderId="1" xfId="0" applyNumberFormat="1" applyFont="1" applyBorder="1"/>
    <xf numFmtId="164" fontId="19" fillId="0" borderId="8" xfId="0" applyNumberFormat="1" applyFont="1" applyBorder="1"/>
    <xf numFmtId="1" fontId="19" fillId="0" borderId="8" xfId="0" applyNumberFormat="1" applyFont="1" applyBorder="1"/>
    <xf numFmtId="165" fontId="19" fillId="0" borderId="8" xfId="0" applyNumberFormat="1" applyFont="1" applyBorder="1"/>
    <xf numFmtId="2" fontId="19" fillId="0" borderId="8" xfId="0" applyNumberFormat="1" applyFont="1" applyBorder="1"/>
    <xf numFmtId="1" fontId="19" fillId="0" borderId="12" xfId="0" applyNumberFormat="1" applyFont="1" applyBorder="1"/>
    <xf numFmtId="0" fontId="19" fillId="0" borderId="15" xfId="0" applyFont="1" applyBorder="1"/>
    <xf numFmtId="164" fontId="19" fillId="0" borderId="1" xfId="0" applyNumberFormat="1" applyFont="1" applyFill="1" applyBorder="1"/>
    <xf numFmtId="0" fontId="0" fillId="0" borderId="20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26" xfId="0" applyBorder="1" applyAlignment="1">
      <alignment horizontal="center"/>
    </xf>
    <xf numFmtId="164" fontId="19" fillId="0" borderId="8" xfId="0" applyNumberFormat="1" applyFont="1" applyFill="1" applyBorder="1"/>
    <xf numFmtId="1" fontId="19" fillId="0" borderId="8" xfId="0" applyNumberFormat="1" applyFont="1" applyFill="1" applyBorder="1"/>
    <xf numFmtId="165" fontId="19" fillId="0" borderId="8" xfId="0" applyNumberFormat="1" applyFont="1" applyFill="1" applyBorder="1"/>
    <xf numFmtId="2" fontId="19" fillId="0" borderId="8" xfId="0" applyNumberFormat="1" applyFont="1" applyFill="1" applyBorder="1"/>
    <xf numFmtId="1" fontId="19" fillId="0" borderId="12" xfId="0" applyNumberFormat="1" applyFont="1" applyFill="1" applyBorder="1"/>
    <xf numFmtId="0" fontId="19" fillId="0" borderId="15" xfId="0" applyFont="1" applyFill="1" applyBorder="1"/>
    <xf numFmtId="164" fontId="0" fillId="0" borderId="1" xfId="0" applyNumberFormat="1" applyFill="1" applyBorder="1"/>
    <xf numFmtId="164" fontId="0" fillId="0" borderId="6" xfId="0" applyNumberFormat="1" applyFill="1" applyBorder="1"/>
    <xf numFmtId="164" fontId="0" fillId="0" borderId="9" xfId="0" applyNumberFormat="1" applyFill="1" applyBorder="1"/>
    <xf numFmtId="165" fontId="0" fillId="0" borderId="8" xfId="0" applyNumberFormat="1" applyFill="1" applyBorder="1"/>
    <xf numFmtId="1" fontId="18" fillId="2" borderId="26" xfId="0" applyNumberFormat="1" applyFont="1" applyFill="1" applyBorder="1"/>
    <xf numFmtId="164" fontId="10" fillId="2" borderId="26" xfId="0" applyNumberFormat="1" applyFont="1" applyFill="1" applyBorder="1"/>
    <xf numFmtId="164" fontId="0" fillId="0" borderId="27" xfId="0" applyNumberFormat="1" applyBorder="1"/>
    <xf numFmtId="0" fontId="22" fillId="0" borderId="0" xfId="1" applyFill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0" fillId="0" borderId="32" xfId="0" applyFill="1" applyBorder="1" applyAlignment="1">
      <alignment vertical="center"/>
    </xf>
    <xf numFmtId="0" fontId="0" fillId="0" borderId="33" xfId="0" applyFill="1" applyBorder="1" applyAlignment="1">
      <alignment horizontal="left" vertical="center" indent="1"/>
    </xf>
    <xf numFmtId="0" fontId="0" fillId="0" borderId="31" xfId="0" applyFill="1" applyBorder="1" applyAlignment="1">
      <alignment vertical="center"/>
    </xf>
    <xf numFmtId="0" fontId="0" fillId="0" borderId="34" xfId="0" applyFill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5" xfId="0" applyFill="1" applyBorder="1" applyAlignment="1">
      <alignment vertical="center"/>
    </xf>
    <xf numFmtId="0" fontId="0" fillId="0" borderId="36" xfId="0" applyFill="1" applyBorder="1" applyAlignment="1">
      <alignment horizontal="left" vertical="center" indent="1"/>
    </xf>
    <xf numFmtId="0" fontId="23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horizontal="left" vertical="center" indent="1"/>
    </xf>
    <xf numFmtId="0" fontId="23" fillId="0" borderId="0" xfId="0" applyFont="1" applyFill="1"/>
    <xf numFmtId="0" fontId="23" fillId="0" borderId="0" xfId="0" applyFont="1"/>
    <xf numFmtId="164" fontId="23" fillId="0" borderId="0" xfId="0" applyNumberFormat="1" applyFont="1" applyFill="1"/>
    <xf numFmtId="0" fontId="23" fillId="0" borderId="0" xfId="0" applyFont="1" applyFill="1" applyBorder="1" applyAlignment="1">
      <alignment horizontal="left" indent="1"/>
    </xf>
    <xf numFmtId="0" fontId="0" fillId="0" borderId="0" xfId="0" applyAlignment="1">
      <alignment horizontal="left" indent="1"/>
    </xf>
    <xf numFmtId="164" fontId="0" fillId="0" borderId="0" xfId="0" applyNumberFormat="1" applyFill="1"/>
    <xf numFmtId="164" fontId="23" fillId="0" borderId="0" xfId="0" applyNumberFormat="1" applyFont="1" applyAlignment="1">
      <alignment vertical="center"/>
    </xf>
    <xf numFmtId="164" fontId="23" fillId="5" borderId="0" xfId="0" applyNumberFormat="1" applyFont="1" applyFill="1" applyAlignment="1">
      <alignment vertical="center"/>
    </xf>
    <xf numFmtId="0" fontId="0" fillId="0" borderId="0" xfId="0" applyFill="1" applyBorder="1" applyAlignment="1">
      <alignment horizontal="left" vertical="center" indent="1"/>
    </xf>
    <xf numFmtId="0" fontId="7" fillId="0" borderId="0" xfId="0" applyFont="1" applyBorder="1"/>
    <xf numFmtId="0" fontId="15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166" fontId="7" fillId="0" borderId="0" xfId="0" applyNumberFormat="1" applyFont="1" applyFill="1" applyAlignment="1">
      <alignment vertical="center"/>
    </xf>
    <xf numFmtId="0" fontId="16" fillId="0" borderId="0" xfId="0" applyFont="1" applyFill="1" applyAlignment="1">
      <alignment horizontal="center" vertical="center"/>
    </xf>
    <xf numFmtId="2" fontId="0" fillId="0" borderId="0" xfId="0" applyNumberFormat="1" applyFill="1" applyBorder="1" applyAlignment="1">
      <alignment vertical="center"/>
    </xf>
    <xf numFmtId="2" fontId="0" fillId="0" borderId="0" xfId="0" applyNumberFormat="1" applyFill="1" applyBorder="1" applyAlignment="1">
      <alignment horizontal="center" vertical="center"/>
    </xf>
    <xf numFmtId="164" fontId="0" fillId="0" borderId="32" xfId="0" applyNumberFormat="1" applyBorder="1"/>
    <xf numFmtId="0" fontId="10" fillId="0" borderId="0" xfId="0" applyFont="1" applyFill="1"/>
    <xf numFmtId="2" fontId="24" fillId="0" borderId="0" xfId="0" applyNumberFormat="1" applyFont="1" applyFill="1" applyBorder="1" applyAlignment="1">
      <alignment horizontal="left" vertical="center"/>
    </xf>
    <xf numFmtId="0" fontId="25" fillId="0" borderId="0" xfId="0" applyFont="1"/>
    <xf numFmtId="0" fontId="25" fillId="0" borderId="0" xfId="0" applyFont="1" applyBorder="1"/>
    <xf numFmtId="0" fontId="25" fillId="0" borderId="0" xfId="0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164" fontId="10" fillId="0" borderId="0" xfId="0" applyNumberFormat="1" applyFont="1"/>
    <xf numFmtId="3" fontId="10" fillId="0" borderId="20" xfId="0" applyNumberFormat="1" applyFont="1" applyFill="1" applyBorder="1"/>
    <xf numFmtId="3" fontId="10" fillId="0" borderId="20" xfId="0" applyNumberFormat="1" applyFont="1" applyBorder="1"/>
    <xf numFmtId="3" fontId="10" fillId="0" borderId="0" xfId="0" applyNumberFormat="1" applyFont="1" applyBorder="1"/>
    <xf numFmtId="165" fontId="10" fillId="3" borderId="20" xfId="0" applyNumberFormat="1" applyFont="1" applyFill="1" applyBorder="1"/>
    <xf numFmtId="0" fontId="17" fillId="0" borderId="0" xfId="0" applyFont="1" applyBorder="1"/>
    <xf numFmtId="0" fontId="0" fillId="0" borderId="0" xfId="0" applyBorder="1"/>
    <xf numFmtId="0" fontId="0" fillId="0" borderId="0" xfId="0" applyFill="1" applyBorder="1"/>
    <xf numFmtId="0" fontId="22" fillId="0" borderId="0" xfId="1" applyFill="1" applyBorder="1"/>
    <xf numFmtId="0" fontId="0" fillId="0" borderId="0" xfId="0" applyBorder="1" applyAlignment="1">
      <alignment horizontal="right"/>
    </xf>
    <xf numFmtId="2" fontId="24" fillId="0" borderId="0" xfId="0" applyNumberFormat="1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7" fillId="0" borderId="0" xfId="0" applyFont="1"/>
    <xf numFmtId="0" fontId="0" fillId="0" borderId="26" xfId="0" applyBorder="1"/>
    <xf numFmtId="0" fontId="0" fillId="0" borderId="26" xfId="0" applyBorder="1" applyAlignment="1">
      <alignment horizontal="center" vertical="center"/>
    </xf>
    <xf numFmtId="1" fontId="0" fillId="0" borderId="26" xfId="0" applyNumberFormat="1" applyBorder="1"/>
    <xf numFmtId="164" fontId="0" fillId="0" borderId="26" xfId="0" applyNumberFormat="1" applyBorder="1"/>
    <xf numFmtId="0" fontId="0" fillId="0" borderId="20" xfId="0" quotePrefix="1" applyBorder="1" applyAlignment="1">
      <alignment vertical="center"/>
    </xf>
    <xf numFmtId="164" fontId="0" fillId="0" borderId="20" xfId="0" quotePrefix="1" applyNumberFormat="1" applyBorder="1" applyAlignment="1">
      <alignment vertical="center"/>
    </xf>
    <xf numFmtId="0" fontId="6" fillId="0" borderId="1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7" fillId="0" borderId="13" xfId="0" applyFont="1" applyFill="1" applyBorder="1" applyAlignment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4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9" xfId="0" applyFill="1" applyBorder="1" applyAlignment="1">
      <alignment horizontal="right"/>
    </xf>
    <xf numFmtId="0" fontId="0" fillId="0" borderId="16" xfId="0" applyFill="1" applyBorder="1" applyAlignment="1">
      <alignment horizontal="center"/>
    </xf>
    <xf numFmtId="0" fontId="0" fillId="0" borderId="26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/>
    <xf numFmtId="0" fontId="7" fillId="0" borderId="13" xfId="0" applyFont="1" applyFill="1" applyBorder="1"/>
    <xf numFmtId="0" fontId="5" fillId="0" borderId="0" xfId="1" applyFont="1" applyFill="1"/>
    <xf numFmtId="14" fontId="5" fillId="0" borderId="0" xfId="1" applyNumberFormat="1" applyFont="1" applyFill="1"/>
    <xf numFmtId="14" fontId="0" fillId="0" borderId="0" xfId="0" applyNumberFormat="1"/>
    <xf numFmtId="0" fontId="0" fillId="6" borderId="20" xfId="0" applyFont="1" applyFill="1" applyBorder="1" applyAlignment="1">
      <alignment vertical="center"/>
    </xf>
    <xf numFmtId="2" fontId="0" fillId="6" borderId="0" xfId="0" applyNumberFormat="1" applyFill="1" applyBorder="1" applyAlignment="1">
      <alignment vertical="center"/>
    </xf>
    <xf numFmtId="2" fontId="24" fillId="6" borderId="0" xfId="0" applyNumberFormat="1" applyFont="1" applyFill="1" applyBorder="1" applyAlignment="1">
      <alignment horizontal="center" vertical="center"/>
    </xf>
    <xf numFmtId="2" fontId="0" fillId="6" borderId="0" xfId="0" applyNumberFormat="1" applyFill="1" applyBorder="1" applyAlignment="1">
      <alignment horizontal="center" vertical="center"/>
    </xf>
    <xf numFmtId="0" fontId="10" fillId="6" borderId="20" xfId="0" applyFont="1" applyFill="1" applyBorder="1"/>
    <xf numFmtId="0" fontId="11" fillId="7" borderId="20" xfId="0" applyFont="1" applyFill="1" applyBorder="1"/>
    <xf numFmtId="0" fontId="11" fillId="7" borderId="20" xfId="0" applyFont="1" applyFill="1" applyBorder="1" applyAlignment="1">
      <alignment horizontal="center"/>
    </xf>
    <xf numFmtId="0" fontId="11" fillId="7" borderId="21" xfId="0" applyFont="1" applyFill="1" applyBorder="1"/>
    <xf numFmtId="0" fontId="10" fillId="7" borderId="22" xfId="0" applyFont="1" applyFill="1" applyBorder="1"/>
    <xf numFmtId="0" fontId="10" fillId="7" borderId="23" xfId="0" applyFont="1" applyFill="1" applyBorder="1"/>
    <xf numFmtId="0" fontId="10" fillId="7" borderId="21" xfId="0" applyFont="1" applyFill="1" applyBorder="1"/>
    <xf numFmtId="164" fontId="10" fillId="7" borderId="22" xfId="0" applyNumberFormat="1" applyFont="1" applyFill="1" applyBorder="1"/>
    <xf numFmtId="164" fontId="10" fillId="7" borderId="23" xfId="0" applyNumberFormat="1" applyFont="1" applyFill="1" applyBorder="1"/>
    <xf numFmtId="1" fontId="11" fillId="7" borderId="2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6" fillId="0" borderId="0" xfId="0" applyFont="1" applyAlignment="1">
      <alignment horizontal="center"/>
    </xf>
    <xf numFmtId="164" fontId="10" fillId="8" borderId="26" xfId="0" applyNumberFormat="1" applyFont="1" applyFill="1" applyBorder="1"/>
    <xf numFmtId="0" fontId="4" fillId="9" borderId="0" xfId="1" applyFont="1" applyFill="1"/>
    <xf numFmtId="0" fontId="4" fillId="6" borderId="0" xfId="1" applyFont="1" applyFill="1"/>
    <xf numFmtId="0" fontId="4" fillId="9" borderId="0" xfId="1" applyFont="1" applyFill="1" applyAlignment="1">
      <alignment horizontal="right"/>
    </xf>
    <xf numFmtId="0" fontId="4" fillId="9" borderId="0" xfId="1" applyFont="1" applyFill="1" applyAlignment="1">
      <alignment horizontal="center"/>
    </xf>
    <xf numFmtId="164" fontId="0" fillId="6" borderId="8" xfId="0" applyNumberFormat="1" applyFill="1" applyBorder="1"/>
    <xf numFmtId="0" fontId="3" fillId="9" borderId="0" xfId="1" applyFont="1" applyFill="1"/>
    <xf numFmtId="166" fontId="10" fillId="0" borderId="0" xfId="0" applyNumberFormat="1" applyFont="1"/>
    <xf numFmtId="0" fontId="25" fillId="0" borderId="0" xfId="0" applyFont="1" applyFill="1" applyBorder="1" applyAlignment="1">
      <alignment horizontal="left" vertical="center" indent="1"/>
    </xf>
    <xf numFmtId="1" fontId="25" fillId="0" borderId="0" xfId="0" applyNumberFormat="1" applyFont="1" applyBorder="1"/>
    <xf numFmtId="0" fontId="2" fillId="10" borderId="0" xfId="1" applyFont="1" applyFill="1" applyBorder="1"/>
    <xf numFmtId="0" fontId="22" fillId="10" borderId="0" xfId="1" applyFill="1" applyBorder="1"/>
    <xf numFmtId="0" fontId="22" fillId="10" borderId="0" xfId="1" applyFill="1" applyBorder="1" applyAlignment="1">
      <alignment horizontal="right"/>
    </xf>
    <xf numFmtId="164" fontId="0" fillId="0" borderId="42" xfId="0" applyNumberFormat="1" applyBorder="1"/>
    <xf numFmtId="14" fontId="0" fillId="10" borderId="1" xfId="0" applyNumberFormat="1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7" fillId="10" borderId="5" xfId="0" applyFont="1" applyFill="1" applyBorder="1"/>
    <xf numFmtId="0" fontId="7" fillId="10" borderId="7" xfId="0" applyFont="1" applyFill="1" applyBorder="1"/>
    <xf numFmtId="0" fontId="7" fillId="10" borderId="8" xfId="0" applyFont="1" applyFill="1" applyBorder="1"/>
    <xf numFmtId="0" fontId="7" fillId="10" borderId="18" xfId="0" applyFont="1" applyFill="1" applyBorder="1"/>
    <xf numFmtId="0" fontId="0" fillId="10" borderId="3" xfId="0" applyFont="1" applyFill="1" applyBorder="1" applyAlignment="1">
      <alignment horizontal="center"/>
    </xf>
    <xf numFmtId="164" fontId="0" fillId="0" borderId="43" xfId="0" applyNumberFormat="1" applyBorder="1"/>
    <xf numFmtId="0" fontId="0" fillId="0" borderId="44" xfId="0" applyBorder="1"/>
    <xf numFmtId="164" fontId="0" fillId="0" borderId="45" xfId="0" applyNumberFormat="1" applyBorder="1"/>
    <xf numFmtId="164" fontId="0" fillId="5" borderId="45" xfId="0" applyNumberFormat="1" applyFill="1" applyBorder="1"/>
    <xf numFmtId="164" fontId="0" fillId="0" borderId="45" xfId="0" applyNumberFormat="1" applyFill="1" applyBorder="1"/>
    <xf numFmtId="0" fontId="0" fillId="0" borderId="44" xfId="0" applyFill="1" applyBorder="1"/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10" borderId="47" xfId="0" applyFill="1" applyBorder="1" applyAlignment="1">
      <alignment horizontal="center"/>
    </xf>
    <xf numFmtId="0" fontId="0" fillId="10" borderId="48" xfId="0" applyFill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64" fontId="0" fillId="5" borderId="43" xfId="0" applyNumberFormat="1" applyFill="1" applyBorder="1"/>
    <xf numFmtId="166" fontId="10" fillId="6" borderId="0" xfId="0" applyNumberFormat="1" applyFont="1" applyFill="1"/>
    <xf numFmtId="166" fontId="10" fillId="5" borderId="0" xfId="0" applyNumberFormat="1" applyFont="1" applyFill="1"/>
    <xf numFmtId="0" fontId="10" fillId="5" borderId="0" xfId="0" applyFont="1" applyFill="1"/>
    <xf numFmtId="0" fontId="10" fillId="6" borderId="0" xfId="0" applyFont="1" applyFill="1"/>
    <xf numFmtId="0" fontId="10" fillId="0" borderId="20" xfId="0" applyFont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4" fontId="0" fillId="5" borderId="8" xfId="0" applyNumberFormat="1" applyFill="1" applyBorder="1"/>
    <xf numFmtId="0" fontId="7" fillId="5" borderId="7" xfId="0" applyFont="1" applyFill="1" applyBorder="1"/>
    <xf numFmtId="0" fontId="0" fillId="5" borderId="3" xfId="0" applyFill="1" applyBorder="1" applyAlignment="1">
      <alignment horizontal="center"/>
    </xf>
    <xf numFmtId="164" fontId="0" fillId="5" borderId="1" xfId="0" applyNumberFormat="1" applyFill="1" applyBorder="1"/>
    <xf numFmtId="0" fontId="7" fillId="5" borderId="5" xfId="0" applyFont="1" applyFill="1" applyBorder="1"/>
    <xf numFmtId="0" fontId="10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0" fillId="0" borderId="46" xfId="0" applyFont="1" applyBorder="1"/>
    <xf numFmtId="0" fontId="10" fillId="0" borderId="47" xfId="0" applyFont="1" applyBorder="1"/>
    <xf numFmtId="0" fontId="10" fillId="0" borderId="48" xfId="0" applyFont="1" applyBorder="1"/>
    <xf numFmtId="0" fontId="22" fillId="5" borderId="0" xfId="1" applyFill="1" applyBorder="1"/>
    <xf numFmtId="0" fontId="22" fillId="5" borderId="0" xfId="1" applyFill="1" applyBorder="1" applyAlignment="1">
      <alignment horizontal="right"/>
    </xf>
    <xf numFmtId="0" fontId="1" fillId="5" borderId="0" xfId="1" applyFont="1" applyFill="1" applyBorder="1"/>
    <xf numFmtId="0" fontId="0" fillId="6" borderId="32" xfId="0" applyFill="1" applyBorder="1" applyAlignment="1">
      <alignment vertical="center"/>
    </xf>
    <xf numFmtId="0" fontId="0" fillId="6" borderId="31" xfId="0" applyFill="1" applyBorder="1" applyAlignment="1">
      <alignment vertical="center"/>
    </xf>
    <xf numFmtId="0" fontId="0" fillId="6" borderId="33" xfId="0" applyFill="1" applyBorder="1" applyAlignment="1">
      <alignment horizontal="left" vertical="center" indent="1"/>
    </xf>
    <xf numFmtId="0" fontId="0" fillId="6" borderId="49" xfId="0" applyFill="1" applyBorder="1" applyAlignment="1">
      <alignment vertical="center"/>
    </xf>
    <xf numFmtId="0" fontId="0" fillId="6" borderId="0" xfId="0" applyFill="1" applyBorder="1" applyAlignment="1">
      <alignment vertical="center"/>
    </xf>
    <xf numFmtId="0" fontId="0" fillId="6" borderId="0" xfId="0" applyFill="1" applyBorder="1" applyAlignment="1">
      <alignment horizontal="right" vertical="center"/>
    </xf>
    <xf numFmtId="0" fontId="0" fillId="6" borderId="50" xfId="0" applyFill="1" applyBorder="1" applyAlignment="1">
      <alignment horizontal="left" vertical="center" inden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14" fontId="0" fillId="6" borderId="28" xfId="0" applyNumberFormat="1" applyFill="1" applyBorder="1" applyAlignment="1">
      <alignment vertical="center"/>
    </xf>
    <xf numFmtId="0" fontId="0" fillId="6" borderId="29" xfId="0" applyFill="1" applyBorder="1" applyAlignment="1">
      <alignment vertical="center"/>
    </xf>
    <xf numFmtId="0" fontId="0" fillId="6" borderId="30" xfId="0" applyFill="1" applyBorder="1" applyAlignment="1">
      <alignment horizontal="left" vertical="center" indent="1"/>
    </xf>
    <xf numFmtId="14" fontId="0" fillId="6" borderId="31" xfId="0" applyNumberFormat="1" applyFill="1" applyBorder="1" applyAlignment="1">
      <alignment vertical="center"/>
    </xf>
    <xf numFmtId="164" fontId="23" fillId="5" borderId="0" xfId="0" applyNumberFormat="1" applyFont="1" applyFill="1" applyAlignment="1">
      <alignment horizontal="right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10" fillId="0" borderId="20" xfId="0" applyFont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166" fontId="0" fillId="0" borderId="20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15" fillId="0" borderId="20" xfId="0" applyFont="1" applyBorder="1" applyAlignment="1">
      <alignment horizontal="left" vertical="center"/>
    </xf>
    <xf numFmtId="2" fontId="0" fillId="0" borderId="20" xfId="0" applyNumberFormat="1" applyFont="1" applyBorder="1" applyAlignment="1">
      <alignment horizontal="center" vertical="center"/>
    </xf>
    <xf numFmtId="166" fontId="0" fillId="0" borderId="39" xfId="0" applyNumberFormat="1" applyBorder="1" applyAlignment="1">
      <alignment horizontal="center" vertical="center"/>
    </xf>
    <xf numFmtId="166" fontId="0" fillId="0" borderId="40" xfId="0" applyNumberFormat="1" applyBorder="1" applyAlignment="1">
      <alignment horizontal="center" vertical="center"/>
    </xf>
    <xf numFmtId="0" fontId="15" fillId="0" borderId="39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66" fontId="0" fillId="0" borderId="20" xfId="0" applyNumberForma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165" fontId="10" fillId="0" borderId="20" xfId="0" applyNumberFormat="1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0" fontId="0" fillId="6" borderId="41" xfId="0" applyFill="1" applyBorder="1" applyAlignment="1">
      <alignment horizontal="right" vertical="center"/>
    </xf>
    <xf numFmtId="0" fontId="0" fillId="6" borderId="32" xfId="0" applyFill="1" applyBorder="1" applyAlignment="1">
      <alignment horizontal="right" vertical="center"/>
    </xf>
    <xf numFmtId="164" fontId="23" fillId="5" borderId="0" xfId="0" applyNumberFormat="1" applyFont="1" applyFill="1" applyAlignment="1">
      <alignment horizontal="right" vertical="center"/>
    </xf>
    <xf numFmtId="165" fontId="10" fillId="4" borderId="20" xfId="0" applyNumberFormat="1" applyFont="1" applyFill="1" applyBorder="1" applyAlignment="1">
      <alignment horizontal="center"/>
    </xf>
    <xf numFmtId="164" fontId="0" fillId="6" borderId="45" xfId="0" applyNumberFormat="1" applyFill="1" applyBorder="1"/>
    <xf numFmtId="0" fontId="28" fillId="6" borderId="44" xfId="0" applyFont="1" applyFill="1" applyBorder="1"/>
    <xf numFmtId="0" fontId="28" fillId="0" borderId="44" xfId="0" applyFont="1" applyBorder="1"/>
    <xf numFmtId="0" fontId="28" fillId="0" borderId="44" xfId="0" applyFont="1" applyFill="1" applyBorder="1"/>
    <xf numFmtId="0" fontId="28" fillId="0" borderId="0" xfId="0" applyFont="1" applyFill="1" applyAlignment="1">
      <alignment horizontal="right"/>
    </xf>
    <xf numFmtId="164" fontId="28" fillId="0" borderId="26" xfId="0" applyNumberFormat="1" applyFont="1" applyBorder="1"/>
    <xf numFmtId="0" fontId="0" fillId="0" borderId="51" xfId="0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Fill="1" applyBorder="1" applyAlignment="1">
      <alignment horizontal="center" vertical="center"/>
    </xf>
    <xf numFmtId="0" fontId="28" fillId="0" borderId="54" xfId="0" applyFont="1" applyBorder="1" applyAlignment="1">
      <alignment horizontal="center"/>
    </xf>
    <xf numFmtId="164" fontId="28" fillId="6" borderId="26" xfId="0" applyNumberFormat="1" applyFont="1" applyFill="1" applyBorder="1"/>
    <xf numFmtId="0" fontId="19" fillId="0" borderId="13" xfId="0" applyFont="1" applyBorder="1"/>
    <xf numFmtId="0" fontId="19" fillId="0" borderId="0" xfId="0" applyFont="1" applyBorder="1"/>
    <xf numFmtId="1" fontId="0" fillId="0" borderId="56" xfId="0" applyNumberFormat="1" applyBorder="1"/>
    <xf numFmtId="0" fontId="19" fillId="0" borderId="55" xfId="0" applyFont="1" applyBorder="1"/>
    <xf numFmtId="0" fontId="17" fillId="0" borderId="57" xfId="0" applyFont="1" applyBorder="1"/>
    <xf numFmtId="0" fontId="0" fillId="6" borderId="0" xfId="0" applyFill="1"/>
    <xf numFmtId="0" fontId="0" fillId="0" borderId="32" xfId="0" applyNumberFormat="1" applyFill="1" applyBorder="1" applyAlignment="1">
      <alignment vertical="center"/>
    </xf>
    <xf numFmtId="0" fontId="29" fillId="0" borderId="32" xfId="0" applyFont="1" applyBorder="1"/>
    <xf numFmtId="0" fontId="29" fillId="0" borderId="32" xfId="0" applyFont="1" applyBorder="1" applyAlignment="1">
      <alignment horizontal="center"/>
    </xf>
    <xf numFmtId="0" fontId="29" fillId="0" borderId="0" xfId="0" applyFont="1"/>
    <xf numFmtId="165" fontId="29" fillId="0" borderId="0" xfId="0" applyNumberFormat="1" applyFont="1"/>
    <xf numFmtId="167" fontId="29" fillId="0" borderId="0" xfId="0" applyNumberFormat="1" applyFont="1"/>
    <xf numFmtId="167" fontId="29" fillId="0" borderId="0" xfId="0" applyNumberFormat="1" applyFont="1" applyAlignment="1">
      <alignment horizontal="center"/>
    </xf>
    <xf numFmtId="164" fontId="29" fillId="0" borderId="0" xfId="0" applyNumberFormat="1" applyFont="1"/>
    <xf numFmtId="3" fontId="29" fillId="0" borderId="0" xfId="0" applyNumberFormat="1" applyFont="1"/>
    <xf numFmtId="1" fontId="30" fillId="2" borderId="26" xfId="0" applyNumberFormat="1" applyFont="1" applyFill="1" applyBorder="1"/>
    <xf numFmtId="164" fontId="31" fillId="2" borderId="26" xfId="0" applyNumberFormat="1" applyFont="1" applyFill="1" applyBorder="1"/>
    <xf numFmtId="1" fontId="18" fillId="2" borderId="58" xfId="0" applyNumberFormat="1" applyFont="1" applyFill="1" applyBorder="1"/>
    <xf numFmtId="164" fontId="10" fillId="2" borderId="58" xfId="0" applyNumberFormat="1" applyFont="1" applyFill="1" applyBorder="1"/>
    <xf numFmtId="1" fontId="10" fillId="0" borderId="59" xfId="0" applyNumberFormat="1" applyFont="1" applyBorder="1" applyAlignment="1">
      <alignment horizontal="center"/>
    </xf>
    <xf numFmtId="1" fontId="30" fillId="2" borderId="60" xfId="0" applyNumberFormat="1" applyFont="1" applyFill="1" applyBorder="1"/>
    <xf numFmtId="164" fontId="31" fillId="2" borderId="61" xfId="0" applyNumberFormat="1" applyFont="1" applyFill="1" applyBorder="1"/>
  </cellXfs>
  <cellStyles count="2">
    <cellStyle name="normální" xfId="0" builtinId="0"/>
    <cellStyle name="normální 2" xfId="1"/>
  </cellStyles>
  <dxfs count="4892"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/>
        <i val="0"/>
        <color rgb="FFFF0000"/>
      </font>
    </dxf>
    <dxf>
      <font>
        <color rgb="FF0070C0"/>
      </font>
    </dxf>
    <dxf>
      <font>
        <b/>
        <i val="0"/>
        <color rgb="FFFF0000"/>
      </font>
    </dxf>
    <dxf>
      <font>
        <color rgb="FF0070C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color theme="0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23529411764706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3076991696393964E-2"/>
          <c:y val="0.2882357080590936"/>
          <c:w val="0.89615468764525208"/>
          <c:h val="0.60882440375747893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dLbls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Val val="1"/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(Rozdíly!$D$31:$D$31,Rozdíly!$G$31:$G$31,Rozdíly!$J$31:$J$31,Rozdíly!$M$31:$M$31,Rozdíly!$P$31:$P$31,Rozdíly!$S$31:$S$31,Rozdíly!$V$31:$V$31,Rozdíly!$Y$31:$Y$31)</c:f>
              <c:numCache>
                <c:formatCode>General</c:formatCode>
                <c:ptCount val="8"/>
                <c:pt idx="0">
                  <c:v>41.563000000000073</c:v>
                </c:pt>
                <c:pt idx="1">
                  <c:v>52.998000000000069</c:v>
                </c:pt>
                <c:pt idx="2">
                  <c:v>31.465000000000018</c:v>
                </c:pt>
                <c:pt idx="3">
                  <c:v>51.605000000000075</c:v>
                </c:pt>
                <c:pt idx="4">
                  <c:v>28.99199999999999</c:v>
                </c:pt>
                <c:pt idx="5">
                  <c:v>45.197000000000017</c:v>
                </c:pt>
                <c:pt idx="6">
                  <c:v>27.693999999999953</c:v>
                </c:pt>
                <c:pt idx="7">
                  <c:v>37.941999999999965</c:v>
                </c:pt>
              </c:numCache>
            </c:numRef>
          </c:val>
        </c:ser>
        <c:gapWidth val="75"/>
        <c:overlap val="100"/>
        <c:axId val="141789824"/>
        <c:axId val="141689216"/>
      </c:barChart>
      <c:catAx>
        <c:axId val="141789824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1689216"/>
        <c:crossesAt val="0"/>
        <c:auto val="1"/>
        <c:lblAlgn val="ctr"/>
        <c:lblOffset val="100"/>
        <c:tickLblSkip val="1"/>
        <c:tickMarkSkip val="1"/>
      </c:catAx>
      <c:valAx>
        <c:axId val="141689216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1789824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240331350554388"/>
          <c:y val="0.28908637849828117"/>
          <c:w val="0.85852875660269645"/>
          <c:h val="0.60767136704740365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Val val="1"/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(Rozdíly!$D$33:$D$33,Rozdíly!$G$33:$G$33,Rozdíly!$J$33:$J$33,Rozdíly!$M$33:$M$33,Rozdíly!$P$33:$P$33,Rozdíly!$S$33:$S$33,Rozdíly!$V$33:$V$33,Rozdíly!$Y$33:$Y$33)</c:f>
              <c:numCache>
                <c:formatCode>0.0%</c:formatCode>
                <c:ptCount val="8"/>
                <c:pt idx="0">
                  <c:v>0.21730242382416323</c:v>
                </c:pt>
                <c:pt idx="1">
                  <c:v>0.18036837376460033</c:v>
                </c:pt>
                <c:pt idx="2">
                  <c:v>0.1284013189037429</c:v>
                </c:pt>
                <c:pt idx="3">
                  <c:v>0.22793325206268467</c:v>
                </c:pt>
                <c:pt idx="4">
                  <c:v>0.12628717787883531</c:v>
                </c:pt>
                <c:pt idx="5">
                  <c:v>0.15762363116412087</c:v>
                </c:pt>
                <c:pt idx="6">
                  <c:v>0.12787197104018894</c:v>
                </c:pt>
                <c:pt idx="7">
                  <c:v>0.16117822976669885</c:v>
                </c:pt>
              </c:numCache>
            </c:numRef>
          </c:val>
        </c:ser>
        <c:gapWidth val="75"/>
        <c:overlap val="100"/>
        <c:axId val="141729792"/>
        <c:axId val="141731328"/>
      </c:barChart>
      <c:catAx>
        <c:axId val="141729792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1731328"/>
        <c:crossesAt val="0"/>
        <c:auto val="1"/>
        <c:lblAlgn val="ctr"/>
        <c:lblOffset val="100"/>
        <c:tickLblSkip val="1"/>
        <c:tickMarkSkip val="1"/>
      </c:catAx>
      <c:valAx>
        <c:axId val="141731328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1729792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34808259587020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9.4230857713771141E-2"/>
          <c:y val="0.28908637849828117"/>
          <c:w val="0.87500082162788129"/>
          <c:h val="0.60767136704740365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val>
            <c:numRef>
              <c:f>('Rozdíly (2)'!$D$31:$D$31,'Rozdíly (2)'!$G$31:$G$31,'Rozdíly (2)'!$J$31:$J$31,'Rozdíly (2)'!$M$31:$M$31,'Rozdíly (2)'!$P$31:$P$31,'Rozdíly (2)'!$S$31:$S$31,'Rozdíly (2)'!$V$31:$V$31,'Rozdíly (2)'!$Y$31:$Y$31)</c:f>
              <c:numCache>
                <c:formatCode>General</c:formatCode>
                <c:ptCount val="8"/>
                <c:pt idx="0">
                  <c:v>41.563000000000073</c:v>
                </c:pt>
                <c:pt idx="1">
                  <c:v>52.998000000000069</c:v>
                </c:pt>
                <c:pt idx="2">
                  <c:v>31.465000000000018</c:v>
                </c:pt>
                <c:pt idx="3">
                  <c:v>51.605000000000075</c:v>
                </c:pt>
                <c:pt idx="4">
                  <c:v>28.99199999999999</c:v>
                </c:pt>
                <c:pt idx="5">
                  <c:v>45.197000000000017</c:v>
                </c:pt>
                <c:pt idx="6">
                  <c:v>27.693999999999953</c:v>
                </c:pt>
                <c:pt idx="7">
                  <c:v>37.941999999999965</c:v>
                </c:pt>
              </c:numCache>
            </c:numRef>
          </c:val>
        </c:ser>
        <c:gapWidth val="75"/>
        <c:overlap val="100"/>
        <c:axId val="142918016"/>
        <c:axId val="142919552"/>
      </c:barChart>
      <c:catAx>
        <c:axId val="142918016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2919552"/>
        <c:crossesAt val="0"/>
        <c:auto val="1"/>
        <c:lblAlgn val="ctr"/>
        <c:lblOffset val="100"/>
        <c:tickLblSkip val="1"/>
        <c:tickMarkSkip val="1"/>
      </c:catAx>
      <c:valAx>
        <c:axId val="142919552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2918016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0.11240331350554388"/>
          <c:y val="0.28908637849828117"/>
          <c:w val="0.85852875660269645"/>
          <c:h val="0.60767136704740365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Val val="1"/>
          </c:dLbls>
          <c:val>
            <c:numRef>
              <c:f>('Rozdíly (2)'!$D$33:$D$33,'Rozdíly (2)'!$G$33:$G$33,'Rozdíly (2)'!$J$33:$J$33,'Rozdíly (2)'!$M$33:$M$33,'Rozdíly (2)'!$P$33:$P$33,'Rozdíly (2)'!$S$33:$S$33,'Rozdíly (2)'!$V$33:$V$33,'Rozdíly (2)'!$Y$33:$Y$33)</c:f>
              <c:numCache>
                <c:formatCode>0.0%</c:formatCode>
                <c:ptCount val="8"/>
                <c:pt idx="0">
                  <c:v>0.21730242382416323</c:v>
                </c:pt>
                <c:pt idx="1">
                  <c:v>0.18036837376460033</c:v>
                </c:pt>
                <c:pt idx="2">
                  <c:v>0.1284013189037429</c:v>
                </c:pt>
                <c:pt idx="3">
                  <c:v>0.22793325206268467</c:v>
                </c:pt>
                <c:pt idx="4">
                  <c:v>0.12628717787883531</c:v>
                </c:pt>
                <c:pt idx="5">
                  <c:v>0.15762363116412087</c:v>
                </c:pt>
                <c:pt idx="6">
                  <c:v>0.12787197104018894</c:v>
                </c:pt>
                <c:pt idx="7">
                  <c:v>0.16117822976669885</c:v>
                </c:pt>
              </c:numCache>
            </c:numRef>
          </c:val>
        </c:ser>
        <c:gapWidth val="75"/>
        <c:overlap val="100"/>
        <c:axId val="142829056"/>
        <c:axId val="142830592"/>
      </c:barChart>
      <c:catAx>
        <c:axId val="142829056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2830592"/>
        <c:crossesAt val="0"/>
        <c:auto val="1"/>
        <c:lblAlgn val="ctr"/>
        <c:lblOffset val="100"/>
        <c:tickLblSkip val="1"/>
        <c:tickMarkSkip val="1"/>
      </c:catAx>
      <c:valAx>
        <c:axId val="142830592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2829056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23529411764706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1923076923076933E-2"/>
          <c:y val="0.28823529411764731"/>
          <c:w val="0.92307692307692257"/>
          <c:h val="0.60882352941176454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dLbls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Val val="1"/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(Rozdíly!$D$31,Rozdíly!$G$31,Rozdíly!$J$31,Rozdíly!$M$31,Rozdíly!$P$31,Rozdíly!$S$31,Rozdíly!$V$31,Rozdíly!$Y$31)</c:f>
              <c:numCache>
                <c:formatCode>General</c:formatCode>
                <c:ptCount val="8"/>
                <c:pt idx="0">
                  <c:v>41.563000000000073</c:v>
                </c:pt>
                <c:pt idx="1">
                  <c:v>52.998000000000069</c:v>
                </c:pt>
                <c:pt idx="2">
                  <c:v>31.465000000000018</c:v>
                </c:pt>
                <c:pt idx="3">
                  <c:v>51.605000000000075</c:v>
                </c:pt>
                <c:pt idx="4">
                  <c:v>28.99199999999999</c:v>
                </c:pt>
                <c:pt idx="5">
                  <c:v>45.197000000000017</c:v>
                </c:pt>
                <c:pt idx="6">
                  <c:v>27.693999999999953</c:v>
                </c:pt>
                <c:pt idx="7">
                  <c:v>37.941999999999965</c:v>
                </c:pt>
              </c:numCache>
            </c:numRef>
          </c:val>
        </c:ser>
        <c:gapWidth val="75"/>
        <c:overlap val="100"/>
        <c:axId val="142858880"/>
        <c:axId val="142934400"/>
      </c:barChart>
      <c:catAx>
        <c:axId val="142858880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2934400"/>
        <c:crossesAt val="0"/>
        <c:auto val="1"/>
        <c:lblAlgn val="ctr"/>
        <c:lblOffset val="100"/>
        <c:tickLblSkip val="1"/>
        <c:tickMarkSkip val="1"/>
      </c:catAx>
      <c:valAx>
        <c:axId val="142934400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2858880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9.1085271317829467E-2"/>
          <c:y val="0.28908554572271605"/>
          <c:w val="0.89341085271318266"/>
          <c:h val="0.60766961651918916"/>
        </c:manualLayout>
      </c:layout>
      <c:barChart>
        <c:barDir val="col"/>
        <c:grouping val="stacked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Val val="1"/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(Rozdíly!$D$33,Rozdíly!$G$33,Rozdíly!$J$33,Rozdíly!$M$33,Rozdíly!$P$33,Rozdíly!$S$33,Rozdíly!$V$33,Rozdíly!$Y$33)</c:f>
              <c:numCache>
                <c:formatCode>0.0%</c:formatCode>
                <c:ptCount val="8"/>
                <c:pt idx="0">
                  <c:v>0.21730242382416323</c:v>
                </c:pt>
                <c:pt idx="1">
                  <c:v>0.18036837376460033</c:v>
                </c:pt>
                <c:pt idx="2">
                  <c:v>0.1284013189037429</c:v>
                </c:pt>
                <c:pt idx="3">
                  <c:v>0.22793325206268467</c:v>
                </c:pt>
                <c:pt idx="4">
                  <c:v>0.12628717787883531</c:v>
                </c:pt>
                <c:pt idx="5">
                  <c:v>0.15762363116412087</c:v>
                </c:pt>
                <c:pt idx="6">
                  <c:v>0.12787197104018894</c:v>
                </c:pt>
                <c:pt idx="7">
                  <c:v>0.16117822976669885</c:v>
                </c:pt>
              </c:numCache>
            </c:numRef>
          </c:val>
        </c:ser>
        <c:gapWidth val="75"/>
        <c:overlap val="100"/>
        <c:axId val="142979072"/>
        <c:axId val="142980608"/>
      </c:barChart>
      <c:catAx>
        <c:axId val="142979072"/>
        <c:scaling>
          <c:orientation val="minMax"/>
        </c:scaling>
        <c:axPos val="b"/>
        <c:numFmt formatCode="General" sourceLinked="1"/>
        <c:maj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2980608"/>
        <c:crossesAt val="0"/>
        <c:auto val="1"/>
        <c:lblAlgn val="ctr"/>
        <c:lblOffset val="100"/>
        <c:tickLblSkip val="1"/>
        <c:tickMarkSkip val="1"/>
      </c:catAx>
      <c:valAx>
        <c:axId val="142980608"/>
        <c:scaling>
          <c:orientation val="minMax"/>
        </c:scaling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2979072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cs-CZ"/>
  <c:style val="7"/>
  <c:chart>
    <c:plotArea>
      <c:layout/>
      <c:barChart>
        <c:barDir val="col"/>
        <c:grouping val="clustered"/>
        <c:ser>
          <c:idx val="1"/>
          <c:order val="0"/>
          <c:tx>
            <c:v>Leden</c:v>
          </c:tx>
          <c:spPr>
            <a:solidFill>
              <a:schemeClr val="tx1"/>
            </a:solidFill>
          </c:spPr>
          <c:cat>
            <c:numRef>
              <c:f>Paty!$A$6:$A$27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Paty!$C$6:$C$27</c:f>
              <c:numCache>
                <c:formatCode>0.000</c:formatCode>
                <c:ptCount val="8"/>
                <c:pt idx="0">
                  <c:v>84.868085106383077</c:v>
                </c:pt>
                <c:pt idx="1">
                  <c:v>27.239616613418548</c:v>
                </c:pt>
                <c:pt idx="2">
                  <c:v>45.966942148760381</c:v>
                </c:pt>
                <c:pt idx="3">
                  <c:v>47.221757322175812</c:v>
                </c:pt>
                <c:pt idx="4">
                  <c:v>84.804469273743052</c:v>
                </c:pt>
                <c:pt idx="5">
                  <c:v>74.854054054054188</c:v>
                </c:pt>
                <c:pt idx="6">
                  <c:v>94.602910602910725</c:v>
                </c:pt>
                <c:pt idx="7">
                  <c:v>75.651347068145753</c:v>
                </c:pt>
              </c:numCache>
            </c:numRef>
          </c:val>
        </c:ser>
        <c:ser>
          <c:idx val="0"/>
          <c:order val="1"/>
          <c:tx>
            <c:v>Únor</c:v>
          </c:tx>
          <c:cat>
            <c:numRef>
              <c:f>Paty!$A$6:$A$27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Paty!$D$6:$D$27</c:f>
              <c:numCache>
                <c:formatCode>0.000</c:formatCode>
                <c:ptCount val="8"/>
                <c:pt idx="0">
                  <c:v>92.734982332155383</c:v>
                </c:pt>
                <c:pt idx="1">
                  <c:v>26.674237047551522</c:v>
                </c:pt>
                <c:pt idx="2">
                  <c:v>52.998410174880718</c:v>
                </c:pt>
                <c:pt idx="3">
                  <c:v>41.720930232558139</c:v>
                </c:pt>
                <c:pt idx="4">
                  <c:v>99.793313069908862</c:v>
                </c:pt>
                <c:pt idx="5">
                  <c:v>113.38983050847436</c:v>
                </c:pt>
                <c:pt idx="6">
                  <c:v>107.99999999999996</c:v>
                </c:pt>
                <c:pt idx="7">
                  <c:v>84.682926829268368</c:v>
                </c:pt>
              </c:numCache>
            </c:numRef>
          </c:val>
        </c:ser>
        <c:ser>
          <c:idx val="2"/>
          <c:order val="2"/>
          <c:tx>
            <c:v>Březen</c:v>
          </c:tx>
          <c:cat>
            <c:numRef>
              <c:f>Paty!$A$6:$A$27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Paty!$E$6:$E$27</c:f>
              <c:numCache>
                <c:formatCode>0.000</c:formatCode>
                <c:ptCount val="8"/>
                <c:pt idx="0">
                  <c:v>85.518987341772075</c:v>
                </c:pt>
                <c:pt idx="1">
                  <c:v>21.923244026067984</c:v>
                </c:pt>
                <c:pt idx="2">
                  <c:v>47.019011406844143</c:v>
                </c:pt>
                <c:pt idx="3">
                  <c:v>30.795180722891502</c:v>
                </c:pt>
                <c:pt idx="4">
                  <c:v>108.15189873417728</c:v>
                </c:pt>
                <c:pt idx="5">
                  <c:v>118.82706766917295</c:v>
                </c:pt>
                <c:pt idx="6">
                  <c:v>110.46315789473654</c:v>
                </c:pt>
                <c:pt idx="7">
                  <c:v>81.150501672240921</c:v>
                </c:pt>
              </c:numCache>
            </c:numRef>
          </c:val>
        </c:ser>
        <c:ser>
          <c:idx val="3"/>
          <c:order val="3"/>
          <c:tx>
            <c:v>Duben</c:v>
          </c:tx>
          <c:cat>
            <c:numRef>
              <c:f>Paty!$A$6:$A$27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Paty!$F$6:$F$27</c:f>
              <c:numCache>
                <c:formatCode>0.000</c:formatCode>
                <c:ptCount val="8"/>
                <c:pt idx="0">
                  <c:v>71.137724550898454</c:v>
                </c:pt>
                <c:pt idx="1">
                  <c:v>15.962750716332373</c:v>
                </c:pt>
                <c:pt idx="2">
                  <c:v>46.646341463414636</c:v>
                </c:pt>
                <c:pt idx="3">
                  <c:v>19.636363636363676</c:v>
                </c:pt>
                <c:pt idx="4">
                  <c:v>90.000000000000014</c:v>
                </c:pt>
                <c:pt idx="5">
                  <c:v>113.93406593406633</c:v>
                </c:pt>
                <c:pt idx="6">
                  <c:v>96.272727272727295</c:v>
                </c:pt>
                <c:pt idx="7">
                  <c:v>56.885496183205923</c:v>
                </c:pt>
              </c:numCache>
            </c:numRef>
          </c:val>
        </c:ser>
        <c:ser>
          <c:idx val="4"/>
          <c:order val="4"/>
          <c:tx>
            <c:v>Květen</c:v>
          </c:tx>
          <c:cat>
            <c:numRef>
              <c:f>Paty!$A$6:$A$27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Paty!$G$6:$G$27</c:f>
              <c:numCache>
                <c:formatCode>0.000</c:formatCode>
                <c:ptCount val="8"/>
                <c:pt idx="0">
                  <c:v>68.59459459459444</c:v>
                </c:pt>
                <c:pt idx="1">
                  <c:v>13.286652078774624</c:v>
                </c:pt>
                <c:pt idx="2">
                  <c:v>27.498973305954816</c:v>
                </c:pt>
                <c:pt idx="3">
                  <c:v>17.871977240398341</c:v>
                </c:pt>
                <c:pt idx="4">
                  <c:v>82.169491525423581</c:v>
                </c:pt>
                <c:pt idx="5">
                  <c:v>106.73684210526304</c:v>
                </c:pt>
                <c:pt idx="6">
                  <c:v>88.975609756097342</c:v>
                </c:pt>
                <c:pt idx="7">
                  <c:v>50.024096385542286</c:v>
                </c:pt>
              </c:numCache>
            </c:numRef>
          </c:val>
        </c:ser>
        <c:ser>
          <c:idx val="5"/>
          <c:order val="5"/>
          <c:tx>
            <c:v>Červen</c:v>
          </c:tx>
          <c:cat>
            <c:numRef>
              <c:f>Paty!$A$6:$A$27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Paty!$H$6:$H$27</c:f>
              <c:numCache>
                <c:formatCode>0.000</c:formatCode>
                <c:ptCount val="8"/>
                <c:pt idx="0">
                  <c:v>50.318181818182566</c:v>
                </c:pt>
                <c:pt idx="1">
                  <c:v>6.8400000000001038</c:v>
                </c:pt>
                <c:pt idx="2">
                  <c:v>12.600000000000053</c:v>
                </c:pt>
                <c:pt idx="3">
                  <c:v>8.9379310344827445</c:v>
                </c:pt>
                <c:pt idx="4">
                  <c:v>58.559999999999945</c:v>
                </c:pt>
                <c:pt idx="5">
                  <c:v>75.599999999999454</c:v>
                </c:pt>
                <c:pt idx="6">
                  <c:v>73.770491803278688</c:v>
                </c:pt>
                <c:pt idx="7">
                  <c:v>30.580645161290015</c:v>
                </c:pt>
              </c:numCache>
            </c:numRef>
          </c:val>
        </c:ser>
        <c:ser>
          <c:idx val="6"/>
          <c:order val="6"/>
          <c:tx>
            <c:v>Červenec</c:v>
          </c:tx>
          <c:cat>
            <c:numRef>
              <c:f>Paty!$A$6:$A$27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Paty!$I$6:$I$27</c:f>
              <c:numCache>
                <c:formatCode>0.000</c:formatCode>
                <c:ptCount val="8"/>
                <c:pt idx="0">
                  <c:v>52.701030927835056</c:v>
                </c:pt>
                <c:pt idx="1">
                  <c:v>8.1051766639276916</c:v>
                </c:pt>
                <c:pt idx="2">
                  <c:v>14.576687116564418</c:v>
                </c:pt>
                <c:pt idx="3">
                  <c:v>11.030303030303029</c:v>
                </c:pt>
                <c:pt idx="4">
                  <c:v>59.421686746988144</c:v>
                </c:pt>
                <c:pt idx="5">
                  <c:v>75.375000000000199</c:v>
                </c:pt>
                <c:pt idx="6">
                  <c:v>69.187500000001023</c:v>
                </c:pt>
                <c:pt idx="7">
                  <c:v>28.698113207547614</c:v>
                </c:pt>
              </c:numCache>
            </c:numRef>
          </c:val>
        </c:ser>
        <c:ser>
          <c:idx val="7"/>
          <c:order val="7"/>
          <c:tx>
            <c:v>Srpen</c:v>
          </c:tx>
          <c:cat>
            <c:numRef>
              <c:f>Paty!$A$6:$A$27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Paty!$J$6:$J$27</c:f>
              <c:numCache>
                <c:formatCode>0.000</c:formatCode>
                <c:ptCount val="8"/>
                <c:pt idx="0">
                  <c:v>50.181818181818187</c:v>
                </c:pt>
                <c:pt idx="1">
                  <c:v>8.1951219512195124</c:v>
                </c:pt>
                <c:pt idx="2">
                  <c:v>14.530120481927712</c:v>
                </c:pt>
                <c:pt idx="3">
                  <c:v>11.493243243243244</c:v>
                </c:pt>
                <c:pt idx="4">
                  <c:v>59.717647058823388</c:v>
                </c:pt>
                <c:pt idx="5">
                  <c:v>79.304347826087493</c:v>
                </c:pt>
                <c:pt idx="6">
                  <c:v>68.727272727272236</c:v>
                </c:pt>
                <c:pt idx="7">
                  <c:v>28.934579439252317</c:v>
                </c:pt>
              </c:numCache>
            </c:numRef>
          </c:val>
        </c:ser>
        <c:ser>
          <c:idx val="8"/>
          <c:order val="8"/>
          <c:tx>
            <c:v>Září</c:v>
          </c:tx>
          <c:cat>
            <c:numRef>
              <c:f>Paty!$A$6:$A$27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Paty!$K$6:$K$27</c:f>
              <c:numCache>
                <c:formatCode>0.000</c:formatCode>
                <c:ptCount val="8"/>
                <c:pt idx="0">
                  <c:v>54.909090909090899</c:v>
                </c:pt>
                <c:pt idx="1">
                  <c:v>10.732318710832589</c:v>
                </c:pt>
                <c:pt idx="2">
                  <c:v>20.444444444444446</c:v>
                </c:pt>
                <c:pt idx="3">
                  <c:v>13.170731707317074</c:v>
                </c:pt>
                <c:pt idx="4">
                  <c:v>68.869565217390942</c:v>
                </c:pt>
                <c:pt idx="5">
                  <c:v>88.615384615384698</c:v>
                </c:pt>
                <c:pt idx="6">
                  <c:v>77.142857142857153</c:v>
                </c:pt>
                <c:pt idx="7">
                  <c:v>35.648780487804899</c:v>
                </c:pt>
              </c:numCache>
            </c:numRef>
          </c:val>
        </c:ser>
        <c:ser>
          <c:idx val="9"/>
          <c:order val="9"/>
          <c:tx>
            <c:v>Říjen</c:v>
          </c:tx>
          <c:cat>
            <c:numRef>
              <c:f>Paty!$A$6:$A$27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Paty!$L$6:$L$27</c:f>
              <c:numCache>
                <c:formatCode>0.000</c:formatCode>
                <c:ptCount val="8"/>
                <c:pt idx="0">
                  <c:v>66.25</c:v>
                </c:pt>
                <c:pt idx="1">
                  <c:v>14.6319018404908</c:v>
                </c:pt>
                <c:pt idx="2">
                  <c:v>45.026865671641787</c:v>
                </c:pt>
                <c:pt idx="3">
                  <c:v>19.43028485757122</c:v>
                </c:pt>
                <c:pt idx="4">
                  <c:v>90.125874125874446</c:v>
                </c:pt>
                <c:pt idx="5">
                  <c:v>102.12244897959168</c:v>
                </c:pt>
                <c:pt idx="6">
                  <c:v>99.453237410072035</c:v>
                </c:pt>
                <c:pt idx="7">
                  <c:v>58.604651162790546</c:v>
                </c:pt>
              </c:numCache>
            </c:numRef>
          </c:val>
        </c:ser>
        <c:ser>
          <c:idx val="10"/>
          <c:order val="10"/>
          <c:tx>
            <c:v>Listopad</c:v>
          </c:tx>
          <c:cat>
            <c:numRef>
              <c:f>Paty!$A$6:$A$27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Paty!$M$6:$M$27</c:f>
              <c:numCache>
                <c:formatCode>0.000</c:formatCode>
                <c:ptCount val="8"/>
                <c:pt idx="0">
                  <c:v>75.59999999999998</c:v>
                </c:pt>
                <c:pt idx="1">
                  <c:v>26.551181102362204</c:v>
                </c:pt>
                <c:pt idx="2">
                  <c:v>84.109090909090895</c:v>
                </c:pt>
                <c:pt idx="3">
                  <c:v>40.381578947368418</c:v>
                </c:pt>
                <c:pt idx="4">
                  <c:v>114.86511627906953</c:v>
                </c:pt>
                <c:pt idx="5">
                  <c:v>108.64864864864877</c:v>
                </c:pt>
                <c:pt idx="6">
                  <c:v>114.38961038961044</c:v>
                </c:pt>
                <c:pt idx="7">
                  <c:v>100.52830188679253</c:v>
                </c:pt>
              </c:numCache>
            </c:numRef>
          </c:val>
        </c:ser>
        <c:ser>
          <c:idx val="11"/>
          <c:order val="11"/>
          <c:tx>
            <c:v>Prosinec</c:v>
          </c:tx>
          <c:cat>
            <c:numRef>
              <c:f>Paty!$A$6:$A$27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Paty!$N$6:$N$27</c:f>
              <c:numCache>
                <c:formatCode>0.000</c:formatCode>
                <c:ptCount val="8"/>
                <c:pt idx="0">
                  <c:v>101.38064516129032</c:v>
                </c:pt>
                <c:pt idx="1">
                  <c:v>36.403846153846146</c:v>
                </c:pt>
                <c:pt idx="2">
                  <c:v>94.878504672897208</c:v>
                </c:pt>
                <c:pt idx="3">
                  <c:v>54.654545454545456</c:v>
                </c:pt>
                <c:pt idx="4">
                  <c:v>115.97394136807836</c:v>
                </c:pt>
                <c:pt idx="5">
                  <c:v>111.84545454545444</c:v>
                </c:pt>
                <c:pt idx="6">
                  <c:v>114.9818181818181</c:v>
                </c:pt>
                <c:pt idx="7">
                  <c:v>106.07865168539307</c:v>
                </c:pt>
              </c:numCache>
            </c:numRef>
          </c:val>
        </c:ser>
        <c:axId val="143378304"/>
        <c:axId val="143379840"/>
      </c:barChart>
      <c:catAx>
        <c:axId val="14337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3379840"/>
        <c:crosses val="autoZero"/>
        <c:auto val="1"/>
        <c:lblAlgn val="ctr"/>
        <c:lblOffset val="100"/>
      </c:catAx>
      <c:valAx>
        <c:axId val="143379840"/>
        <c:scaling>
          <c:orientation val="minMax"/>
        </c:scaling>
        <c:axPos val="l"/>
        <c:majorGridlines/>
        <c:numFmt formatCode="0.0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337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648706212283149"/>
          <c:y val="5.2192758993361184E-2"/>
          <c:w val="7.7368545379180989E-2"/>
          <c:h val="0.81545429983016826"/>
        </c:manualLayout>
      </c:layout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cs-CZ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423418</xdr:colOff>
      <xdr:row>10</xdr:row>
      <xdr:rowOff>133888</xdr:rowOff>
    </xdr:from>
    <xdr:ext cx="4405757" cy="1031629"/>
    <xdr:sp macro="" textlink="">
      <xdr:nvSpPr>
        <xdr:cNvPr id="2" name="Obdélník 1"/>
        <xdr:cNvSpPr/>
      </xdr:nvSpPr>
      <xdr:spPr>
        <a:xfrm>
          <a:off x="7329043" y="2419888"/>
          <a:ext cx="4405757" cy="1031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cs-CZ" sz="20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Na listech jednotlivých domů je vyhodnocení spotřeb jednotlivých bytů po měsících </a:t>
          </a:r>
          <a:r>
            <a:rPr lang="cs-CZ" sz="14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s označením vytipovaných vodoměrů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600076</xdr:colOff>
      <xdr:row>10</xdr:row>
      <xdr:rowOff>133350</xdr:rowOff>
    </xdr:from>
    <xdr:ext cx="3962400" cy="1031629"/>
    <xdr:sp macro="" textlink="">
      <xdr:nvSpPr>
        <xdr:cNvPr id="2" name="Obdélník 1"/>
        <xdr:cNvSpPr/>
      </xdr:nvSpPr>
      <xdr:spPr>
        <a:xfrm>
          <a:off x="6829426" y="2419350"/>
          <a:ext cx="3962400" cy="103162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cs-CZ" sz="2000" b="1" cap="none" spc="0" baseline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Na listech jednotlivých domů je vyhodnocení spotřeb vody jednotlivých bytů po měsících</a:t>
          </a:r>
          <a:endParaRPr lang="cs-CZ" sz="1400" b="1" cap="none" spc="0" baseline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bg2">
                <a:tint val="85000"/>
                <a:satMod val="155000"/>
              </a:scheme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35</xdr:row>
      <xdr:rowOff>38100</xdr:rowOff>
    </xdr:from>
    <xdr:to>
      <xdr:col>10</xdr:col>
      <xdr:colOff>561975</xdr:colOff>
      <xdr:row>52</xdr:row>
      <xdr:rowOff>38100</xdr:rowOff>
    </xdr:to>
    <xdr:graphicFrame macro="">
      <xdr:nvGraphicFramePr>
        <xdr:cNvPr id="2215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438150</xdr:colOff>
      <xdr:row>35</xdr:row>
      <xdr:rowOff>28575</xdr:rowOff>
    </xdr:from>
    <xdr:to>
      <xdr:col>22</xdr:col>
      <xdr:colOff>171450</xdr:colOff>
      <xdr:row>52</xdr:row>
      <xdr:rowOff>19050</xdr:rowOff>
    </xdr:to>
    <xdr:graphicFrame macro="">
      <xdr:nvGraphicFramePr>
        <xdr:cNvPr id="2215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0.07286</cdr:x>
      <cdr:y>0.89434</cdr:y>
    </cdr:from>
    <cdr:to>
      <cdr:x>0.07286</cdr:x>
      <cdr:y>0.89434</cdr:y>
    </cdr:to>
    <cdr:sp macro="" textlink="">
      <cdr:nvSpPr>
        <cdr:cNvPr id="2457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739" y="2908002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 type="none" w="med" len="med"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cs-CZ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35</xdr:row>
      <xdr:rowOff>9525</xdr:rowOff>
    </xdr:from>
    <xdr:to>
      <xdr:col>10</xdr:col>
      <xdr:colOff>561975</xdr:colOff>
      <xdr:row>52</xdr:row>
      <xdr:rowOff>0</xdr:rowOff>
    </xdr:to>
    <xdr:graphicFrame macro="">
      <xdr:nvGraphicFramePr>
        <xdr:cNvPr id="174490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438150</xdr:colOff>
      <xdr:row>35</xdr:row>
      <xdr:rowOff>0</xdr:rowOff>
    </xdr:from>
    <xdr:to>
      <xdr:col>22</xdr:col>
      <xdr:colOff>171450</xdr:colOff>
      <xdr:row>51</xdr:row>
      <xdr:rowOff>180975</xdr:rowOff>
    </xdr:to>
    <xdr:graphicFrame macro="">
      <xdr:nvGraphicFramePr>
        <xdr:cNvPr id="174491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200025</xdr:colOff>
      <xdr:row>35</xdr:row>
      <xdr:rowOff>38100</xdr:rowOff>
    </xdr:from>
    <xdr:to>
      <xdr:col>10</xdr:col>
      <xdr:colOff>561975</xdr:colOff>
      <xdr:row>52</xdr:row>
      <xdr:rowOff>38100</xdr:rowOff>
    </xdr:to>
    <xdr:graphicFrame macro="">
      <xdr:nvGraphicFramePr>
        <xdr:cNvPr id="17449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438150</xdr:colOff>
      <xdr:row>35</xdr:row>
      <xdr:rowOff>28575</xdr:rowOff>
    </xdr:from>
    <xdr:to>
      <xdr:col>22</xdr:col>
      <xdr:colOff>171450</xdr:colOff>
      <xdr:row>52</xdr:row>
      <xdr:rowOff>19050</xdr:rowOff>
    </xdr:to>
    <xdr:graphicFrame macro="">
      <xdr:nvGraphicFramePr>
        <xdr:cNvPr id="174491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0.07286</cdr:x>
      <cdr:y>0.89434</cdr:y>
    </cdr:from>
    <cdr:to>
      <cdr:x>0.07286</cdr:x>
      <cdr:y>0.89434</cdr:y>
    </cdr:to>
    <cdr:sp macro="" textlink="">
      <cdr:nvSpPr>
        <cdr:cNvPr id="2457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739" y="2908002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 type="none" w="med" len="med"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cs-CZ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27</xdr:row>
      <xdr:rowOff>114300</xdr:rowOff>
    </xdr:from>
    <xdr:to>
      <xdr:col>14</xdr:col>
      <xdr:colOff>19050</xdr:colOff>
      <xdr:row>41</xdr:row>
      <xdr:rowOff>38100</xdr:rowOff>
    </xdr:to>
    <xdr:graphicFrame macro="">
      <xdr:nvGraphicFramePr>
        <xdr:cNvPr id="1630229" name="Graf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36"/>
  <sheetViews>
    <sheetView topLeftCell="A13" workbookViewId="0">
      <selection activeCell="U1" sqref="U1"/>
    </sheetView>
  </sheetViews>
  <sheetFormatPr defaultRowHeight="15"/>
  <cols>
    <col min="1" max="1" width="8.5703125" style="177" customWidth="1"/>
    <col min="2" max="2" width="26.140625" customWidth="1"/>
    <col min="3" max="17" width="10.140625" customWidth="1"/>
    <col min="18" max="18" width="11.140625" bestFit="1" customWidth="1"/>
    <col min="19" max="19" width="9.85546875" bestFit="1" customWidth="1"/>
    <col min="20" max="20" width="9.28515625" bestFit="1" customWidth="1"/>
  </cols>
  <sheetData>
    <row r="1" spans="1:34" ht="15.75" thickBot="1"/>
    <row r="2" spans="1:34" s="1" customFormat="1" ht="21" customHeight="1" thickBot="1">
      <c r="A2" s="172">
        <v>1850</v>
      </c>
      <c r="B2" s="2"/>
      <c r="C2" s="3">
        <v>43466</v>
      </c>
      <c r="D2" s="4">
        <v>43497</v>
      </c>
      <c r="E2" s="4">
        <v>43526</v>
      </c>
      <c r="F2" s="4">
        <v>43556</v>
      </c>
      <c r="G2" s="4">
        <v>43588</v>
      </c>
      <c r="H2" s="4">
        <v>43620</v>
      </c>
      <c r="I2" s="4">
        <v>43647</v>
      </c>
      <c r="J2" s="4">
        <v>43678</v>
      </c>
      <c r="K2" s="4">
        <v>43679</v>
      </c>
      <c r="L2" s="4">
        <v>43739</v>
      </c>
      <c r="M2" s="221">
        <v>43742</v>
      </c>
      <c r="N2" s="4">
        <v>43770</v>
      </c>
      <c r="O2" s="4">
        <v>43798</v>
      </c>
      <c r="P2" s="246">
        <v>43804</v>
      </c>
      <c r="Q2" s="246">
        <v>43804</v>
      </c>
      <c r="R2" s="4">
        <v>43831</v>
      </c>
      <c r="S2" s="1" t="s">
        <v>0</v>
      </c>
      <c r="T2" s="1" t="s">
        <v>1</v>
      </c>
      <c r="W2" s="234"/>
      <c r="X2" s="235"/>
      <c r="Y2" s="235"/>
      <c r="Z2" s="235"/>
      <c r="AA2" s="235" t="s">
        <v>320</v>
      </c>
      <c r="AB2" s="235"/>
      <c r="AC2" s="235"/>
      <c r="AD2" s="235"/>
      <c r="AE2" s="238"/>
      <c r="AF2" s="236"/>
      <c r="AG2" s="236" t="s">
        <v>319</v>
      </c>
      <c r="AH2" s="237"/>
    </row>
    <row r="3" spans="1:34" s="1" customFormat="1" ht="15.75" thickBot="1">
      <c r="A3" s="173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222" t="s">
        <v>228</v>
      </c>
      <c r="N3" s="5" t="s">
        <v>13</v>
      </c>
      <c r="O3" s="5" t="s">
        <v>14</v>
      </c>
      <c r="P3" s="249" t="s">
        <v>326</v>
      </c>
      <c r="Q3" s="249" t="s">
        <v>228</v>
      </c>
      <c r="R3" s="5" t="s">
        <v>3</v>
      </c>
      <c r="S3" s="1" t="s">
        <v>178</v>
      </c>
      <c r="T3" s="1" t="s">
        <v>177</v>
      </c>
      <c r="V3" s="1" t="s">
        <v>321</v>
      </c>
      <c r="W3" s="5" t="s">
        <v>4</v>
      </c>
      <c r="X3" s="5" t="s">
        <v>5</v>
      </c>
      <c r="Y3" s="5" t="s">
        <v>6</v>
      </c>
      <c r="Z3" s="5" t="s">
        <v>7</v>
      </c>
      <c r="AA3" s="5" t="s">
        <v>8</v>
      </c>
      <c r="AB3" s="5" t="s">
        <v>9</v>
      </c>
      <c r="AC3" s="5" t="s">
        <v>10</v>
      </c>
      <c r="AD3" s="5" t="s">
        <v>11</v>
      </c>
      <c r="AE3" s="5" t="s">
        <v>12</v>
      </c>
      <c r="AF3" s="227" t="s">
        <v>13</v>
      </c>
      <c r="AG3" s="227" t="s">
        <v>14</v>
      </c>
      <c r="AH3" s="227" t="s">
        <v>3</v>
      </c>
    </row>
    <row r="4" spans="1:34" ht="15.75" thickBot="1">
      <c r="A4" s="276">
        <v>1</v>
      </c>
      <c r="B4" s="223" t="s">
        <v>229</v>
      </c>
      <c r="C4" s="7">
        <v>175.25399999999999</v>
      </c>
      <c r="D4" s="7">
        <v>177.46700000000001</v>
      </c>
      <c r="E4" s="7">
        <v>178.66</v>
      </c>
      <c r="F4" s="7">
        <v>180.49299999999999</v>
      </c>
      <c r="G4" s="7">
        <v>182.101</v>
      </c>
      <c r="H4" s="7">
        <v>183.59800000000001</v>
      </c>
      <c r="I4" s="7">
        <v>185.40299999999999</v>
      </c>
      <c r="J4" s="7">
        <v>186.78399999999999</v>
      </c>
      <c r="K4" s="7">
        <v>188.36799999999999</v>
      </c>
      <c r="L4" s="8">
        <v>190.297</v>
      </c>
      <c r="M4" s="220">
        <v>0.01</v>
      </c>
      <c r="N4" s="7">
        <v>1.482</v>
      </c>
      <c r="O4" s="7">
        <v>2.843</v>
      </c>
      <c r="P4" s="7">
        <v>3.12</v>
      </c>
      <c r="Q4" s="7">
        <v>3.12</v>
      </c>
      <c r="R4" s="7">
        <v>4.3040000000000003</v>
      </c>
      <c r="S4" s="9">
        <f>R4-M4+L4-C4</f>
        <v>19.337000000000018</v>
      </c>
      <c r="V4" s="1">
        <v>1</v>
      </c>
      <c r="W4" s="228">
        <f>D4-C4</f>
        <v>2.2130000000000223</v>
      </c>
      <c r="X4" s="228">
        <f t="shared" ref="X4:AE4" si="0">E4-D4</f>
        <v>1.1929999999999836</v>
      </c>
      <c r="Y4" s="228">
        <f t="shared" si="0"/>
        <v>1.8329999999999984</v>
      </c>
      <c r="Z4" s="228">
        <f t="shared" si="0"/>
        <v>1.6080000000000041</v>
      </c>
      <c r="AA4" s="228">
        <f t="shared" si="0"/>
        <v>1.4970000000000141</v>
      </c>
      <c r="AB4" s="228">
        <f t="shared" si="0"/>
        <v>1.8049999999999784</v>
      </c>
      <c r="AC4" s="228">
        <f t="shared" si="0"/>
        <v>1.3810000000000002</v>
      </c>
      <c r="AD4" s="228">
        <f t="shared" si="0"/>
        <v>1.5840000000000032</v>
      </c>
      <c r="AE4" s="228">
        <f t="shared" si="0"/>
        <v>1.929000000000002</v>
      </c>
      <c r="AF4" s="228">
        <f>N4-M4</f>
        <v>1.472</v>
      </c>
      <c r="AG4" s="228">
        <f t="shared" ref="AG4" si="1">O4-N4</f>
        <v>1.361</v>
      </c>
      <c r="AH4" s="228">
        <f>R4-Q4</f>
        <v>1.1840000000000002</v>
      </c>
    </row>
    <row r="5" spans="1:34">
      <c r="A5" s="276"/>
      <c r="B5" s="10" t="s">
        <v>15</v>
      </c>
      <c r="C5" s="11">
        <v>13.76</v>
      </c>
      <c r="D5" s="11">
        <v>18.891999999999999</v>
      </c>
      <c r="E5" s="11">
        <v>21.087</v>
      </c>
      <c r="F5" s="11">
        <v>23.087</v>
      </c>
      <c r="G5" s="11">
        <v>23.582999999999998</v>
      </c>
      <c r="H5" s="11">
        <v>23.922999999999998</v>
      </c>
      <c r="I5" s="11">
        <v>24.125</v>
      </c>
      <c r="J5" s="11">
        <v>24.321999999999999</v>
      </c>
      <c r="K5" s="11">
        <v>24.530999999999999</v>
      </c>
      <c r="L5" s="12">
        <v>24.734000000000002</v>
      </c>
      <c r="M5" s="12"/>
      <c r="N5" s="11">
        <v>25.044</v>
      </c>
      <c r="O5" s="11">
        <v>27.231000000000002</v>
      </c>
      <c r="P5" s="11"/>
      <c r="Q5" s="11"/>
      <c r="R5" s="11">
        <v>30.541</v>
      </c>
      <c r="S5" s="9"/>
      <c r="T5" s="9">
        <f>R5-C5</f>
        <v>16.780999999999999</v>
      </c>
      <c r="V5" s="1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</row>
    <row r="6" spans="1:34">
      <c r="A6" s="275">
        <v>2</v>
      </c>
      <c r="B6" s="224" t="s">
        <v>230</v>
      </c>
      <c r="C6" s="11">
        <v>373.82499999999999</v>
      </c>
      <c r="D6" s="11">
        <v>387.74400000000003</v>
      </c>
      <c r="E6" s="11">
        <v>402.14499999999998</v>
      </c>
      <c r="F6" s="11">
        <v>415.59699999999998</v>
      </c>
      <c r="G6" s="11">
        <v>433.18900000000002</v>
      </c>
      <c r="H6" s="11">
        <v>448.464</v>
      </c>
      <c r="I6" s="11">
        <v>461.572</v>
      </c>
      <c r="J6" s="11">
        <v>470.44400000000002</v>
      </c>
      <c r="K6" s="11">
        <v>481.04599999999999</v>
      </c>
      <c r="L6" s="11">
        <v>497.63600000000002</v>
      </c>
      <c r="M6" s="11">
        <v>0.01</v>
      </c>
      <c r="N6" s="11">
        <v>13.278</v>
      </c>
      <c r="O6" s="11">
        <v>29.181999999999999</v>
      </c>
      <c r="P6" s="11">
        <v>32.055</v>
      </c>
      <c r="Q6" s="11">
        <v>32.055</v>
      </c>
      <c r="R6" s="11">
        <v>45.39</v>
      </c>
      <c r="S6" s="9">
        <f t="shared" ref="S6" si="2">R6-M6+L6-C6</f>
        <v>169.19100000000009</v>
      </c>
      <c r="V6" s="1">
        <v>2</v>
      </c>
      <c r="W6" s="230">
        <f t="shared" ref="W6:AE6" si="3">D6-C6</f>
        <v>13.91900000000004</v>
      </c>
      <c r="X6" s="230">
        <f t="shared" si="3"/>
        <v>14.400999999999954</v>
      </c>
      <c r="Y6" s="230">
        <f t="shared" si="3"/>
        <v>13.451999999999998</v>
      </c>
      <c r="Z6" s="230">
        <f t="shared" si="3"/>
        <v>17.592000000000041</v>
      </c>
      <c r="AA6" s="230">
        <f t="shared" si="3"/>
        <v>15.274999999999977</v>
      </c>
      <c r="AB6" s="230">
        <f t="shared" si="3"/>
        <v>13.108000000000004</v>
      </c>
      <c r="AC6" s="230">
        <f t="shared" si="3"/>
        <v>8.8720000000000141</v>
      </c>
      <c r="AD6" s="230">
        <f t="shared" si="3"/>
        <v>10.601999999999975</v>
      </c>
      <c r="AE6" s="230">
        <f t="shared" si="3"/>
        <v>16.590000000000032</v>
      </c>
      <c r="AF6" s="232">
        <f t="shared" ref="AF6:AG6" si="4">N6-M6</f>
        <v>13.268000000000001</v>
      </c>
      <c r="AG6" s="232">
        <f t="shared" si="4"/>
        <v>15.903999999999998</v>
      </c>
      <c r="AH6" s="230">
        <f t="shared" ref="AH6:AH22" si="5">R6-Q6</f>
        <v>13.335000000000001</v>
      </c>
    </row>
    <row r="7" spans="1:34">
      <c r="A7" s="275"/>
      <c r="B7" s="10" t="s">
        <v>16</v>
      </c>
      <c r="C7" s="11">
        <v>39.697000000000003</v>
      </c>
      <c r="D7" s="11">
        <v>44.624000000000002</v>
      </c>
      <c r="E7" s="11">
        <v>49.731000000000002</v>
      </c>
      <c r="F7" s="11">
        <v>52.945999999999998</v>
      </c>
      <c r="G7" s="11">
        <v>54.716999999999999</v>
      </c>
      <c r="H7" s="11">
        <v>55.634</v>
      </c>
      <c r="I7" s="11">
        <v>56.082999999999998</v>
      </c>
      <c r="J7" s="11">
        <v>56.304000000000002</v>
      </c>
      <c r="K7" s="11">
        <v>56.581000000000003</v>
      </c>
      <c r="L7" s="11">
        <v>57.128999999999998</v>
      </c>
      <c r="M7" s="11"/>
      <c r="N7" s="11">
        <v>58.238999999999997</v>
      </c>
      <c r="O7" s="11">
        <v>61.064</v>
      </c>
      <c r="P7" s="11"/>
      <c r="Q7" s="11"/>
      <c r="R7" s="11">
        <v>64.938000000000002</v>
      </c>
      <c r="S7" s="9"/>
      <c r="T7" s="9">
        <f>R7-C7</f>
        <v>25.241</v>
      </c>
      <c r="V7" s="1"/>
      <c r="W7" s="229"/>
      <c r="X7" s="229"/>
      <c r="Y7" s="229"/>
      <c r="Z7" s="229"/>
      <c r="AA7" s="229"/>
      <c r="AB7" s="229"/>
      <c r="AC7" s="229"/>
      <c r="AD7" s="229"/>
      <c r="AE7" s="229"/>
      <c r="AF7" s="233"/>
      <c r="AG7" s="233"/>
      <c r="AH7" s="229"/>
    </row>
    <row r="8" spans="1:34">
      <c r="A8" s="275">
        <v>3</v>
      </c>
      <c r="B8" s="224" t="s">
        <v>231</v>
      </c>
      <c r="C8" s="11">
        <v>191.48400000000001</v>
      </c>
      <c r="D8" s="11">
        <v>198.75700000000001</v>
      </c>
      <c r="E8" s="11">
        <v>205.99799999999999</v>
      </c>
      <c r="F8" s="11">
        <v>211.22</v>
      </c>
      <c r="G8" s="11">
        <v>218.54599999999999</v>
      </c>
      <c r="H8" s="11">
        <v>224.28200000000001</v>
      </c>
      <c r="I8" s="11">
        <v>230.78</v>
      </c>
      <c r="J8" s="11">
        <v>237.245</v>
      </c>
      <c r="K8" s="11">
        <v>242.46199999999999</v>
      </c>
      <c r="L8" s="11">
        <v>249.59700000000001</v>
      </c>
      <c r="M8" s="11">
        <v>0.01</v>
      </c>
      <c r="N8" s="11">
        <v>5.2610000000000001</v>
      </c>
      <c r="O8" s="11">
        <v>10.754</v>
      </c>
      <c r="P8" s="11">
        <v>12.433999999999999</v>
      </c>
      <c r="Q8" s="11">
        <v>12.433999999999999</v>
      </c>
      <c r="R8" s="11">
        <v>17.888999999999999</v>
      </c>
      <c r="S8" s="9">
        <f t="shared" ref="S8" si="6">R8-M8+L8-C8</f>
        <v>75.99199999999999</v>
      </c>
      <c r="V8" s="1">
        <v>3</v>
      </c>
      <c r="W8" s="230">
        <f t="shared" ref="W8:AE8" si="7">D8-C8</f>
        <v>7.2729999999999961</v>
      </c>
      <c r="X8" s="230">
        <f t="shared" si="7"/>
        <v>7.2409999999999854</v>
      </c>
      <c r="Y8" s="230">
        <f t="shared" si="7"/>
        <v>5.2220000000000084</v>
      </c>
      <c r="Z8" s="230">
        <f t="shared" si="7"/>
        <v>7.3259999999999934</v>
      </c>
      <c r="AA8" s="230">
        <f t="shared" si="7"/>
        <v>5.7360000000000184</v>
      </c>
      <c r="AB8" s="230">
        <f t="shared" si="7"/>
        <v>6.4979999999999905</v>
      </c>
      <c r="AC8" s="230">
        <f t="shared" si="7"/>
        <v>6.4650000000000034</v>
      </c>
      <c r="AD8" s="230">
        <f t="shared" si="7"/>
        <v>5.2169999999999845</v>
      </c>
      <c r="AE8" s="230">
        <f t="shared" si="7"/>
        <v>7.1350000000000193</v>
      </c>
      <c r="AF8" s="232">
        <f t="shared" ref="AF8:AG8" si="8">N8-M8</f>
        <v>5.2510000000000003</v>
      </c>
      <c r="AG8" s="232">
        <f t="shared" si="8"/>
        <v>5.4929999999999994</v>
      </c>
      <c r="AH8" s="230">
        <f t="shared" si="5"/>
        <v>5.4550000000000001</v>
      </c>
    </row>
    <row r="9" spans="1:34">
      <c r="A9" s="275"/>
      <c r="B9" s="10" t="s">
        <v>17</v>
      </c>
      <c r="C9" s="11">
        <v>30.742000000000001</v>
      </c>
      <c r="D9" s="11">
        <v>34.789000000000001</v>
      </c>
      <c r="E9" s="11">
        <v>38.152999999999999</v>
      </c>
      <c r="F9" s="11">
        <v>40.468000000000004</v>
      </c>
      <c r="G9" s="11">
        <v>41.649000000000001</v>
      </c>
      <c r="H9" s="11">
        <v>42.881</v>
      </c>
      <c r="I9" s="11">
        <v>43.295999999999999</v>
      </c>
      <c r="J9" s="11">
        <v>43.75</v>
      </c>
      <c r="K9" s="11">
        <v>44.134</v>
      </c>
      <c r="L9" s="11">
        <v>44.645000000000003</v>
      </c>
      <c r="M9" s="11"/>
      <c r="N9" s="11">
        <v>45.680999999999997</v>
      </c>
      <c r="O9" s="11">
        <v>48.024000000000001</v>
      </c>
      <c r="P9" s="11"/>
      <c r="Q9" s="11"/>
      <c r="R9" s="11">
        <v>51.991</v>
      </c>
      <c r="S9" s="9"/>
      <c r="T9" s="9">
        <f>R9-C9</f>
        <v>21.248999999999999</v>
      </c>
      <c r="V9" s="1"/>
      <c r="W9" s="229"/>
      <c r="X9" s="229"/>
      <c r="Y9" s="229"/>
      <c r="Z9" s="229"/>
      <c r="AA9" s="229"/>
      <c r="AB9" s="229"/>
      <c r="AC9" s="229"/>
      <c r="AD9" s="229"/>
      <c r="AE9" s="229"/>
      <c r="AF9" s="233"/>
      <c r="AG9" s="233"/>
      <c r="AH9" s="229"/>
    </row>
    <row r="10" spans="1:34">
      <c r="A10" s="275">
        <v>4</v>
      </c>
      <c r="B10" s="224" t="s">
        <v>232</v>
      </c>
      <c r="C10" s="11">
        <v>314.13200000000001</v>
      </c>
      <c r="D10" s="11">
        <v>321.42599999999999</v>
      </c>
      <c r="E10" s="11">
        <v>328.303</v>
      </c>
      <c r="F10" s="11">
        <v>335.38400000000001</v>
      </c>
      <c r="G10" s="11">
        <v>342.25599999999997</v>
      </c>
      <c r="H10" s="11">
        <v>350.05799999999999</v>
      </c>
      <c r="I10" s="11">
        <v>356.52100000000002</v>
      </c>
      <c r="J10" s="11">
        <v>362.34500000000003</v>
      </c>
      <c r="K10" s="11">
        <v>369.31200000000001</v>
      </c>
      <c r="L10" s="11">
        <v>376.91199999999998</v>
      </c>
      <c r="M10" s="11">
        <v>0.03</v>
      </c>
      <c r="N10" s="11">
        <v>7.2990000000000004</v>
      </c>
      <c r="O10" s="11">
        <v>14.347</v>
      </c>
      <c r="P10" s="11">
        <v>15.707000000000001</v>
      </c>
      <c r="Q10" s="11">
        <v>15.707000000000001</v>
      </c>
      <c r="R10" s="11">
        <v>22.895</v>
      </c>
      <c r="S10" s="9">
        <f t="shared" ref="S10" si="9">R10-M10+L10-C10</f>
        <v>85.644999999999982</v>
      </c>
      <c r="V10" s="1">
        <v>4</v>
      </c>
      <c r="W10" s="230">
        <f t="shared" ref="W10:AE10" si="10">D10-C10</f>
        <v>7.2939999999999827</v>
      </c>
      <c r="X10" s="230">
        <f t="shared" si="10"/>
        <v>6.8770000000000095</v>
      </c>
      <c r="Y10" s="230">
        <f t="shared" si="10"/>
        <v>7.0810000000000173</v>
      </c>
      <c r="Z10" s="230">
        <f t="shared" si="10"/>
        <v>6.8719999999999573</v>
      </c>
      <c r="AA10" s="230">
        <f t="shared" si="10"/>
        <v>7.8020000000000209</v>
      </c>
      <c r="AB10" s="230">
        <f t="shared" si="10"/>
        <v>6.4630000000000223</v>
      </c>
      <c r="AC10" s="230">
        <f t="shared" si="10"/>
        <v>5.8240000000000123</v>
      </c>
      <c r="AD10" s="230">
        <f t="shared" si="10"/>
        <v>6.9669999999999845</v>
      </c>
      <c r="AE10" s="230">
        <f t="shared" si="10"/>
        <v>7.5999999999999659</v>
      </c>
      <c r="AF10" s="232">
        <f t="shared" ref="AF10:AG10" si="11">N10-M10</f>
        <v>7.2690000000000001</v>
      </c>
      <c r="AG10" s="232">
        <f t="shared" si="11"/>
        <v>7.0479999999999992</v>
      </c>
      <c r="AH10" s="230">
        <f t="shared" si="5"/>
        <v>7.1879999999999988</v>
      </c>
    </row>
    <row r="11" spans="1:34">
      <c r="A11" s="275"/>
      <c r="B11" s="10" t="s">
        <v>18</v>
      </c>
      <c r="C11" s="11">
        <v>18.881</v>
      </c>
      <c r="D11" s="11">
        <v>20.576000000000001</v>
      </c>
      <c r="E11" s="11">
        <v>21.9</v>
      </c>
      <c r="F11" s="11">
        <v>22.850999999999999</v>
      </c>
      <c r="G11" s="11">
        <v>23.544</v>
      </c>
      <c r="H11" s="11">
        <v>24.268999999999998</v>
      </c>
      <c r="I11" s="11">
        <v>24.687000000000001</v>
      </c>
      <c r="J11" s="11">
        <v>25.077000000000002</v>
      </c>
      <c r="K11" s="11">
        <v>25.550999999999998</v>
      </c>
      <c r="L11" s="11">
        <v>26.119</v>
      </c>
      <c r="M11" s="11"/>
      <c r="N11" s="11">
        <v>26.89</v>
      </c>
      <c r="O11" s="11">
        <v>27.890999999999998</v>
      </c>
      <c r="P11" s="11"/>
      <c r="Q11" s="11"/>
      <c r="R11" s="11">
        <v>29.628</v>
      </c>
      <c r="S11" s="9"/>
      <c r="T11" s="9">
        <f>R11-C11</f>
        <v>10.747</v>
      </c>
      <c r="V11" s="1"/>
      <c r="W11" s="229"/>
      <c r="X11" s="229"/>
      <c r="Y11" s="229"/>
      <c r="Z11" s="229"/>
      <c r="AA11" s="229"/>
      <c r="AB11" s="229"/>
      <c r="AC11" s="229"/>
      <c r="AD11" s="229"/>
      <c r="AE11" s="229"/>
      <c r="AF11" s="233"/>
      <c r="AG11" s="233"/>
      <c r="AH11" s="229"/>
    </row>
    <row r="12" spans="1:34">
      <c r="A12" s="275">
        <v>5</v>
      </c>
      <c r="B12" s="224" t="s">
        <v>233</v>
      </c>
      <c r="C12" s="11">
        <v>305.99700000000001</v>
      </c>
      <c r="D12" s="11">
        <v>310.01499999999999</v>
      </c>
      <c r="E12" s="11">
        <v>310.65600000000001</v>
      </c>
      <c r="F12" s="11">
        <v>311.37400000000002</v>
      </c>
      <c r="G12" s="11">
        <v>314.137</v>
      </c>
      <c r="H12" s="11">
        <v>321.87799999999999</v>
      </c>
      <c r="I12" s="11">
        <v>327.03500000000003</v>
      </c>
      <c r="J12" s="11">
        <v>333.40699999999998</v>
      </c>
      <c r="K12" s="11">
        <v>341.28699999999998</v>
      </c>
      <c r="L12" s="11">
        <v>346.38200000000001</v>
      </c>
      <c r="M12" s="11">
        <v>0.01</v>
      </c>
      <c r="N12" s="11">
        <v>5.4969999999999999</v>
      </c>
      <c r="O12" s="11">
        <v>11.532999999999999</v>
      </c>
      <c r="P12" s="11">
        <v>13.242000000000001</v>
      </c>
      <c r="Q12" s="11">
        <v>13.242000000000001</v>
      </c>
      <c r="R12" s="11">
        <v>17.327999999999999</v>
      </c>
      <c r="S12" s="9">
        <f t="shared" ref="S12" si="12">R12-M12+L12-C12</f>
        <v>57.702999999999975</v>
      </c>
      <c r="V12" s="1">
        <v>5</v>
      </c>
      <c r="W12" s="230">
        <f t="shared" ref="W12:AE12" si="13">D12-C12</f>
        <v>4.0179999999999723</v>
      </c>
      <c r="X12" s="230">
        <f t="shared" si="13"/>
        <v>0.64100000000001955</v>
      </c>
      <c r="Y12" s="230">
        <f t="shared" si="13"/>
        <v>0.71800000000001774</v>
      </c>
      <c r="Z12" s="230">
        <f t="shared" si="13"/>
        <v>2.7629999999999768</v>
      </c>
      <c r="AA12" s="230">
        <f t="shared" si="13"/>
        <v>7.7409999999999854</v>
      </c>
      <c r="AB12" s="230">
        <f t="shared" si="13"/>
        <v>5.1570000000000391</v>
      </c>
      <c r="AC12" s="230">
        <f t="shared" si="13"/>
        <v>6.3719999999999573</v>
      </c>
      <c r="AD12" s="230">
        <f t="shared" si="13"/>
        <v>7.8799999999999955</v>
      </c>
      <c r="AE12" s="230">
        <f t="shared" si="13"/>
        <v>5.0950000000000273</v>
      </c>
      <c r="AF12" s="232">
        <f t="shared" ref="AF12:AG12" si="14">N12-M12</f>
        <v>5.4870000000000001</v>
      </c>
      <c r="AG12" s="232">
        <f t="shared" si="14"/>
        <v>6.0359999999999996</v>
      </c>
      <c r="AH12" s="230">
        <f t="shared" si="5"/>
        <v>4.0859999999999985</v>
      </c>
    </row>
    <row r="13" spans="1:34">
      <c r="A13" s="275"/>
      <c r="B13" s="10" t="s">
        <v>19</v>
      </c>
      <c r="C13" s="11">
        <v>38.17</v>
      </c>
      <c r="D13" s="11">
        <v>40.139000000000003</v>
      </c>
      <c r="E13" s="11">
        <v>40.277000000000001</v>
      </c>
      <c r="F13" s="11">
        <v>40.438000000000002</v>
      </c>
      <c r="G13" s="11">
        <v>40.768000000000001</v>
      </c>
      <c r="H13" s="11">
        <v>41.493000000000002</v>
      </c>
      <c r="I13" s="11">
        <v>41.771999999999998</v>
      </c>
      <c r="J13" s="11">
        <v>42.125999999999998</v>
      </c>
      <c r="K13" s="11">
        <v>42.531999999999996</v>
      </c>
      <c r="L13" s="11">
        <v>42.863</v>
      </c>
      <c r="M13" s="11"/>
      <c r="N13" s="11">
        <v>43.642000000000003</v>
      </c>
      <c r="O13" s="11">
        <v>45.249000000000002</v>
      </c>
      <c r="P13" s="11"/>
      <c r="Q13" s="11"/>
      <c r="R13" s="11">
        <v>47.613999999999997</v>
      </c>
      <c r="S13" s="9"/>
      <c r="T13" s="9">
        <f>R13-C13</f>
        <v>9.4439999999999955</v>
      </c>
      <c r="V13" s="1"/>
      <c r="W13" s="229"/>
      <c r="X13" s="229"/>
      <c r="Y13" s="229"/>
      <c r="Z13" s="229"/>
      <c r="AA13" s="229"/>
      <c r="AB13" s="229"/>
      <c r="AC13" s="229"/>
      <c r="AD13" s="229"/>
      <c r="AE13" s="229"/>
      <c r="AF13" s="233"/>
      <c r="AG13" s="233"/>
      <c r="AH13" s="229"/>
    </row>
    <row r="14" spans="1:34">
      <c r="A14" s="275">
        <v>6</v>
      </c>
      <c r="B14" s="224" t="s">
        <v>234</v>
      </c>
      <c r="C14" s="11">
        <v>417.20800000000003</v>
      </c>
      <c r="D14" s="11">
        <v>427.77300000000002</v>
      </c>
      <c r="E14" s="11">
        <v>437.43400000000003</v>
      </c>
      <c r="F14" s="11">
        <v>446.48399999999998</v>
      </c>
      <c r="G14" s="11">
        <v>454.51499999999999</v>
      </c>
      <c r="H14" s="11">
        <v>463.863</v>
      </c>
      <c r="I14" s="11">
        <v>470.45100000000002</v>
      </c>
      <c r="J14" s="11">
        <v>475.44799999999998</v>
      </c>
      <c r="K14" s="11">
        <v>475.899</v>
      </c>
      <c r="L14" s="11">
        <v>479.79500000000002</v>
      </c>
      <c r="M14" s="11">
        <v>0.04</v>
      </c>
      <c r="N14" s="11">
        <v>6</v>
      </c>
      <c r="O14" s="11">
        <v>11.401</v>
      </c>
      <c r="P14" s="11">
        <v>12.045</v>
      </c>
      <c r="Q14" s="11">
        <v>12.045</v>
      </c>
      <c r="R14" s="11">
        <v>16.013999999999999</v>
      </c>
      <c r="S14" s="9">
        <f t="shared" ref="S14" si="15">R14-M14+L14-C14</f>
        <v>78.560999999999979</v>
      </c>
      <c r="V14" s="1">
        <v>6</v>
      </c>
      <c r="W14" s="230">
        <f t="shared" ref="W14:AE14" si="16">D14-C14</f>
        <v>10.564999999999998</v>
      </c>
      <c r="X14" s="230">
        <f t="shared" si="16"/>
        <v>9.6610000000000014</v>
      </c>
      <c r="Y14" s="230">
        <f t="shared" si="16"/>
        <v>9.0499999999999545</v>
      </c>
      <c r="Z14" s="230">
        <f t="shared" si="16"/>
        <v>8.0310000000000059</v>
      </c>
      <c r="AA14" s="230">
        <f t="shared" si="16"/>
        <v>9.3480000000000132</v>
      </c>
      <c r="AB14" s="230">
        <f t="shared" si="16"/>
        <v>6.5880000000000223</v>
      </c>
      <c r="AC14" s="230">
        <f t="shared" si="16"/>
        <v>4.9969999999999573</v>
      </c>
      <c r="AD14" s="230">
        <f t="shared" si="16"/>
        <v>0.45100000000002183</v>
      </c>
      <c r="AE14" s="230">
        <f t="shared" si="16"/>
        <v>3.896000000000015</v>
      </c>
      <c r="AF14" s="232">
        <f t="shared" ref="AF14:AG14" si="17">N14-M14</f>
        <v>5.96</v>
      </c>
      <c r="AG14" s="232">
        <f t="shared" si="17"/>
        <v>5.4009999999999998</v>
      </c>
      <c r="AH14" s="230">
        <f t="shared" si="5"/>
        <v>3.9689999999999994</v>
      </c>
    </row>
    <row r="15" spans="1:34">
      <c r="A15" s="275"/>
      <c r="B15" s="10" t="s">
        <v>20</v>
      </c>
      <c r="C15" s="11">
        <v>45.094000000000001</v>
      </c>
      <c r="D15" s="11">
        <v>51.146999999999998</v>
      </c>
      <c r="E15" s="11">
        <v>54.938000000000002</v>
      </c>
      <c r="F15" s="11">
        <v>58.168999999999997</v>
      </c>
      <c r="G15" s="11">
        <v>59.960999999999999</v>
      </c>
      <c r="H15" s="11">
        <v>60.881</v>
      </c>
      <c r="I15" s="11">
        <v>61.331000000000003</v>
      </c>
      <c r="J15" s="11">
        <v>61.67</v>
      </c>
      <c r="K15" s="11">
        <v>61.764000000000003</v>
      </c>
      <c r="L15" s="11">
        <v>62.033000000000001</v>
      </c>
      <c r="M15" s="11"/>
      <c r="N15" s="11">
        <v>63.326000000000001</v>
      </c>
      <c r="O15" s="11">
        <v>66.078000000000003</v>
      </c>
      <c r="P15" s="11"/>
      <c r="Q15" s="11"/>
      <c r="R15" s="11">
        <v>69.495999999999995</v>
      </c>
      <c r="S15" s="9"/>
      <c r="T15" s="9">
        <f>R15-C15</f>
        <v>24.401999999999994</v>
      </c>
      <c r="V15" s="1"/>
      <c r="W15" s="229"/>
      <c r="X15" s="229"/>
      <c r="Y15" s="229"/>
      <c r="Z15" s="229"/>
      <c r="AA15" s="229"/>
      <c r="AB15" s="229"/>
      <c r="AC15" s="229"/>
      <c r="AD15" s="229"/>
      <c r="AE15" s="229"/>
      <c r="AF15" s="233"/>
      <c r="AG15" s="233"/>
      <c r="AH15" s="229"/>
    </row>
    <row r="16" spans="1:34">
      <c r="A16" s="275">
        <v>7</v>
      </c>
      <c r="B16" s="224" t="s">
        <v>235</v>
      </c>
      <c r="C16" s="11">
        <v>160.267</v>
      </c>
      <c r="D16" s="11">
        <v>163.23099999999999</v>
      </c>
      <c r="E16" s="11">
        <v>165.95</v>
      </c>
      <c r="F16" s="11">
        <v>168.63399999999999</v>
      </c>
      <c r="G16" s="11">
        <v>171.66399999999999</v>
      </c>
      <c r="H16" s="11">
        <v>174.64699999999999</v>
      </c>
      <c r="I16" s="11">
        <v>176.965</v>
      </c>
      <c r="J16" s="11">
        <v>180.07599999999999</v>
      </c>
      <c r="K16" s="11">
        <v>182.82</v>
      </c>
      <c r="L16" s="11">
        <v>185.68</v>
      </c>
      <c r="M16" s="11">
        <v>0.02</v>
      </c>
      <c r="N16" s="11">
        <v>2.3479999999999999</v>
      </c>
      <c r="O16" s="11">
        <v>4.327</v>
      </c>
      <c r="P16" s="11">
        <v>4.7069999999999999</v>
      </c>
      <c r="Q16" s="11">
        <v>4.7069999999999999</v>
      </c>
      <c r="R16" s="11">
        <v>6.1970000000000001</v>
      </c>
      <c r="S16" s="9">
        <f t="shared" ref="S16" si="18">R16-M16+L16-C16</f>
        <v>31.590000000000003</v>
      </c>
      <c r="V16" s="1">
        <v>7</v>
      </c>
      <c r="W16" s="230">
        <f t="shared" ref="W16:AE16" si="19">D16-C16</f>
        <v>2.9639999999999986</v>
      </c>
      <c r="X16" s="230">
        <f t="shared" si="19"/>
        <v>2.7189999999999941</v>
      </c>
      <c r="Y16" s="230">
        <f t="shared" si="19"/>
        <v>2.6839999999999975</v>
      </c>
      <c r="Z16" s="230">
        <f t="shared" si="19"/>
        <v>3.0300000000000011</v>
      </c>
      <c r="AA16" s="230">
        <f t="shared" si="19"/>
        <v>2.9830000000000041</v>
      </c>
      <c r="AB16" s="230">
        <f t="shared" si="19"/>
        <v>2.3180000000000121</v>
      </c>
      <c r="AC16" s="230">
        <f t="shared" si="19"/>
        <v>3.11099999999999</v>
      </c>
      <c r="AD16" s="230">
        <f t="shared" si="19"/>
        <v>2.7439999999999998</v>
      </c>
      <c r="AE16" s="230">
        <f t="shared" si="19"/>
        <v>2.8600000000000136</v>
      </c>
      <c r="AF16" s="232">
        <f t="shared" ref="AF16:AG16" si="20">N16-M16</f>
        <v>2.3279999999999998</v>
      </c>
      <c r="AG16" s="232">
        <f t="shared" si="20"/>
        <v>1.9790000000000001</v>
      </c>
      <c r="AH16" s="230">
        <f t="shared" si="5"/>
        <v>1.4900000000000002</v>
      </c>
    </row>
    <row r="17" spans="1:34">
      <c r="A17" s="275"/>
      <c r="B17" s="10" t="s">
        <v>21</v>
      </c>
      <c r="C17" s="11">
        <v>9.5500000000000007</v>
      </c>
      <c r="D17" s="11">
        <v>11.201000000000001</v>
      </c>
      <c r="E17" s="11">
        <v>12.29</v>
      </c>
      <c r="F17" s="11">
        <v>13.048</v>
      </c>
      <c r="G17" s="11">
        <v>13.292</v>
      </c>
      <c r="H17" s="11">
        <v>13.577</v>
      </c>
      <c r="I17" s="11">
        <v>13.667999999999999</v>
      </c>
      <c r="J17" s="11">
        <v>13.798</v>
      </c>
      <c r="K17" s="11">
        <v>13.901</v>
      </c>
      <c r="L17" s="11">
        <v>14.028</v>
      </c>
      <c r="M17" s="11"/>
      <c r="N17" s="11">
        <v>14.214</v>
      </c>
      <c r="O17" s="11">
        <v>14.837</v>
      </c>
      <c r="P17" s="11"/>
      <c r="Q17" s="11"/>
      <c r="R17" s="11">
        <v>15.907999999999999</v>
      </c>
      <c r="S17" s="9"/>
      <c r="T17" s="9">
        <f>R17-C17</f>
        <v>6.3579999999999988</v>
      </c>
      <c r="V17" s="1"/>
      <c r="W17" s="229"/>
      <c r="X17" s="229"/>
      <c r="Y17" s="229"/>
      <c r="Z17" s="229"/>
      <c r="AA17" s="229"/>
      <c r="AB17" s="229"/>
      <c r="AC17" s="229"/>
      <c r="AD17" s="229"/>
      <c r="AE17" s="229"/>
      <c r="AF17" s="229"/>
      <c r="AG17" s="229"/>
      <c r="AH17" s="229"/>
    </row>
    <row r="18" spans="1:34">
      <c r="A18" s="275">
        <v>8</v>
      </c>
      <c r="B18" s="224" t="s">
        <v>236</v>
      </c>
      <c r="C18" s="11">
        <v>361.08199999999999</v>
      </c>
      <c r="D18" s="11">
        <v>370.20400000000001</v>
      </c>
      <c r="E18" s="11">
        <v>375.53300000000002</v>
      </c>
      <c r="F18" s="11">
        <v>383.62700000000001</v>
      </c>
      <c r="G18" s="11">
        <v>390.81099999999998</v>
      </c>
      <c r="H18" s="11">
        <v>398.23399999999998</v>
      </c>
      <c r="I18" s="11">
        <v>405.03199999999998</v>
      </c>
      <c r="J18" s="11">
        <v>409.72</v>
      </c>
      <c r="K18" s="11">
        <v>412.73599999999999</v>
      </c>
      <c r="L18" s="11">
        <v>413.04899999999998</v>
      </c>
      <c r="M18" s="11">
        <v>0.09</v>
      </c>
      <c r="N18" s="11">
        <v>0.79300000000000004</v>
      </c>
      <c r="O18" s="11">
        <v>1.5169999999999999</v>
      </c>
      <c r="P18" s="11">
        <v>1.657</v>
      </c>
      <c r="Q18" s="11">
        <v>1.657</v>
      </c>
      <c r="R18" s="11">
        <v>1.897</v>
      </c>
      <c r="S18" s="9">
        <f t="shared" ref="S18" si="21">R18-M18+L18-C18</f>
        <v>53.774000000000001</v>
      </c>
      <c r="V18" s="1">
        <v>8</v>
      </c>
      <c r="W18" s="230">
        <f t="shared" ref="W18:AE18" si="22">D18-C18</f>
        <v>9.1220000000000141</v>
      </c>
      <c r="X18" s="230">
        <f t="shared" si="22"/>
        <v>5.3290000000000077</v>
      </c>
      <c r="Y18" s="230">
        <f t="shared" si="22"/>
        <v>8.0939999999999941</v>
      </c>
      <c r="Z18" s="230">
        <f t="shared" si="22"/>
        <v>7.1839999999999691</v>
      </c>
      <c r="AA18" s="230">
        <f t="shared" si="22"/>
        <v>7.4230000000000018</v>
      </c>
      <c r="AB18" s="230">
        <f t="shared" si="22"/>
        <v>6.7980000000000018</v>
      </c>
      <c r="AC18" s="230">
        <f t="shared" si="22"/>
        <v>4.688000000000045</v>
      </c>
      <c r="AD18" s="230">
        <f t="shared" si="22"/>
        <v>3.0159999999999627</v>
      </c>
      <c r="AE18" s="230">
        <f t="shared" si="22"/>
        <v>0.31299999999998818</v>
      </c>
      <c r="AF18" s="232">
        <f t="shared" ref="AF18:AG18" si="23">N18-M18</f>
        <v>0.70300000000000007</v>
      </c>
      <c r="AG18" s="232">
        <f t="shared" si="23"/>
        <v>0.72399999999999987</v>
      </c>
      <c r="AH18" s="230">
        <f t="shared" si="5"/>
        <v>0.24</v>
      </c>
    </row>
    <row r="19" spans="1:34">
      <c r="A19" s="275"/>
      <c r="B19" s="10" t="s">
        <v>23</v>
      </c>
      <c r="C19" s="11">
        <v>28.884</v>
      </c>
      <c r="D19" s="11">
        <v>33.295999999999999</v>
      </c>
      <c r="E19" s="11">
        <v>34.64</v>
      </c>
      <c r="F19" s="11">
        <v>36.615000000000002</v>
      </c>
      <c r="G19" s="11">
        <v>37.716000000000001</v>
      </c>
      <c r="H19" s="11">
        <v>38.841999999999999</v>
      </c>
      <c r="I19" s="11">
        <v>39.228000000000002</v>
      </c>
      <c r="J19" s="11">
        <v>39.533000000000001</v>
      </c>
      <c r="K19" s="11">
        <v>39.68</v>
      </c>
      <c r="L19" s="11">
        <v>39.710999999999999</v>
      </c>
      <c r="M19" s="11"/>
      <c r="N19" s="11">
        <v>40.097999999999999</v>
      </c>
      <c r="O19" s="11">
        <v>42.213999999999999</v>
      </c>
      <c r="P19" s="11"/>
      <c r="Q19" s="11"/>
      <c r="R19" s="11">
        <v>46.048000000000002</v>
      </c>
      <c r="S19" s="9"/>
      <c r="T19" s="9">
        <f>R19-C19</f>
        <v>17.164000000000001</v>
      </c>
      <c r="V19" s="1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  <c r="AH19" s="229"/>
    </row>
    <row r="20" spans="1:34">
      <c r="A20" s="275">
        <v>9</v>
      </c>
      <c r="B20" s="224" t="s">
        <v>237</v>
      </c>
      <c r="C20" s="11">
        <v>5.0490000000000004</v>
      </c>
      <c r="D20" s="11">
        <v>5.101</v>
      </c>
      <c r="E20" s="11">
        <v>5.2320000000000002</v>
      </c>
      <c r="F20" s="11">
        <v>5.5110000000000001</v>
      </c>
      <c r="G20" s="11">
        <v>6.0380000000000003</v>
      </c>
      <c r="H20" s="11">
        <v>6.0730000000000004</v>
      </c>
      <c r="I20" s="11">
        <v>6.1079999999999997</v>
      </c>
      <c r="J20" s="11">
        <v>6.1369999999999996</v>
      </c>
      <c r="K20" s="11">
        <v>6.1630000000000003</v>
      </c>
      <c r="L20" s="11">
        <v>6.3220000000000001</v>
      </c>
      <c r="M20" s="11">
        <v>0.01</v>
      </c>
      <c r="N20" s="11">
        <v>3.2000000000000001E-2</v>
      </c>
      <c r="O20" s="11">
        <v>4.9000000000000002E-2</v>
      </c>
      <c r="P20" s="11">
        <v>5.5E-2</v>
      </c>
      <c r="Q20" s="11">
        <v>5.5E-2</v>
      </c>
      <c r="R20" s="11">
        <v>7.0000000000000007E-2</v>
      </c>
      <c r="S20" s="9">
        <f t="shared" ref="S20" si="24">R20-M20+L20-C20</f>
        <v>1.3329999999999993</v>
      </c>
      <c r="V20" s="1">
        <v>9</v>
      </c>
      <c r="W20" s="230">
        <f t="shared" ref="W20:AE20" si="25">D20-C20</f>
        <v>5.1999999999999602E-2</v>
      </c>
      <c r="X20" s="230">
        <f t="shared" si="25"/>
        <v>0.13100000000000023</v>
      </c>
      <c r="Y20" s="230">
        <f t="shared" si="25"/>
        <v>0.27899999999999991</v>
      </c>
      <c r="Z20" s="230">
        <f t="shared" si="25"/>
        <v>0.52700000000000014</v>
      </c>
      <c r="AA20" s="230">
        <f t="shared" si="25"/>
        <v>3.5000000000000142E-2</v>
      </c>
      <c r="AB20" s="230">
        <f t="shared" si="25"/>
        <v>3.4999999999999254E-2</v>
      </c>
      <c r="AC20" s="230">
        <f t="shared" si="25"/>
        <v>2.8999999999999915E-2</v>
      </c>
      <c r="AD20" s="230">
        <f t="shared" si="25"/>
        <v>2.6000000000000689E-2</v>
      </c>
      <c r="AE20" s="230">
        <f t="shared" si="25"/>
        <v>0.15899999999999981</v>
      </c>
      <c r="AF20" s="230">
        <f t="shared" ref="AF20:AG20" si="26">N20-M20</f>
        <v>2.1999999999999999E-2</v>
      </c>
      <c r="AG20" s="230">
        <f t="shared" si="26"/>
        <v>1.7000000000000001E-2</v>
      </c>
      <c r="AH20" s="230">
        <f t="shared" si="5"/>
        <v>1.5000000000000006E-2</v>
      </c>
    </row>
    <row r="21" spans="1:34">
      <c r="A21" s="275"/>
      <c r="B21" s="10" t="s">
        <v>22</v>
      </c>
      <c r="C21" s="11">
        <v>2.71</v>
      </c>
      <c r="D21" s="11">
        <v>3.427</v>
      </c>
      <c r="E21" s="11">
        <v>3.6280000000000001</v>
      </c>
      <c r="F21" s="11">
        <v>3.8260000000000001</v>
      </c>
      <c r="G21" s="11">
        <v>4.03</v>
      </c>
      <c r="H21" s="11">
        <v>4.2140000000000004</v>
      </c>
      <c r="I21" s="11">
        <v>4.335</v>
      </c>
      <c r="J21" s="11">
        <v>4.4809999999999999</v>
      </c>
      <c r="K21" s="11">
        <v>4.6420000000000003</v>
      </c>
      <c r="L21" s="11">
        <v>4.8079999999999998</v>
      </c>
      <c r="M21" s="11"/>
      <c r="N21" s="11">
        <v>4.9980000000000002</v>
      </c>
      <c r="O21" s="11">
        <v>5.181</v>
      </c>
      <c r="P21" s="11"/>
      <c r="Q21" s="11"/>
      <c r="R21" s="11">
        <v>5.4850000000000003</v>
      </c>
      <c r="S21" s="9"/>
      <c r="T21" s="9">
        <f>R21-C21</f>
        <v>2.7750000000000004</v>
      </c>
      <c r="V21" s="1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</row>
    <row r="22" spans="1:34">
      <c r="A22" s="275">
        <v>10</v>
      </c>
      <c r="B22" s="248" t="s">
        <v>325</v>
      </c>
      <c r="C22" s="11">
        <v>98.599000000000004</v>
      </c>
      <c r="D22" s="11">
        <v>106.557</v>
      </c>
      <c r="E22" s="11">
        <v>112.685</v>
      </c>
      <c r="F22" s="11">
        <v>120.256</v>
      </c>
      <c r="G22" s="11">
        <v>123.88200000000001</v>
      </c>
      <c r="H22" s="11">
        <v>130.60300000000001</v>
      </c>
      <c r="I22" s="11">
        <v>136.28800000000001</v>
      </c>
      <c r="J22" s="11">
        <v>142.32300000000001</v>
      </c>
      <c r="K22" s="11">
        <v>149.22800000000001</v>
      </c>
      <c r="L22" s="11">
        <v>156.732</v>
      </c>
      <c r="M22" s="11">
        <v>0.03</v>
      </c>
      <c r="N22" s="11">
        <v>3.9710000000000001</v>
      </c>
      <c r="O22" s="11">
        <v>5.6139999999999999</v>
      </c>
      <c r="P22" s="247">
        <v>5.8380000000000001</v>
      </c>
      <c r="Q22" s="247">
        <v>2.4E-2</v>
      </c>
      <c r="R22" s="11">
        <v>7.1879999999999997</v>
      </c>
      <c r="S22" s="9">
        <f>R22-Q22+P22-M22+L22-C22</f>
        <v>71.105000000000004</v>
      </c>
      <c r="V22" s="1">
        <v>10</v>
      </c>
      <c r="W22" s="230">
        <f t="shared" ref="W22:AE22" si="27">D22-C22</f>
        <v>7.9579999999999984</v>
      </c>
      <c r="X22" s="230">
        <f t="shared" si="27"/>
        <v>6.1280000000000001</v>
      </c>
      <c r="Y22" s="230">
        <f t="shared" si="27"/>
        <v>7.570999999999998</v>
      </c>
      <c r="Z22" s="230">
        <f t="shared" si="27"/>
        <v>3.6260000000000048</v>
      </c>
      <c r="AA22" s="230">
        <f t="shared" si="27"/>
        <v>6.7210000000000036</v>
      </c>
      <c r="AB22" s="230">
        <f t="shared" si="27"/>
        <v>5.6850000000000023</v>
      </c>
      <c r="AC22" s="230">
        <f t="shared" si="27"/>
        <v>6.0349999999999966</v>
      </c>
      <c r="AD22" s="230">
        <f t="shared" si="27"/>
        <v>6.9050000000000011</v>
      </c>
      <c r="AE22" s="230">
        <f t="shared" si="27"/>
        <v>7.5039999999999907</v>
      </c>
      <c r="AF22" s="231">
        <f t="shared" ref="AF22:AG22" si="28">N22-M22</f>
        <v>3.9410000000000003</v>
      </c>
      <c r="AG22" s="231">
        <f t="shared" si="28"/>
        <v>1.6429999999999998</v>
      </c>
      <c r="AH22" s="230">
        <f t="shared" si="5"/>
        <v>7.1639999999999997</v>
      </c>
    </row>
    <row r="23" spans="1:34">
      <c r="A23" s="275"/>
      <c r="B23" s="10" t="s">
        <v>24</v>
      </c>
      <c r="C23" s="11">
        <v>26.443000000000001</v>
      </c>
      <c r="D23" s="11">
        <v>30.236999999999998</v>
      </c>
      <c r="E23" s="11">
        <v>33.432000000000002</v>
      </c>
      <c r="F23" s="11">
        <v>34.911000000000001</v>
      </c>
      <c r="G23" s="11">
        <v>35.543999999999997</v>
      </c>
      <c r="H23" s="11">
        <v>36.136000000000003</v>
      </c>
      <c r="I23" s="11">
        <v>36.395000000000003</v>
      </c>
      <c r="J23" s="11">
        <v>36.673999999999999</v>
      </c>
      <c r="K23" s="11">
        <v>36.970999999999997</v>
      </c>
      <c r="L23" s="11">
        <v>37.338000000000001</v>
      </c>
      <c r="M23" s="11"/>
      <c r="N23" s="11">
        <v>37.838999999999999</v>
      </c>
      <c r="O23" s="11">
        <v>39.351999999999997</v>
      </c>
      <c r="P23" s="11"/>
      <c r="Q23" s="11"/>
      <c r="R23" s="11">
        <v>41.987000000000002</v>
      </c>
      <c r="S23" s="13"/>
      <c r="T23" s="146">
        <f>R23-C23</f>
        <v>15.544</v>
      </c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  <c r="AG23" s="229"/>
      <c r="AH23" s="229"/>
    </row>
    <row r="24" spans="1:34">
      <c r="A24" s="174"/>
      <c r="B24" s="10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9">
        <f>SUM(S4:S23)</f>
        <v>644.23099999999999</v>
      </c>
      <c r="T24" s="9">
        <f>SUM(T4:T23)</f>
        <v>149.70499999999998</v>
      </c>
    </row>
    <row r="25" spans="1:34">
      <c r="A25" s="174" t="s">
        <v>25</v>
      </c>
      <c r="B25" s="16" t="s">
        <v>26</v>
      </c>
      <c r="C25" s="15">
        <v>66129</v>
      </c>
      <c r="D25" s="15">
        <v>66665</v>
      </c>
      <c r="E25" s="15">
        <v>67172</v>
      </c>
      <c r="F25" s="17">
        <v>67452</v>
      </c>
      <c r="G25" s="15">
        <v>67745</v>
      </c>
      <c r="H25" s="15">
        <v>68037</v>
      </c>
      <c r="I25" s="15">
        <v>68314</v>
      </c>
      <c r="J25" s="15">
        <v>68585</v>
      </c>
      <c r="K25" s="15">
        <v>68860</v>
      </c>
      <c r="L25" s="15">
        <v>69156</v>
      </c>
      <c r="M25" s="15"/>
      <c r="N25" s="15">
        <v>69418</v>
      </c>
      <c r="O25" s="15">
        <v>69655</v>
      </c>
      <c r="P25" s="15"/>
      <c r="Q25" s="15"/>
      <c r="R25" s="15">
        <v>69969</v>
      </c>
      <c r="S25" s="9"/>
      <c r="U25" s="18">
        <f>R25-C25</f>
        <v>3840</v>
      </c>
      <c r="V25" t="s">
        <v>354</v>
      </c>
    </row>
    <row r="26" spans="1:34">
      <c r="A26" s="174"/>
      <c r="B26" s="225" t="s">
        <v>238</v>
      </c>
      <c r="C26" s="20">
        <v>2548.6999999999998</v>
      </c>
      <c r="D26" s="20">
        <v>2618.6</v>
      </c>
      <c r="E26" s="20">
        <v>2676.3</v>
      </c>
      <c r="F26" s="20">
        <v>2736.4</v>
      </c>
      <c r="G26" s="20">
        <v>2799.9</v>
      </c>
      <c r="H26" s="20">
        <v>2870.3</v>
      </c>
      <c r="I26" s="20">
        <v>2928.3</v>
      </c>
      <c r="J26" s="20">
        <v>2980.9</v>
      </c>
      <c r="K26" s="20">
        <v>3030.4</v>
      </c>
      <c r="L26" s="20">
        <v>3087.5</v>
      </c>
      <c r="M26" s="20">
        <v>0</v>
      </c>
      <c r="N26" s="20">
        <v>54</v>
      </c>
      <c r="O26" s="20">
        <v>114.1</v>
      </c>
      <c r="P26" s="20">
        <v>127.4</v>
      </c>
      <c r="Q26" s="20">
        <v>127.4</v>
      </c>
      <c r="R26" s="20">
        <v>179.6</v>
      </c>
      <c r="S26" s="9">
        <f>R26+L26-C26</f>
        <v>718.40000000000009</v>
      </c>
    </row>
    <row r="27" spans="1:34">
      <c r="A27" s="174"/>
      <c r="B27" s="19" t="s">
        <v>27</v>
      </c>
      <c r="C27" s="21">
        <v>206.07</v>
      </c>
      <c r="D27" s="21">
        <v>217.15</v>
      </c>
      <c r="E27" s="21">
        <v>224.44</v>
      </c>
      <c r="F27" s="21">
        <v>230.07</v>
      </c>
      <c r="G27" s="21">
        <v>233.37</v>
      </c>
      <c r="H27" s="21">
        <v>236.19</v>
      </c>
      <c r="I27" s="21">
        <v>0.49</v>
      </c>
      <c r="J27" s="22">
        <v>1.91</v>
      </c>
      <c r="K27" s="22">
        <v>3.29</v>
      </c>
      <c r="L27" s="21">
        <v>4.8</v>
      </c>
      <c r="M27" s="21"/>
      <c r="N27" s="21">
        <v>7.45</v>
      </c>
      <c r="O27" s="21">
        <v>13.54</v>
      </c>
      <c r="P27" s="21"/>
      <c r="Q27" s="21"/>
      <c r="R27" s="21">
        <v>22.27</v>
      </c>
      <c r="S27" s="9"/>
      <c r="T27" s="9">
        <f>(R27-M33+M32-C27)*3.6</f>
        <v>191.268</v>
      </c>
      <c r="U27" t="s">
        <v>177</v>
      </c>
    </row>
    <row r="28" spans="1:34" ht="15.75" thickBot="1">
      <c r="A28" s="173"/>
      <c r="B28" s="23" t="s">
        <v>28</v>
      </c>
      <c r="C28" s="24">
        <v>10345</v>
      </c>
      <c r="D28" s="24">
        <v>10815</v>
      </c>
      <c r="E28" s="24">
        <v>11098</v>
      </c>
      <c r="F28" s="24">
        <v>11335</v>
      </c>
      <c r="G28" s="24">
        <v>11502</v>
      </c>
      <c r="H28" s="24">
        <v>11650</v>
      </c>
      <c r="I28" s="24">
        <v>32</v>
      </c>
      <c r="J28" s="24">
        <v>129</v>
      </c>
      <c r="K28" s="24">
        <v>228</v>
      </c>
      <c r="L28" s="24">
        <v>327</v>
      </c>
      <c r="M28" s="24"/>
      <c r="N28" s="24">
        <v>471</v>
      </c>
      <c r="O28" s="24">
        <v>761</v>
      </c>
      <c r="P28" s="24"/>
      <c r="Q28" s="24"/>
      <c r="R28" s="24">
        <v>1071</v>
      </c>
      <c r="S28" s="9"/>
    </row>
    <row r="29" spans="1:34" ht="15.75" thickBot="1">
      <c r="A29" s="175" t="s">
        <v>191</v>
      </c>
      <c r="B29" s="25"/>
      <c r="C29" s="26">
        <v>12400</v>
      </c>
      <c r="D29" s="26">
        <v>12741.6</v>
      </c>
      <c r="E29" s="26">
        <v>4358.2</v>
      </c>
      <c r="F29" s="26">
        <v>4677.5</v>
      </c>
      <c r="G29" s="26">
        <v>5038.2</v>
      </c>
      <c r="H29" s="26">
        <v>5389.7</v>
      </c>
      <c r="I29" s="26">
        <v>5691.3</v>
      </c>
      <c r="J29" s="26">
        <v>6012.6</v>
      </c>
      <c r="K29" s="26">
        <v>6313.8</v>
      </c>
      <c r="L29" s="26">
        <v>6605.1</v>
      </c>
      <c r="M29" s="26"/>
      <c r="N29" s="26">
        <v>6922.5</v>
      </c>
      <c r="O29" s="89">
        <v>7232.3</v>
      </c>
      <c r="P29" s="89"/>
      <c r="Q29" s="89"/>
      <c r="R29" s="26">
        <v>7593.2</v>
      </c>
      <c r="S29" s="9">
        <f>R29-E33+E32-C29</f>
        <v>3894.2000000000007</v>
      </c>
    </row>
    <row r="31" spans="1:34">
      <c r="A31" s="176"/>
      <c r="B31" s="27"/>
      <c r="D31" s="28" t="s">
        <v>29</v>
      </c>
      <c r="F31" s="29"/>
      <c r="I31" s="90"/>
      <c r="J31" s="90"/>
      <c r="K31" s="90"/>
      <c r="L31" s="90"/>
      <c r="M31" s="91"/>
      <c r="N31" s="117"/>
      <c r="O31" s="90"/>
      <c r="P31" s="90"/>
      <c r="Q31" s="90"/>
    </row>
    <row r="32" spans="1:34">
      <c r="B32" t="s">
        <v>205</v>
      </c>
      <c r="C32">
        <v>110109308</v>
      </c>
      <c r="D32" s="177" t="s">
        <v>203</v>
      </c>
      <c r="E32">
        <v>12875</v>
      </c>
      <c r="G32" s="30"/>
      <c r="H32" s="208" t="s">
        <v>221</v>
      </c>
      <c r="I32" s="209"/>
      <c r="J32" s="209"/>
      <c r="K32" s="208"/>
      <c r="L32" s="210" t="s">
        <v>219</v>
      </c>
      <c r="M32" s="211">
        <v>236.93</v>
      </c>
      <c r="N32" s="208" t="s">
        <v>220</v>
      </c>
      <c r="O32" s="90"/>
      <c r="P32" s="90"/>
      <c r="Q32" s="90"/>
    </row>
    <row r="33" spans="1:17">
      <c r="A33" s="178"/>
      <c r="B33" s="159" t="s">
        <v>206</v>
      </c>
      <c r="C33" s="159">
        <v>63796</v>
      </c>
      <c r="D33" s="205" t="s">
        <v>204</v>
      </c>
      <c r="E33" s="159">
        <v>4174</v>
      </c>
      <c r="F33" s="159"/>
      <c r="G33" s="160"/>
      <c r="H33" s="213" t="s">
        <v>222</v>
      </c>
      <c r="I33" s="209"/>
      <c r="J33" s="209"/>
      <c r="K33" s="208"/>
      <c r="L33" s="210" t="s">
        <v>219</v>
      </c>
      <c r="M33" s="211">
        <v>0</v>
      </c>
      <c r="N33" s="208" t="s">
        <v>220</v>
      </c>
      <c r="O33" s="90"/>
      <c r="P33" s="90"/>
      <c r="Q33" s="90"/>
    </row>
    <row r="34" spans="1:17">
      <c r="A34" s="178"/>
      <c r="B34" s="159"/>
      <c r="C34" s="159"/>
      <c r="D34" s="159"/>
      <c r="E34" s="159"/>
      <c r="F34" s="159"/>
      <c r="G34" s="159"/>
      <c r="H34" s="217" t="s">
        <v>227</v>
      </c>
      <c r="I34" s="218"/>
      <c r="J34" s="219"/>
      <c r="K34" s="218"/>
      <c r="L34" s="161"/>
      <c r="M34" s="91"/>
      <c r="N34" s="92"/>
      <c r="O34" s="90"/>
      <c r="P34" s="90"/>
      <c r="Q34" s="90"/>
    </row>
    <row r="35" spans="1:17">
      <c r="A35" s="178"/>
      <c r="B35" s="159"/>
      <c r="C35" s="159"/>
      <c r="D35" s="159"/>
      <c r="E35" s="159"/>
      <c r="F35" s="159"/>
      <c r="G35" s="159"/>
      <c r="H35" t="s">
        <v>318</v>
      </c>
      <c r="I35" s="159"/>
      <c r="J35" s="162"/>
      <c r="K35" s="159"/>
      <c r="L35" s="161"/>
    </row>
    <row r="36" spans="1:17">
      <c r="H36" s="259" t="s">
        <v>346</v>
      </c>
      <c r="I36" s="257"/>
      <c r="J36" s="258"/>
      <c r="K36" s="257"/>
    </row>
  </sheetData>
  <sheetProtection selectLockedCells="1" selectUnlockedCells="1"/>
  <mergeCells count="10"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H4">
    <cfRule type="cellIs" dxfId="4891" priority="1" stopIfTrue="1" operator="lessThan">
      <formula>'1850'!$G$4</formula>
    </cfRule>
    <cfRule type="cellIs" dxfId="4890" priority="2" stopIfTrue="1" operator="equal">
      <formula>'1850'!$G$4</formula>
    </cfRule>
  </conditionalFormatting>
  <conditionalFormatting sqref="G7">
    <cfRule type="cellIs" dxfId="4889" priority="3" stopIfTrue="1" operator="equal">
      <formula>'1850'!$F$7</formula>
    </cfRule>
    <cfRule type="cellIs" dxfId="4888" priority="4" stopIfTrue="1" operator="lessThan">
      <formula>'1850'!$F$7</formula>
    </cfRule>
  </conditionalFormatting>
  <conditionalFormatting sqref="H5">
    <cfRule type="cellIs" dxfId="4887" priority="5" stopIfTrue="1" operator="equal">
      <formula>'1850'!$G$5</formula>
    </cfRule>
    <cfRule type="cellIs" dxfId="4886" priority="6" stopIfTrue="1" operator="lessThan">
      <formula>'1850'!$G$5</formula>
    </cfRule>
  </conditionalFormatting>
  <conditionalFormatting sqref="I5">
    <cfRule type="cellIs" dxfId="4885" priority="7" stopIfTrue="1" operator="equal">
      <formula>'1850'!$H$5</formula>
    </cfRule>
    <cfRule type="cellIs" dxfId="4884" priority="8" stopIfTrue="1" operator="lessThan">
      <formula>'1850'!$H$5</formula>
    </cfRule>
  </conditionalFormatting>
  <conditionalFormatting sqref="J5">
    <cfRule type="cellIs" dxfId="4883" priority="9" stopIfTrue="1" operator="equal">
      <formula>'1850'!$I$5</formula>
    </cfRule>
    <cfRule type="cellIs" dxfId="4882" priority="10" stopIfTrue="1" operator="lessThan">
      <formula>'1850'!$I$5</formula>
    </cfRule>
  </conditionalFormatting>
  <conditionalFormatting sqref="F4">
    <cfRule type="cellIs" dxfId="4881" priority="11" stopIfTrue="1" operator="equal">
      <formula>'1850'!$E$4</formula>
    </cfRule>
    <cfRule type="cellIs" dxfId="4880" priority="12" stopIfTrue="1" operator="lessThan">
      <formula>'1850'!$E$4</formula>
    </cfRule>
  </conditionalFormatting>
  <conditionalFormatting sqref="D4">
    <cfRule type="cellIs" dxfId="4879" priority="13" stopIfTrue="1" operator="lessThan">
      <formula>'1850'!$C$4</formula>
    </cfRule>
    <cfRule type="cellIs" dxfId="4878" priority="14" stopIfTrue="1" operator="equal">
      <formula>'1850'!$C$4</formula>
    </cfRule>
  </conditionalFormatting>
  <conditionalFormatting sqref="E4">
    <cfRule type="cellIs" dxfId="4877" priority="15" stopIfTrue="1" operator="equal">
      <formula>'1850'!$D$4</formula>
    </cfRule>
    <cfRule type="cellIs" dxfId="4876" priority="16" stopIfTrue="1" operator="lessThan">
      <formula>'1850'!$D$4</formula>
    </cfRule>
  </conditionalFormatting>
  <conditionalFormatting sqref="D5">
    <cfRule type="cellIs" dxfId="4875" priority="17" stopIfTrue="1" operator="equal">
      <formula>'1850'!$C$5</formula>
    </cfRule>
    <cfRule type="cellIs" dxfId="4874" priority="18" stopIfTrue="1" operator="lessThan">
      <formula>'1850'!$C$5</formula>
    </cfRule>
  </conditionalFormatting>
  <conditionalFormatting sqref="F5">
    <cfRule type="cellIs" dxfId="4873" priority="19" stopIfTrue="1" operator="equal">
      <formula>'1850'!$E$5</formula>
    </cfRule>
    <cfRule type="cellIs" dxfId="4872" priority="20" stopIfTrue="1" operator="lessThan">
      <formula>'1850'!$E$5</formula>
    </cfRule>
  </conditionalFormatting>
  <conditionalFormatting sqref="I4">
    <cfRule type="cellIs" dxfId="4871" priority="21" stopIfTrue="1" operator="equal">
      <formula>'1850'!$H$4</formula>
    </cfRule>
  </conditionalFormatting>
  <conditionalFormatting sqref="J4">
    <cfRule type="cellIs" dxfId="4870" priority="22" stopIfTrue="1" operator="lessThan">
      <formula>'1850'!$I$4</formula>
    </cfRule>
    <cfRule type="cellIs" dxfId="4869" priority="23" stopIfTrue="1" operator="equal">
      <formula>'1850'!$I$4</formula>
    </cfRule>
  </conditionalFormatting>
  <conditionalFormatting sqref="D6">
    <cfRule type="cellIs" dxfId="4868" priority="24" stopIfTrue="1" operator="equal">
      <formula>'1850'!$C$6</formula>
    </cfRule>
    <cfRule type="cellIs" dxfId="4867" priority="25" stopIfTrue="1" operator="lessThan">
      <formula>'1850'!$C$6</formula>
    </cfRule>
  </conditionalFormatting>
  <conditionalFormatting sqref="E6">
    <cfRule type="cellIs" dxfId="4866" priority="26" stopIfTrue="1" operator="equal">
      <formula>'1850'!$D$6</formula>
    </cfRule>
    <cfRule type="cellIs" dxfId="4865" priority="27" stopIfTrue="1" operator="lessThan">
      <formula>'1850'!$D$6</formula>
    </cfRule>
  </conditionalFormatting>
  <conditionalFormatting sqref="F6">
    <cfRule type="cellIs" dxfId="4864" priority="28" stopIfTrue="1" operator="equal">
      <formula>'1850'!$E$6</formula>
    </cfRule>
    <cfRule type="cellIs" dxfId="4863" priority="29" stopIfTrue="1" operator="lessThan">
      <formula>'1850'!$E$6</formula>
    </cfRule>
  </conditionalFormatting>
  <conditionalFormatting sqref="G6">
    <cfRule type="cellIs" dxfId="4862" priority="30" stopIfTrue="1" operator="equal">
      <formula>'1850'!$F$6</formula>
    </cfRule>
    <cfRule type="cellIs" dxfId="4861" priority="31" stopIfTrue="1" operator="lessThan">
      <formula>'1850'!$F$6</formula>
    </cfRule>
  </conditionalFormatting>
  <conditionalFormatting sqref="H6">
    <cfRule type="cellIs" dxfId="4860" priority="32" stopIfTrue="1" operator="equal">
      <formula>'1850'!$G$6</formula>
    </cfRule>
    <cfRule type="cellIs" dxfId="4859" priority="33" stopIfTrue="1" operator="lessThan">
      <formula>'1850'!$G$6</formula>
    </cfRule>
  </conditionalFormatting>
  <conditionalFormatting sqref="I6">
    <cfRule type="cellIs" dxfId="4858" priority="34" stopIfTrue="1" operator="equal">
      <formula>'1850'!$H$6</formula>
    </cfRule>
    <cfRule type="cellIs" dxfId="4857" priority="35" stopIfTrue="1" operator="lessThan">
      <formula>'1850'!$H$6</formula>
    </cfRule>
  </conditionalFormatting>
  <conditionalFormatting sqref="J6">
    <cfRule type="cellIs" dxfId="4856" priority="36" stopIfTrue="1" operator="equal">
      <formula>'1850'!$I$6</formula>
    </cfRule>
    <cfRule type="cellIs" dxfId="4855" priority="37" stopIfTrue="1" operator="lessThan">
      <formula>'1850'!$I$6</formula>
    </cfRule>
  </conditionalFormatting>
  <conditionalFormatting sqref="D7">
    <cfRule type="cellIs" dxfId="4854" priority="38" stopIfTrue="1" operator="equal">
      <formula>'1850'!$C$7</formula>
    </cfRule>
    <cfRule type="cellIs" dxfId="4853" priority="39" stopIfTrue="1" operator="lessThan">
      <formula>'1850'!$C$7</formula>
    </cfRule>
  </conditionalFormatting>
  <conditionalFormatting sqref="E7">
    <cfRule type="cellIs" dxfId="4852" priority="40" stopIfTrue="1" operator="equal">
      <formula>'1850'!$D$7</formula>
    </cfRule>
    <cfRule type="cellIs" dxfId="4851" priority="41" stopIfTrue="1" operator="lessThan">
      <formula>'1850'!$D$7</formula>
    </cfRule>
  </conditionalFormatting>
  <conditionalFormatting sqref="F7">
    <cfRule type="cellIs" dxfId="4850" priority="42" stopIfTrue="1" operator="equal">
      <formula>'1850'!$E$7</formula>
    </cfRule>
    <cfRule type="cellIs" dxfId="4849" priority="43" stopIfTrue="1" operator="lessThan">
      <formula>'1850'!$E$7</formula>
    </cfRule>
  </conditionalFormatting>
  <conditionalFormatting sqref="H7">
    <cfRule type="cellIs" dxfId="4848" priority="44" stopIfTrue="1" operator="equal">
      <formula>'1850'!$G$7</formula>
    </cfRule>
    <cfRule type="cellIs" dxfId="4847" priority="45" stopIfTrue="1" operator="lessThan">
      <formula>'1850'!$G$7</formula>
    </cfRule>
  </conditionalFormatting>
  <conditionalFormatting sqref="I7">
    <cfRule type="cellIs" dxfId="4846" priority="46" stopIfTrue="1" operator="equal">
      <formula>'1850'!$H$7</formula>
    </cfRule>
    <cfRule type="cellIs" dxfId="4845" priority="47" stopIfTrue="1" operator="lessThan">
      <formula>'1850'!$H$7</formula>
    </cfRule>
  </conditionalFormatting>
  <conditionalFormatting sqref="J7">
    <cfRule type="cellIs" dxfId="4844" priority="48" stopIfTrue="1" operator="equal">
      <formula>'1850'!$I$7</formula>
    </cfRule>
    <cfRule type="cellIs" dxfId="4843" priority="49" stopIfTrue="1" operator="lessThan">
      <formula>'1850'!$I$7</formula>
    </cfRule>
  </conditionalFormatting>
  <conditionalFormatting sqref="D8">
    <cfRule type="cellIs" dxfId="4842" priority="50" stopIfTrue="1" operator="equal">
      <formula>'1850'!$C$8</formula>
    </cfRule>
    <cfRule type="cellIs" dxfId="4841" priority="51" stopIfTrue="1" operator="lessThan">
      <formula>'1850'!$C$8</formula>
    </cfRule>
  </conditionalFormatting>
  <conditionalFormatting sqref="E8">
    <cfRule type="cellIs" dxfId="4840" priority="52" stopIfTrue="1" operator="equal">
      <formula>'1850'!$D$8</formula>
    </cfRule>
    <cfRule type="cellIs" dxfId="4839" priority="53" stopIfTrue="1" operator="lessThan">
      <formula>'1850'!$D$8</formula>
    </cfRule>
  </conditionalFormatting>
  <conditionalFormatting sqref="F8">
    <cfRule type="cellIs" dxfId="4838" priority="54" stopIfTrue="1" operator="equal">
      <formula>'1850'!$E$8</formula>
    </cfRule>
    <cfRule type="cellIs" dxfId="4837" priority="55" stopIfTrue="1" operator="lessThan">
      <formula>'1850'!$E$8</formula>
    </cfRule>
  </conditionalFormatting>
  <conditionalFormatting sqref="G8">
    <cfRule type="cellIs" dxfId="4836" priority="56" stopIfTrue="1" operator="equal">
      <formula>'1850'!$F$8</formula>
    </cfRule>
    <cfRule type="cellIs" dxfId="4835" priority="57" stopIfTrue="1" operator="lessThan">
      <formula>'1850'!$F$8</formula>
    </cfRule>
  </conditionalFormatting>
  <conditionalFormatting sqref="H8">
    <cfRule type="cellIs" dxfId="4834" priority="58" stopIfTrue="1" operator="equal">
      <formula>'1850'!$G$8</formula>
    </cfRule>
    <cfRule type="cellIs" dxfId="4833" priority="59" stopIfTrue="1" operator="lessThan">
      <formula>'1850'!$G$8</formula>
    </cfRule>
  </conditionalFormatting>
  <conditionalFormatting sqref="I8">
    <cfRule type="cellIs" dxfId="4832" priority="60" stopIfTrue="1" operator="equal">
      <formula>'1850'!$H$8</formula>
    </cfRule>
    <cfRule type="cellIs" dxfId="4831" priority="61" stopIfTrue="1" operator="lessThan">
      <formula>'1850'!$H$8</formula>
    </cfRule>
  </conditionalFormatting>
  <conditionalFormatting sqref="J8">
    <cfRule type="cellIs" dxfId="4830" priority="62" stopIfTrue="1" operator="equal">
      <formula>'1850'!$I$8</formula>
    </cfRule>
    <cfRule type="cellIs" dxfId="4829" priority="63" stopIfTrue="1" operator="lessThan">
      <formula>'1850'!$I$8</formula>
    </cfRule>
  </conditionalFormatting>
  <conditionalFormatting sqref="D9">
    <cfRule type="cellIs" dxfId="4828" priority="64" stopIfTrue="1" operator="equal">
      <formula>'1850'!$C$9</formula>
    </cfRule>
    <cfRule type="cellIs" dxfId="4827" priority="65" stopIfTrue="1" operator="lessThan">
      <formula>'1850'!$C$9</formula>
    </cfRule>
  </conditionalFormatting>
  <conditionalFormatting sqref="E9">
    <cfRule type="cellIs" dxfId="4826" priority="66" stopIfTrue="1" operator="equal">
      <formula>'1850'!$D$9</formula>
    </cfRule>
    <cfRule type="cellIs" dxfId="4825" priority="67" stopIfTrue="1" operator="lessThan">
      <formula>'1850'!$D$9</formula>
    </cfRule>
  </conditionalFormatting>
  <conditionalFormatting sqref="F9">
    <cfRule type="cellIs" dxfId="4824" priority="68" stopIfTrue="1" operator="equal">
      <formula>'1850'!$E$9</formula>
    </cfRule>
    <cfRule type="cellIs" dxfId="4823" priority="69" stopIfTrue="1" operator="lessThan">
      <formula>'1850'!$E$9</formula>
    </cfRule>
  </conditionalFormatting>
  <conditionalFormatting sqref="G9">
    <cfRule type="cellIs" dxfId="4822" priority="70" stopIfTrue="1" operator="equal">
      <formula>'1850'!$F$9</formula>
    </cfRule>
    <cfRule type="cellIs" dxfId="4821" priority="71" stopIfTrue="1" operator="lessThan">
      <formula>'1850'!$F$9</formula>
    </cfRule>
  </conditionalFormatting>
  <conditionalFormatting sqref="H9">
    <cfRule type="cellIs" dxfId="4820" priority="72" stopIfTrue="1" operator="equal">
      <formula>'1850'!$G$9</formula>
    </cfRule>
    <cfRule type="cellIs" dxfId="4819" priority="73" stopIfTrue="1" operator="lessThan">
      <formula>'1850'!$G$9</formula>
    </cfRule>
  </conditionalFormatting>
  <conditionalFormatting sqref="I9">
    <cfRule type="cellIs" dxfId="4818" priority="74" stopIfTrue="1" operator="equal">
      <formula>'1850'!$H$9</formula>
    </cfRule>
    <cfRule type="cellIs" dxfId="4817" priority="75" stopIfTrue="1" operator="lessThan">
      <formula>'1850'!$H$9</formula>
    </cfRule>
  </conditionalFormatting>
  <conditionalFormatting sqref="J9">
    <cfRule type="cellIs" dxfId="4816" priority="76" stopIfTrue="1" operator="equal">
      <formula>'1850'!$I$9</formula>
    </cfRule>
    <cfRule type="cellIs" dxfId="4815" priority="77" stopIfTrue="1" operator="lessThan">
      <formula>'1850'!$I$9</formula>
    </cfRule>
  </conditionalFormatting>
  <conditionalFormatting sqref="D10">
    <cfRule type="cellIs" dxfId="4814" priority="78" stopIfTrue="1" operator="equal">
      <formula>'1850'!$C$10</formula>
    </cfRule>
    <cfRule type="cellIs" dxfId="4813" priority="79" stopIfTrue="1" operator="lessThan">
      <formula>'1850'!$C$10</formula>
    </cfRule>
  </conditionalFormatting>
  <conditionalFormatting sqref="E10">
    <cfRule type="cellIs" dxfId="4812" priority="80" stopIfTrue="1" operator="equal">
      <formula>'1850'!$D$10</formula>
    </cfRule>
    <cfRule type="cellIs" dxfId="4811" priority="81" stopIfTrue="1" operator="lessThan">
      <formula>'1850'!$D$10</formula>
    </cfRule>
  </conditionalFormatting>
  <conditionalFormatting sqref="F10">
    <cfRule type="cellIs" dxfId="4810" priority="82" stopIfTrue="1" operator="equal">
      <formula>'1850'!$E$10</formula>
    </cfRule>
    <cfRule type="cellIs" dxfId="4809" priority="83" stopIfTrue="1" operator="lessThan">
      <formula>'1850'!$E$10</formula>
    </cfRule>
  </conditionalFormatting>
  <conditionalFormatting sqref="G10">
    <cfRule type="cellIs" dxfId="4808" priority="84" stopIfTrue="1" operator="equal">
      <formula>'1850'!$F$10</formula>
    </cfRule>
    <cfRule type="cellIs" dxfId="4807" priority="85" stopIfTrue="1" operator="lessThan">
      <formula>'1850'!$F$10</formula>
    </cfRule>
  </conditionalFormatting>
  <conditionalFormatting sqref="H10">
    <cfRule type="cellIs" dxfId="4806" priority="86" stopIfTrue="1" operator="equal">
      <formula>'1850'!$G$10</formula>
    </cfRule>
    <cfRule type="cellIs" dxfId="4805" priority="87" stopIfTrue="1" operator="lessThan">
      <formula>'1850'!$G$10</formula>
    </cfRule>
  </conditionalFormatting>
  <conditionalFormatting sqref="I10">
    <cfRule type="cellIs" dxfId="4804" priority="88" stopIfTrue="1" operator="equal">
      <formula>'1850'!$H$10</formula>
    </cfRule>
    <cfRule type="cellIs" dxfId="4803" priority="89" stopIfTrue="1" operator="lessThan">
      <formula>'1850'!$H$10</formula>
    </cfRule>
  </conditionalFormatting>
  <conditionalFormatting sqref="J10">
    <cfRule type="cellIs" dxfId="4802" priority="90" stopIfTrue="1" operator="equal">
      <formula>'1850'!$I$10</formula>
    </cfRule>
    <cfRule type="cellIs" dxfId="4801" priority="91" stopIfTrue="1" operator="lessThan">
      <formula>'1850'!$I$10</formula>
    </cfRule>
  </conditionalFormatting>
  <conditionalFormatting sqref="D11">
    <cfRule type="cellIs" dxfId="4800" priority="92" stopIfTrue="1" operator="equal">
      <formula>'1850'!$C$11</formula>
    </cfRule>
    <cfRule type="cellIs" dxfId="4799" priority="93" stopIfTrue="1" operator="lessThan">
      <formula>'1850'!$C$11</formula>
    </cfRule>
  </conditionalFormatting>
  <conditionalFormatting sqref="E11">
    <cfRule type="cellIs" dxfId="4798" priority="94" stopIfTrue="1" operator="equal">
      <formula>'1850'!$D$11</formula>
    </cfRule>
    <cfRule type="cellIs" dxfId="4797" priority="95" stopIfTrue="1" operator="lessThan">
      <formula>'1850'!$D$11</formula>
    </cfRule>
  </conditionalFormatting>
  <conditionalFormatting sqref="F11">
    <cfRule type="cellIs" dxfId="4796" priority="96" stopIfTrue="1" operator="equal">
      <formula>'1850'!$E$11</formula>
    </cfRule>
    <cfRule type="cellIs" dxfId="4795" priority="97" stopIfTrue="1" operator="lessThan">
      <formula>'1850'!$E$11</formula>
    </cfRule>
  </conditionalFormatting>
  <conditionalFormatting sqref="G11">
    <cfRule type="cellIs" dxfId="4794" priority="98" stopIfTrue="1" operator="equal">
      <formula>'1850'!$F$11</formula>
    </cfRule>
    <cfRule type="cellIs" dxfId="4793" priority="99" stopIfTrue="1" operator="lessThan">
      <formula>'1850'!$F$11</formula>
    </cfRule>
  </conditionalFormatting>
  <conditionalFormatting sqref="H11">
    <cfRule type="cellIs" dxfId="4792" priority="100" stopIfTrue="1" operator="equal">
      <formula>'1850'!$G$11</formula>
    </cfRule>
    <cfRule type="cellIs" dxfId="4791" priority="101" stopIfTrue="1" operator="lessThan">
      <formula>'1850'!$G$11</formula>
    </cfRule>
  </conditionalFormatting>
  <conditionalFormatting sqref="I11">
    <cfRule type="cellIs" dxfId="4790" priority="102" stopIfTrue="1" operator="equal">
      <formula>'1850'!$H$11</formula>
    </cfRule>
    <cfRule type="cellIs" dxfId="4789" priority="103" stopIfTrue="1" operator="lessThan">
      <formula>'1850'!$H$11</formula>
    </cfRule>
  </conditionalFormatting>
  <conditionalFormatting sqref="J11">
    <cfRule type="cellIs" dxfId="4788" priority="104" stopIfTrue="1" operator="equal">
      <formula>'1850'!$I$11</formula>
    </cfRule>
    <cfRule type="cellIs" dxfId="4787" priority="105" stopIfTrue="1" operator="lessThan">
      <formula>'1850'!$I$11</formula>
    </cfRule>
  </conditionalFormatting>
  <conditionalFormatting sqref="D12">
    <cfRule type="cellIs" dxfId="4786" priority="106" stopIfTrue="1" operator="equal">
      <formula>'1850'!$C$12</formula>
    </cfRule>
    <cfRule type="cellIs" dxfId="4785" priority="107" stopIfTrue="1" operator="lessThan">
      <formula>'1850'!$C$12</formula>
    </cfRule>
  </conditionalFormatting>
  <conditionalFormatting sqref="E12">
    <cfRule type="cellIs" dxfId="4784" priority="108" stopIfTrue="1" operator="equal">
      <formula>'1850'!$D$12</formula>
    </cfRule>
    <cfRule type="cellIs" dxfId="4783" priority="109" stopIfTrue="1" operator="lessThan">
      <formula>'1850'!$D$12</formula>
    </cfRule>
  </conditionalFormatting>
  <conditionalFormatting sqref="F12">
    <cfRule type="cellIs" dxfId="4782" priority="110" stopIfTrue="1" operator="equal">
      <formula>'1850'!$E$12</formula>
    </cfRule>
    <cfRule type="cellIs" dxfId="4781" priority="111" stopIfTrue="1" operator="lessThan">
      <formula>'1850'!$E$12</formula>
    </cfRule>
  </conditionalFormatting>
  <conditionalFormatting sqref="G12">
    <cfRule type="cellIs" dxfId="4780" priority="112" stopIfTrue="1" operator="equal">
      <formula>'1850'!$F$12</formula>
    </cfRule>
    <cfRule type="cellIs" dxfId="4779" priority="113" stopIfTrue="1" operator="lessThan">
      <formula>'1850'!$F$12</formula>
    </cfRule>
  </conditionalFormatting>
  <conditionalFormatting sqref="H12">
    <cfRule type="cellIs" dxfId="4778" priority="114" stopIfTrue="1" operator="equal">
      <formula>'1850'!$G$12</formula>
    </cfRule>
    <cfRule type="cellIs" dxfId="4777" priority="115" stopIfTrue="1" operator="lessThan">
      <formula>'1850'!$G$12</formula>
    </cfRule>
  </conditionalFormatting>
  <conditionalFormatting sqref="I12">
    <cfRule type="cellIs" dxfId="4776" priority="116" stopIfTrue="1" operator="equal">
      <formula>'1850'!$H$12</formula>
    </cfRule>
    <cfRule type="cellIs" dxfId="4775" priority="117" stopIfTrue="1" operator="lessThan">
      <formula>'1850'!$H$12</formula>
    </cfRule>
  </conditionalFormatting>
  <conditionalFormatting sqref="J12">
    <cfRule type="cellIs" dxfId="4774" priority="118" stopIfTrue="1" operator="equal">
      <formula>'1850'!$I$12</formula>
    </cfRule>
    <cfRule type="cellIs" dxfId="4773" priority="119" stopIfTrue="1" operator="lessThan">
      <formula>'1850'!$I$12</formula>
    </cfRule>
  </conditionalFormatting>
  <conditionalFormatting sqref="D14">
    <cfRule type="cellIs" dxfId="4772" priority="120" stopIfTrue="1" operator="equal">
      <formula>'1850'!$C$14</formula>
    </cfRule>
    <cfRule type="cellIs" dxfId="4771" priority="121" stopIfTrue="1" operator="lessThan">
      <formula>'1850'!$C$14</formula>
    </cfRule>
  </conditionalFormatting>
  <conditionalFormatting sqref="D15">
    <cfRule type="cellIs" dxfId="4770" priority="122" stopIfTrue="1" operator="equal">
      <formula>'1850'!$C$15</formula>
    </cfRule>
    <cfRule type="cellIs" dxfId="4769" priority="123" stopIfTrue="1" operator="lessThan">
      <formula>'1850'!$C$15</formula>
    </cfRule>
  </conditionalFormatting>
  <conditionalFormatting sqref="D16">
    <cfRule type="cellIs" dxfId="4768" priority="124" stopIfTrue="1" operator="equal">
      <formula>'1850'!$C$16</formula>
    </cfRule>
    <cfRule type="cellIs" dxfId="4767" priority="125" stopIfTrue="1" operator="lessThan">
      <formula>'1850'!$C$16</formula>
    </cfRule>
  </conditionalFormatting>
  <conditionalFormatting sqref="D17">
    <cfRule type="cellIs" dxfId="4766" priority="126" stopIfTrue="1" operator="equal">
      <formula>'1850'!$C$17</formula>
    </cfRule>
    <cfRule type="cellIs" dxfId="4765" priority="127" stopIfTrue="1" operator="lessThan">
      <formula>'1850'!$C$17</formula>
    </cfRule>
  </conditionalFormatting>
  <conditionalFormatting sqref="D18">
    <cfRule type="cellIs" dxfId="4764" priority="128" stopIfTrue="1" operator="equal">
      <formula>'1850'!$C$18</formula>
    </cfRule>
    <cfRule type="cellIs" dxfId="4763" priority="129" stopIfTrue="1" operator="lessThan">
      <formula>'1850'!$C$18</formula>
    </cfRule>
  </conditionalFormatting>
  <conditionalFormatting sqref="D19">
    <cfRule type="cellIs" dxfId="4762" priority="130" stopIfTrue="1" operator="equal">
      <formula>'1850'!$C$19</formula>
    </cfRule>
    <cfRule type="cellIs" dxfId="4761" priority="131" stopIfTrue="1" operator="lessThan">
      <formula>'1850'!$C$19</formula>
    </cfRule>
  </conditionalFormatting>
  <conditionalFormatting sqref="D20">
    <cfRule type="cellIs" dxfId="4760" priority="132" stopIfTrue="1" operator="equal">
      <formula>'1850'!$C$20</formula>
    </cfRule>
    <cfRule type="cellIs" dxfId="4759" priority="133" stopIfTrue="1" operator="lessThan">
      <formula>'1850'!$C$20</formula>
    </cfRule>
  </conditionalFormatting>
  <conditionalFormatting sqref="D21">
    <cfRule type="cellIs" dxfId="4758" priority="134" stopIfTrue="1" operator="equal">
      <formula>'1850'!$C$21</formula>
    </cfRule>
    <cfRule type="cellIs" dxfId="4757" priority="135" stopIfTrue="1" operator="lessThan">
      <formula>'1850'!$C$21</formula>
    </cfRule>
  </conditionalFormatting>
  <conditionalFormatting sqref="D22">
    <cfRule type="cellIs" dxfId="4756" priority="136" stopIfTrue="1" operator="equal">
      <formula>'1850'!$C$22</formula>
    </cfRule>
    <cfRule type="cellIs" dxfId="4755" priority="137" stopIfTrue="1" operator="lessThan">
      <formula>'1850'!$C$22</formula>
    </cfRule>
  </conditionalFormatting>
  <conditionalFormatting sqref="D23">
    <cfRule type="cellIs" dxfId="4754" priority="138" stopIfTrue="1" operator="equal">
      <formula>'1850'!$C$23</formula>
    </cfRule>
    <cfRule type="cellIs" dxfId="4753" priority="139" stopIfTrue="1" operator="lessThan">
      <formula>'1850'!$C$23</formula>
    </cfRule>
  </conditionalFormatting>
  <conditionalFormatting sqref="D25">
    <cfRule type="cellIs" dxfId="4752" priority="140" stopIfTrue="1" operator="equal">
      <formula>'1850'!$C$25</formula>
    </cfRule>
    <cfRule type="cellIs" dxfId="4751" priority="141" stopIfTrue="1" operator="lessThan">
      <formula>'1850'!$C$25</formula>
    </cfRule>
  </conditionalFormatting>
  <conditionalFormatting sqref="D26">
    <cfRule type="cellIs" dxfId="4750" priority="142" stopIfTrue="1" operator="equal">
      <formula>'1850'!$C$26</formula>
    </cfRule>
    <cfRule type="cellIs" dxfId="4749" priority="143" stopIfTrue="1" operator="lessThan">
      <formula>'1850'!$C$26</formula>
    </cfRule>
  </conditionalFormatting>
  <conditionalFormatting sqref="D27">
    <cfRule type="cellIs" dxfId="4748" priority="144" stopIfTrue="1" operator="equal">
      <formula>'1850'!$C$27</formula>
    </cfRule>
    <cfRule type="cellIs" dxfId="4747" priority="145" stopIfTrue="1" operator="lessThan">
      <formula>'1850'!$C$27</formula>
    </cfRule>
  </conditionalFormatting>
  <conditionalFormatting sqref="D28">
    <cfRule type="cellIs" dxfId="4746" priority="146" stopIfTrue="1" operator="equal">
      <formula>'1850'!$C$28</formula>
    </cfRule>
    <cfRule type="cellIs" dxfId="4745" priority="147" stopIfTrue="1" operator="lessThan">
      <formula>'1850'!$C$28</formula>
    </cfRule>
  </conditionalFormatting>
  <conditionalFormatting sqref="E13">
    <cfRule type="cellIs" dxfId="4744" priority="148" stopIfTrue="1" operator="equal">
      <formula>'1850'!$D$13</formula>
    </cfRule>
    <cfRule type="cellIs" dxfId="4743" priority="149" stopIfTrue="1" operator="lessThan">
      <formula>'1850'!$D$13</formula>
    </cfRule>
  </conditionalFormatting>
  <conditionalFormatting sqref="E14">
    <cfRule type="cellIs" dxfId="4742" priority="150" stopIfTrue="1" operator="equal">
      <formula>'1850'!$D$14</formula>
    </cfRule>
    <cfRule type="cellIs" dxfId="4741" priority="151" stopIfTrue="1" operator="lessThan">
      <formula>'1850'!$D$14</formula>
    </cfRule>
  </conditionalFormatting>
  <conditionalFormatting sqref="E15">
    <cfRule type="cellIs" dxfId="4740" priority="152" stopIfTrue="1" operator="equal">
      <formula>'1850'!$D$15</formula>
    </cfRule>
    <cfRule type="cellIs" dxfId="4739" priority="153" stopIfTrue="1" operator="lessThan">
      <formula>'1850'!$D$15</formula>
    </cfRule>
  </conditionalFormatting>
  <conditionalFormatting sqref="E16">
    <cfRule type="cellIs" dxfId="4738" priority="154" stopIfTrue="1" operator="equal">
      <formula>'1850'!$D$16</formula>
    </cfRule>
    <cfRule type="cellIs" dxfId="4737" priority="155" stopIfTrue="1" operator="lessThan">
      <formula>'1850'!$D$16</formula>
    </cfRule>
  </conditionalFormatting>
  <conditionalFormatting sqref="E17">
    <cfRule type="cellIs" dxfId="4736" priority="156" stopIfTrue="1" operator="equal">
      <formula>'1850'!$D$17</formula>
    </cfRule>
    <cfRule type="cellIs" dxfId="4735" priority="157" stopIfTrue="1" operator="lessThan">
      <formula>'1850'!$D$17</formula>
    </cfRule>
  </conditionalFormatting>
  <conditionalFormatting sqref="E18">
    <cfRule type="cellIs" dxfId="4734" priority="158" stopIfTrue="1" operator="equal">
      <formula>'1850'!$D$18</formula>
    </cfRule>
    <cfRule type="cellIs" dxfId="4733" priority="159" stopIfTrue="1" operator="lessThan">
      <formula>'1850'!$D$18</formula>
    </cfRule>
  </conditionalFormatting>
  <conditionalFormatting sqref="E19">
    <cfRule type="cellIs" dxfId="4732" priority="160" stopIfTrue="1" operator="equal">
      <formula>'1850'!$D$19</formula>
    </cfRule>
    <cfRule type="cellIs" dxfId="4731" priority="161" stopIfTrue="1" operator="lessThan">
      <formula>'1850'!$D$19</formula>
    </cfRule>
  </conditionalFormatting>
  <conditionalFormatting sqref="E20">
    <cfRule type="cellIs" dxfId="4730" priority="162" stopIfTrue="1" operator="equal">
      <formula>'1850'!$D$20</formula>
    </cfRule>
    <cfRule type="cellIs" dxfId="4729" priority="163" stopIfTrue="1" operator="lessThan">
      <formula>'1850'!$D$20</formula>
    </cfRule>
  </conditionalFormatting>
  <conditionalFormatting sqref="E21">
    <cfRule type="cellIs" dxfId="4728" priority="164" stopIfTrue="1" operator="equal">
      <formula>'1850'!$D$21</formula>
    </cfRule>
    <cfRule type="cellIs" dxfId="4727" priority="165" stopIfTrue="1" operator="lessThan">
      <formula>'1850'!$D$21</formula>
    </cfRule>
  </conditionalFormatting>
  <conditionalFormatting sqref="E22">
    <cfRule type="cellIs" dxfId="4726" priority="166" stopIfTrue="1" operator="equal">
      <formula>'1850'!$D$22</formula>
    </cfRule>
    <cfRule type="cellIs" dxfId="4725" priority="167" stopIfTrue="1" operator="lessThan">
      <formula>'1850'!$D$22</formula>
    </cfRule>
  </conditionalFormatting>
  <conditionalFormatting sqref="E23">
    <cfRule type="cellIs" dxfId="4724" priority="168" stopIfTrue="1" operator="equal">
      <formula>'1850'!$D$23</formula>
    </cfRule>
    <cfRule type="cellIs" dxfId="4723" priority="169" stopIfTrue="1" operator="lessThan">
      <formula>'1850'!$D$23</formula>
    </cfRule>
  </conditionalFormatting>
  <conditionalFormatting sqref="E25">
    <cfRule type="cellIs" dxfId="4722" priority="170" stopIfTrue="1" operator="equal">
      <formula>'1850'!$D$25</formula>
    </cfRule>
    <cfRule type="cellIs" dxfId="4721" priority="171" stopIfTrue="1" operator="lessThan">
      <formula>'1850'!$D$25</formula>
    </cfRule>
  </conditionalFormatting>
  <conditionalFormatting sqref="E26">
    <cfRule type="cellIs" dxfId="4720" priority="172" stopIfTrue="1" operator="equal">
      <formula>'1850'!$D$26</formula>
    </cfRule>
    <cfRule type="cellIs" dxfId="4719" priority="173" stopIfTrue="1" operator="lessThan">
      <formula>'1850'!$D$26</formula>
    </cfRule>
  </conditionalFormatting>
  <conditionalFormatting sqref="E27">
    <cfRule type="cellIs" dxfId="4718" priority="174" stopIfTrue="1" operator="equal">
      <formula>'1850'!$D$27</formula>
    </cfRule>
    <cfRule type="cellIs" dxfId="4717" priority="175" stopIfTrue="1" operator="lessThan">
      <formula>'1850'!$D$27</formula>
    </cfRule>
  </conditionalFormatting>
  <conditionalFormatting sqref="E28">
    <cfRule type="cellIs" dxfId="4716" priority="176" stopIfTrue="1" operator="equal">
      <formula>'1850'!$D$28</formula>
    </cfRule>
    <cfRule type="cellIs" dxfId="4715" priority="177" stopIfTrue="1" operator="lessThan">
      <formula>'1850'!$D$28</formula>
    </cfRule>
  </conditionalFormatting>
  <conditionalFormatting sqref="F13">
    <cfRule type="cellIs" dxfId="4714" priority="178" stopIfTrue="1" operator="equal">
      <formula>'1850'!$E$13</formula>
    </cfRule>
    <cfRule type="cellIs" dxfId="4713" priority="179" stopIfTrue="1" operator="lessThan">
      <formula>'1850'!$E$13</formula>
    </cfRule>
  </conditionalFormatting>
  <conditionalFormatting sqref="F14">
    <cfRule type="cellIs" dxfId="4712" priority="180" stopIfTrue="1" operator="equal">
      <formula>'1850'!$E$14</formula>
    </cfRule>
    <cfRule type="cellIs" dxfId="4711" priority="181" stopIfTrue="1" operator="lessThan">
      <formula>'1850'!$E$14</formula>
    </cfRule>
  </conditionalFormatting>
  <conditionalFormatting sqref="F15">
    <cfRule type="cellIs" dxfId="4710" priority="182" stopIfTrue="1" operator="equal">
      <formula>'1850'!$E$15</formula>
    </cfRule>
    <cfRule type="cellIs" dxfId="4709" priority="183" stopIfTrue="1" operator="lessThan">
      <formula>'1850'!$E$15</formula>
    </cfRule>
  </conditionalFormatting>
  <conditionalFormatting sqref="F16">
    <cfRule type="cellIs" dxfId="4708" priority="184" stopIfTrue="1" operator="equal">
      <formula>'1850'!$E$16</formula>
    </cfRule>
    <cfRule type="cellIs" dxfId="4707" priority="185" stopIfTrue="1" operator="lessThan">
      <formula>'1850'!$E$16</formula>
    </cfRule>
  </conditionalFormatting>
  <conditionalFormatting sqref="F17">
    <cfRule type="cellIs" dxfId="4706" priority="186" stopIfTrue="1" operator="equal">
      <formula>'1850'!$E$17</formula>
    </cfRule>
    <cfRule type="cellIs" dxfId="4705" priority="187" stopIfTrue="1" operator="lessThan">
      <formula>'1850'!$E$17</formula>
    </cfRule>
  </conditionalFormatting>
  <conditionalFormatting sqref="F18">
    <cfRule type="cellIs" dxfId="4704" priority="188" stopIfTrue="1" operator="equal">
      <formula>'1850'!$E$18</formula>
    </cfRule>
    <cfRule type="cellIs" dxfId="4703" priority="189" stopIfTrue="1" operator="lessThan">
      <formula>'1850'!$E$18</formula>
    </cfRule>
  </conditionalFormatting>
  <conditionalFormatting sqref="F19">
    <cfRule type="cellIs" dxfId="4702" priority="190" stopIfTrue="1" operator="equal">
      <formula>'1850'!$E$19</formula>
    </cfRule>
    <cfRule type="cellIs" dxfId="4701" priority="191" stopIfTrue="1" operator="lessThan">
      <formula>'1850'!$E$19</formula>
    </cfRule>
  </conditionalFormatting>
  <conditionalFormatting sqref="F20">
    <cfRule type="cellIs" dxfId="4700" priority="192" stopIfTrue="1" operator="equal">
      <formula>'1850'!$E$20</formula>
    </cfRule>
    <cfRule type="cellIs" dxfId="4699" priority="193" stopIfTrue="1" operator="lessThan">
      <formula>'1850'!$E$20</formula>
    </cfRule>
  </conditionalFormatting>
  <conditionalFormatting sqref="F21">
    <cfRule type="cellIs" dxfId="4698" priority="194" stopIfTrue="1" operator="equal">
      <formula>'1850'!$E$21</formula>
    </cfRule>
    <cfRule type="cellIs" dxfId="4697" priority="195" stopIfTrue="1" operator="lessThan">
      <formula>'1850'!$E$21</formula>
    </cfRule>
  </conditionalFormatting>
  <conditionalFormatting sqref="F22">
    <cfRule type="cellIs" dxfId="4696" priority="196" stopIfTrue="1" operator="equal">
      <formula>'1850'!$E$22</formula>
    </cfRule>
    <cfRule type="cellIs" dxfId="4695" priority="197" stopIfTrue="1" operator="lessThan">
      <formula>'1850'!$E$22</formula>
    </cfRule>
  </conditionalFormatting>
  <conditionalFormatting sqref="F23">
    <cfRule type="cellIs" dxfId="4694" priority="198" stopIfTrue="1" operator="equal">
      <formula>'1850'!$E$23</formula>
    </cfRule>
    <cfRule type="cellIs" dxfId="4693" priority="199" stopIfTrue="1" operator="lessThan">
      <formula>'1850'!$E$23</formula>
    </cfRule>
  </conditionalFormatting>
  <conditionalFormatting sqref="F25">
    <cfRule type="cellIs" dxfId="4692" priority="200" stopIfTrue="1" operator="equal">
      <formula>'1850'!$E$25</formula>
    </cfRule>
    <cfRule type="cellIs" dxfId="4691" priority="201" stopIfTrue="1" operator="lessThan">
      <formula>'1850'!$E$25</formula>
    </cfRule>
  </conditionalFormatting>
  <conditionalFormatting sqref="F26">
    <cfRule type="cellIs" dxfId="4690" priority="202" stopIfTrue="1" operator="equal">
      <formula>'1850'!$E$26</formula>
    </cfRule>
    <cfRule type="cellIs" dxfId="4689" priority="203" stopIfTrue="1" operator="lessThan">
      <formula>'1850'!$E$26</formula>
    </cfRule>
  </conditionalFormatting>
  <conditionalFormatting sqref="F27">
    <cfRule type="cellIs" dxfId="4688" priority="204" stopIfTrue="1" operator="equal">
      <formula>'1850'!$E$27</formula>
    </cfRule>
    <cfRule type="cellIs" dxfId="4687" priority="205" stopIfTrue="1" operator="lessThan">
      <formula>'1850'!$E$27</formula>
    </cfRule>
  </conditionalFormatting>
  <conditionalFormatting sqref="F28">
    <cfRule type="cellIs" dxfId="4686" priority="206" stopIfTrue="1" operator="equal">
      <formula>'1850'!$E$28</formula>
    </cfRule>
    <cfRule type="cellIs" dxfId="4685" priority="207" stopIfTrue="1" operator="lessThan">
      <formula>'1850'!$E$28</formula>
    </cfRule>
  </conditionalFormatting>
  <conditionalFormatting sqref="G13">
    <cfRule type="cellIs" dxfId="4684" priority="208" stopIfTrue="1" operator="equal">
      <formula>'1850'!$F$13</formula>
    </cfRule>
    <cfRule type="cellIs" dxfId="4683" priority="209" stopIfTrue="1" operator="lessThan">
      <formula>'1850'!$F$13</formula>
    </cfRule>
  </conditionalFormatting>
  <conditionalFormatting sqref="G14">
    <cfRule type="cellIs" dxfId="4682" priority="210" stopIfTrue="1" operator="equal">
      <formula>'1850'!$F$14</formula>
    </cfRule>
    <cfRule type="cellIs" dxfId="4681" priority="211" stopIfTrue="1" operator="lessThan">
      <formula>'1850'!$F$14</formula>
    </cfRule>
  </conditionalFormatting>
  <conditionalFormatting sqref="G15">
    <cfRule type="cellIs" dxfId="4680" priority="212" stopIfTrue="1" operator="equal">
      <formula>'1850'!$F$15</formula>
    </cfRule>
    <cfRule type="cellIs" dxfId="4679" priority="213" stopIfTrue="1" operator="lessThan">
      <formula>'1850'!$F$15</formula>
    </cfRule>
  </conditionalFormatting>
  <conditionalFormatting sqref="G16">
    <cfRule type="cellIs" dxfId="4678" priority="214" stopIfTrue="1" operator="equal">
      <formula>'1850'!$F$16</formula>
    </cfRule>
    <cfRule type="cellIs" dxfId="4677" priority="215" stopIfTrue="1" operator="lessThan">
      <formula>'1850'!$F$16</formula>
    </cfRule>
  </conditionalFormatting>
  <conditionalFormatting sqref="G17">
    <cfRule type="cellIs" dxfId="4676" priority="216" stopIfTrue="1" operator="equal">
      <formula>'1850'!$F$17</formula>
    </cfRule>
    <cfRule type="cellIs" dxfId="4675" priority="217" stopIfTrue="1" operator="lessThan">
      <formula>'1850'!$F$17</formula>
    </cfRule>
  </conditionalFormatting>
  <conditionalFormatting sqref="G18">
    <cfRule type="cellIs" dxfId="4674" priority="218" stopIfTrue="1" operator="equal">
      <formula>'1850'!$F$18</formula>
    </cfRule>
    <cfRule type="cellIs" dxfId="4673" priority="219" stopIfTrue="1" operator="lessThan">
      <formula>'1850'!$F$18</formula>
    </cfRule>
  </conditionalFormatting>
  <conditionalFormatting sqref="G19">
    <cfRule type="cellIs" dxfId="4672" priority="220" stopIfTrue="1" operator="equal">
      <formula>'1850'!$F$19</formula>
    </cfRule>
    <cfRule type="cellIs" dxfId="4671" priority="221" stopIfTrue="1" operator="lessThan">
      <formula>'1850'!$F$19</formula>
    </cfRule>
  </conditionalFormatting>
  <conditionalFormatting sqref="G20">
    <cfRule type="cellIs" dxfId="4670" priority="222" stopIfTrue="1" operator="equal">
      <formula>'1850'!$F$20</formula>
    </cfRule>
    <cfRule type="cellIs" dxfId="4669" priority="223" stopIfTrue="1" operator="lessThan">
      <formula>'1850'!$F$20</formula>
    </cfRule>
  </conditionalFormatting>
  <conditionalFormatting sqref="G21">
    <cfRule type="cellIs" dxfId="4668" priority="224" stopIfTrue="1" operator="equal">
      <formula>'1850'!$F$21</formula>
    </cfRule>
    <cfRule type="cellIs" dxfId="4667" priority="225" stopIfTrue="1" operator="lessThan">
      <formula>'1850'!$F$21</formula>
    </cfRule>
  </conditionalFormatting>
  <conditionalFormatting sqref="G22">
    <cfRule type="cellIs" dxfId="4666" priority="226" stopIfTrue="1" operator="equal">
      <formula>'1850'!$F$22</formula>
    </cfRule>
    <cfRule type="cellIs" dxfId="4665" priority="227" stopIfTrue="1" operator="lessThan">
      <formula>'1850'!$F$22</formula>
    </cfRule>
  </conditionalFormatting>
  <conditionalFormatting sqref="G23">
    <cfRule type="cellIs" dxfId="4664" priority="228" stopIfTrue="1" operator="equal">
      <formula>'1850'!$F$23</formula>
    </cfRule>
    <cfRule type="cellIs" dxfId="4663" priority="229" stopIfTrue="1" operator="lessThan">
      <formula>'1850'!$F$23</formula>
    </cfRule>
  </conditionalFormatting>
  <conditionalFormatting sqref="G25">
    <cfRule type="cellIs" dxfId="4662" priority="230" stopIfTrue="1" operator="equal">
      <formula>'1850'!$F$25</formula>
    </cfRule>
    <cfRule type="cellIs" dxfId="4661" priority="231" stopIfTrue="1" operator="lessThan">
      <formula>'1850'!$F$25</formula>
    </cfRule>
  </conditionalFormatting>
  <conditionalFormatting sqref="G26">
    <cfRule type="cellIs" dxfId="4660" priority="232" stopIfTrue="1" operator="equal">
      <formula>'1850'!$F$26</formula>
    </cfRule>
    <cfRule type="cellIs" dxfId="4659" priority="233" stopIfTrue="1" operator="lessThan">
      <formula>'1850'!$F$26</formula>
    </cfRule>
  </conditionalFormatting>
  <conditionalFormatting sqref="G27">
    <cfRule type="cellIs" dxfId="4658" priority="234" stopIfTrue="1" operator="equal">
      <formula>'1850'!$F$27</formula>
    </cfRule>
    <cfRule type="cellIs" dxfId="4657" priority="235" stopIfTrue="1" operator="lessThan">
      <formula>'1850'!$F$27</formula>
    </cfRule>
  </conditionalFormatting>
  <conditionalFormatting sqref="G28">
    <cfRule type="cellIs" dxfId="4656" priority="236" stopIfTrue="1" operator="equal">
      <formula>'1850'!$F$28</formula>
    </cfRule>
    <cfRule type="cellIs" dxfId="4655" priority="237" stopIfTrue="1" operator="lessThan">
      <formula>'1850'!$F$28</formula>
    </cfRule>
  </conditionalFormatting>
  <conditionalFormatting sqref="D13">
    <cfRule type="cellIs" dxfId="4654" priority="238" stopIfTrue="1" operator="equal">
      <formula>'1850'!$C$13</formula>
    </cfRule>
    <cfRule type="cellIs" dxfId="4653" priority="239" stopIfTrue="1" operator="lessThan">
      <formula>'1850'!$C$13</formula>
    </cfRule>
  </conditionalFormatting>
  <conditionalFormatting sqref="H13">
    <cfRule type="cellIs" dxfId="4652" priority="240" stopIfTrue="1" operator="equal">
      <formula>'1850'!$G$13</formula>
    </cfRule>
    <cfRule type="cellIs" dxfId="4651" priority="241" stopIfTrue="1" operator="lessThan">
      <formula>'1850'!$G$13</formula>
    </cfRule>
  </conditionalFormatting>
  <conditionalFormatting sqref="H14">
    <cfRule type="cellIs" dxfId="4650" priority="242" stopIfTrue="1" operator="equal">
      <formula>'1850'!$G$14</formula>
    </cfRule>
    <cfRule type="cellIs" dxfId="4649" priority="243" stopIfTrue="1" operator="lessThan">
      <formula>'1850'!$G$14</formula>
    </cfRule>
  </conditionalFormatting>
  <conditionalFormatting sqref="H15">
    <cfRule type="cellIs" dxfId="4648" priority="244" stopIfTrue="1" operator="equal">
      <formula>'1850'!$G$15</formula>
    </cfRule>
    <cfRule type="cellIs" dxfId="4647" priority="245" stopIfTrue="1" operator="lessThan">
      <formula>'1850'!$G$15</formula>
    </cfRule>
  </conditionalFormatting>
  <conditionalFormatting sqref="H16">
    <cfRule type="cellIs" dxfId="4646" priority="246" stopIfTrue="1" operator="equal">
      <formula>'1850'!$G$16</formula>
    </cfRule>
    <cfRule type="cellIs" dxfId="4645" priority="247" stopIfTrue="1" operator="lessThan">
      <formula>'1850'!$G$16</formula>
    </cfRule>
  </conditionalFormatting>
  <conditionalFormatting sqref="H17">
    <cfRule type="cellIs" dxfId="4644" priority="248" stopIfTrue="1" operator="equal">
      <formula>'1850'!$G$17</formula>
    </cfRule>
    <cfRule type="cellIs" dxfId="4643" priority="249" stopIfTrue="1" operator="lessThan">
      <formula>'1850'!$G$17</formula>
    </cfRule>
  </conditionalFormatting>
  <conditionalFormatting sqref="H18">
    <cfRule type="cellIs" dxfId="4642" priority="250" stopIfTrue="1" operator="equal">
      <formula>'1850'!$G$18</formula>
    </cfRule>
    <cfRule type="cellIs" dxfId="4641" priority="251" stopIfTrue="1" operator="lessThan">
      <formula>'1850'!$G$18</formula>
    </cfRule>
  </conditionalFormatting>
  <conditionalFormatting sqref="H19">
    <cfRule type="cellIs" dxfId="4640" priority="252" stopIfTrue="1" operator="equal">
      <formula>'1850'!$G$19</formula>
    </cfRule>
    <cfRule type="cellIs" dxfId="4639" priority="253" stopIfTrue="1" operator="lessThan">
      <formula>'1850'!$G$19</formula>
    </cfRule>
  </conditionalFormatting>
  <conditionalFormatting sqref="H20">
    <cfRule type="cellIs" dxfId="4638" priority="254" stopIfTrue="1" operator="equal">
      <formula>'1850'!$G$20</formula>
    </cfRule>
    <cfRule type="cellIs" dxfId="4637" priority="255" stopIfTrue="1" operator="lessThan">
      <formula>'1850'!$G$20</formula>
    </cfRule>
  </conditionalFormatting>
  <conditionalFormatting sqref="H21">
    <cfRule type="cellIs" dxfId="4636" priority="256" stopIfTrue="1" operator="equal">
      <formula>'1850'!$G$21</formula>
    </cfRule>
    <cfRule type="cellIs" dxfId="4635" priority="257" stopIfTrue="1" operator="lessThan">
      <formula>'1850'!$G$21</formula>
    </cfRule>
  </conditionalFormatting>
  <conditionalFormatting sqref="H22">
    <cfRule type="cellIs" dxfId="4634" priority="258" stopIfTrue="1" operator="equal">
      <formula>'1850'!$G$22</formula>
    </cfRule>
    <cfRule type="cellIs" dxfId="4633" priority="259" stopIfTrue="1" operator="lessThan">
      <formula>'1850'!$G$22</formula>
    </cfRule>
  </conditionalFormatting>
  <conditionalFormatting sqref="H23">
    <cfRule type="cellIs" dxfId="4632" priority="260" stopIfTrue="1" operator="equal">
      <formula>'1850'!$G$23</formula>
    </cfRule>
    <cfRule type="cellIs" dxfId="4631" priority="261" stopIfTrue="1" operator="lessThan">
      <formula>'1850'!$G$23</formula>
    </cfRule>
  </conditionalFormatting>
  <conditionalFormatting sqref="H25">
    <cfRule type="cellIs" dxfId="4630" priority="262" stopIfTrue="1" operator="equal">
      <formula>'1850'!$G$25</formula>
    </cfRule>
    <cfRule type="cellIs" dxfId="4629" priority="263" stopIfTrue="1" operator="lessThan">
      <formula>'1850'!$G$25</formula>
    </cfRule>
  </conditionalFormatting>
  <conditionalFormatting sqref="H26">
    <cfRule type="cellIs" dxfId="4628" priority="264" stopIfTrue="1" operator="equal">
      <formula>'1850'!$G$26</formula>
    </cfRule>
    <cfRule type="cellIs" dxfId="4627" priority="265" stopIfTrue="1" operator="lessThan">
      <formula>'1850'!$G$26</formula>
    </cfRule>
  </conditionalFormatting>
  <conditionalFormatting sqref="H27">
    <cfRule type="cellIs" dxfId="4626" priority="266" stopIfTrue="1" operator="equal">
      <formula>'1850'!$G$27</formula>
    </cfRule>
    <cfRule type="cellIs" dxfId="4625" priority="267" stopIfTrue="1" operator="lessThan">
      <formula>'1850'!$G$27</formula>
    </cfRule>
  </conditionalFormatting>
  <conditionalFormatting sqref="H28">
    <cfRule type="cellIs" dxfId="4624" priority="268" stopIfTrue="1" operator="equal">
      <formula>'1850'!$G$28</formula>
    </cfRule>
    <cfRule type="cellIs" dxfId="4623" priority="269" stopIfTrue="1" operator="lessThan">
      <formula>'1850'!$G$28</formula>
    </cfRule>
  </conditionalFormatting>
  <conditionalFormatting sqref="D24">
    <cfRule type="cellIs" dxfId="4622" priority="270" stopIfTrue="1" operator="equal">
      <formula>'1850'!$C$24</formula>
    </cfRule>
    <cfRule type="cellIs" dxfId="4621" priority="271" stopIfTrue="1" operator="lessThan">
      <formula>'1850'!$C$24</formula>
    </cfRule>
  </conditionalFormatting>
  <conditionalFormatting sqref="E24">
    <cfRule type="cellIs" dxfId="4620" priority="272" stopIfTrue="1" operator="equal">
      <formula>'1850'!$D$24</formula>
    </cfRule>
    <cfRule type="cellIs" dxfId="4619" priority="273" stopIfTrue="1" operator="lessThan">
      <formula>'1850'!$D$24</formula>
    </cfRule>
  </conditionalFormatting>
  <conditionalFormatting sqref="F24">
    <cfRule type="cellIs" dxfId="4618" priority="274" stopIfTrue="1" operator="equal">
      <formula>'1850'!$E$24</formula>
    </cfRule>
    <cfRule type="cellIs" dxfId="4617" priority="275" stopIfTrue="1" operator="lessThan">
      <formula>'1850'!$E$24</formula>
    </cfRule>
  </conditionalFormatting>
  <conditionalFormatting sqref="G24">
    <cfRule type="cellIs" dxfId="4616" priority="276" stopIfTrue="1" operator="equal">
      <formula>'1850'!$F$24</formula>
    </cfRule>
    <cfRule type="cellIs" dxfId="4615" priority="277" stopIfTrue="1" operator="lessThan">
      <formula>'1850'!$F$24</formula>
    </cfRule>
  </conditionalFormatting>
  <conditionalFormatting sqref="H24">
    <cfRule type="cellIs" dxfId="4614" priority="278" stopIfTrue="1" operator="equal">
      <formula>'1850'!$G$24</formula>
    </cfRule>
    <cfRule type="cellIs" dxfId="4613" priority="279" stopIfTrue="1" operator="lessThan">
      <formula>'1850'!$G$24</formula>
    </cfRule>
  </conditionalFormatting>
  <conditionalFormatting sqref="E5">
    <cfRule type="cellIs" dxfId="4612" priority="280" stopIfTrue="1" operator="equal">
      <formula>'1850'!$D$5</formula>
    </cfRule>
    <cfRule type="cellIs" dxfId="4611" priority="281" stopIfTrue="1" operator="lessThan">
      <formula>'1850'!$D$5</formula>
    </cfRule>
  </conditionalFormatting>
  <conditionalFormatting sqref="G5">
    <cfRule type="cellIs" dxfId="4610" priority="282" stopIfTrue="1" operator="equal">
      <formula>'1850'!$F$5</formula>
    </cfRule>
    <cfRule type="cellIs" dxfId="4609" priority="283" stopIfTrue="1" operator="lessThan">
      <formula>'1850'!$F$5</formula>
    </cfRule>
  </conditionalFormatting>
  <conditionalFormatting sqref="G4">
    <cfRule type="cellIs" dxfId="4608" priority="284" stopIfTrue="1" operator="equal">
      <formula>'1850'!$F$4</formula>
    </cfRule>
  </conditionalFormatting>
  <conditionalFormatting sqref="D29:H29 J29">
    <cfRule type="cellIs" dxfId="4607" priority="285" stopIfTrue="1" operator="equal">
      <formula>0</formula>
    </cfRule>
  </conditionalFormatting>
  <conditionalFormatting sqref="I13">
    <cfRule type="cellIs" dxfId="4606" priority="286" stopIfTrue="1" operator="equal">
      <formula>'1850'!$H$13</formula>
    </cfRule>
    <cfRule type="cellIs" dxfId="4605" priority="287" stopIfTrue="1" operator="lessThan">
      <formula>'1850'!$H$13</formula>
    </cfRule>
  </conditionalFormatting>
  <conditionalFormatting sqref="I14">
    <cfRule type="cellIs" dxfId="4604" priority="288" stopIfTrue="1" operator="equal">
      <formula>'1850'!$H$14</formula>
    </cfRule>
    <cfRule type="cellIs" dxfId="4603" priority="289" stopIfTrue="1" operator="lessThan">
      <formula>'1850'!$H$14</formula>
    </cfRule>
  </conditionalFormatting>
  <conditionalFormatting sqref="I15">
    <cfRule type="cellIs" dxfId="4602" priority="290" stopIfTrue="1" operator="equal">
      <formula>'1850'!$H$15</formula>
    </cfRule>
    <cfRule type="cellIs" dxfId="4601" priority="291" stopIfTrue="1" operator="lessThan">
      <formula>'1850'!$H$15</formula>
    </cfRule>
  </conditionalFormatting>
  <conditionalFormatting sqref="I16">
    <cfRule type="cellIs" dxfId="4600" priority="292" stopIfTrue="1" operator="equal">
      <formula>'1850'!$H$16</formula>
    </cfRule>
    <cfRule type="cellIs" dxfId="4599" priority="293" stopIfTrue="1" operator="lessThan">
      <formula>'1850'!$H$16</formula>
    </cfRule>
  </conditionalFormatting>
  <conditionalFormatting sqref="I17">
    <cfRule type="cellIs" dxfId="4598" priority="294" stopIfTrue="1" operator="equal">
      <formula>'1850'!$H$17</formula>
    </cfRule>
    <cfRule type="cellIs" dxfId="4597" priority="295" stopIfTrue="1" operator="lessThan">
      <formula>'1850'!$H$17</formula>
    </cfRule>
  </conditionalFormatting>
  <conditionalFormatting sqref="I18">
    <cfRule type="cellIs" dxfId="4596" priority="296" stopIfTrue="1" operator="equal">
      <formula>'1850'!$H$18</formula>
    </cfRule>
    <cfRule type="cellIs" dxfId="4595" priority="297" stopIfTrue="1" operator="lessThan">
      <formula>'1850'!$H$18</formula>
    </cfRule>
  </conditionalFormatting>
  <conditionalFormatting sqref="I19">
    <cfRule type="cellIs" dxfId="4594" priority="298" stopIfTrue="1" operator="equal">
      <formula>'1850'!$H$19</formula>
    </cfRule>
    <cfRule type="cellIs" dxfId="4593" priority="299" stopIfTrue="1" operator="lessThan">
      <formula>'1850'!$H$19</formula>
    </cfRule>
  </conditionalFormatting>
  <conditionalFormatting sqref="I20">
    <cfRule type="cellIs" dxfId="4592" priority="300" stopIfTrue="1" operator="equal">
      <formula>'1850'!$H$20</formula>
    </cfRule>
    <cfRule type="cellIs" dxfId="4591" priority="301" stopIfTrue="1" operator="lessThan">
      <formula>'1850'!$H$20</formula>
    </cfRule>
  </conditionalFormatting>
  <conditionalFormatting sqref="I21">
    <cfRule type="cellIs" dxfId="4590" priority="302" stopIfTrue="1" operator="equal">
      <formula>'1850'!$H$21</formula>
    </cfRule>
    <cfRule type="cellIs" dxfId="4589" priority="303" stopIfTrue="1" operator="lessThan">
      <formula>'1850'!$H$21</formula>
    </cfRule>
  </conditionalFormatting>
  <conditionalFormatting sqref="I22">
    <cfRule type="cellIs" dxfId="4588" priority="304" stopIfTrue="1" operator="equal">
      <formula>'1850'!$H$22</formula>
    </cfRule>
    <cfRule type="cellIs" dxfId="4587" priority="305" stopIfTrue="1" operator="lessThan">
      <formula>'1850'!$H$22</formula>
    </cfRule>
  </conditionalFormatting>
  <conditionalFormatting sqref="I23">
    <cfRule type="cellIs" dxfId="4586" priority="306" stopIfTrue="1" operator="equal">
      <formula>'1850'!$H$23</formula>
    </cfRule>
    <cfRule type="cellIs" dxfId="4585" priority="307" stopIfTrue="1" operator="lessThan">
      <formula>'1850'!$H$23</formula>
    </cfRule>
  </conditionalFormatting>
  <conditionalFormatting sqref="I24">
    <cfRule type="cellIs" dxfId="4584" priority="308" stopIfTrue="1" operator="equal">
      <formula>'1850'!$H$24</formula>
    </cfRule>
    <cfRule type="cellIs" dxfId="4583" priority="309" stopIfTrue="1" operator="lessThan">
      <formula>'1850'!$H$24</formula>
    </cfRule>
  </conditionalFormatting>
  <conditionalFormatting sqref="I25">
    <cfRule type="cellIs" dxfId="4582" priority="310" stopIfTrue="1" operator="equal">
      <formula>'1850'!$H$25</formula>
    </cfRule>
    <cfRule type="cellIs" dxfId="4581" priority="311" stopIfTrue="1" operator="lessThan">
      <formula>'1850'!$H$25</formula>
    </cfRule>
  </conditionalFormatting>
  <conditionalFormatting sqref="I26">
    <cfRule type="cellIs" dxfId="4580" priority="312" stopIfTrue="1" operator="equal">
      <formula>'1850'!$H$26</formula>
    </cfRule>
    <cfRule type="cellIs" dxfId="4579" priority="313" stopIfTrue="1" operator="lessThan">
      <formula>'1850'!$H$26</formula>
    </cfRule>
  </conditionalFormatting>
  <conditionalFormatting sqref="I27">
    <cfRule type="cellIs" dxfId="4578" priority="314" stopIfTrue="1" operator="equal">
      <formula>'1850'!$H$27</formula>
    </cfRule>
    <cfRule type="cellIs" dxfId="4577" priority="315" stopIfTrue="1" operator="lessThan">
      <formula>'1850'!$H$27</formula>
    </cfRule>
    <cfRule type="cellIs" dxfId="4576" priority="316" stopIfTrue="1" operator="lessThan">
      <formula>'1850'!$H$27</formula>
    </cfRule>
  </conditionalFormatting>
  <conditionalFormatting sqref="I28">
    <cfRule type="cellIs" dxfId="4575" priority="317" stopIfTrue="1" operator="equal">
      <formula>'1850'!$H$28</formula>
    </cfRule>
    <cfRule type="cellIs" dxfId="4574" priority="318" stopIfTrue="1" operator="lessThan">
      <formula>'1850'!$H$28</formula>
    </cfRule>
  </conditionalFormatting>
  <conditionalFormatting sqref="I29">
    <cfRule type="cellIs" dxfId="4573" priority="319" stopIfTrue="1" operator="equal">
      <formula>'1850'!$H$29</formula>
    </cfRule>
    <cfRule type="cellIs" dxfId="4572" priority="320" stopIfTrue="1" operator="lessThan">
      <formula>'1850'!$H$29</formula>
    </cfRule>
  </conditionalFormatting>
  <conditionalFormatting sqref="J13">
    <cfRule type="cellIs" dxfId="4571" priority="321" stopIfTrue="1" operator="equal">
      <formula>'1850'!$I$13</formula>
    </cfRule>
    <cfRule type="cellIs" dxfId="4570" priority="322" stopIfTrue="1" operator="lessThan">
      <formula>'1850'!$I$13</formula>
    </cfRule>
  </conditionalFormatting>
  <conditionalFormatting sqref="J14">
    <cfRule type="cellIs" dxfId="4569" priority="323" stopIfTrue="1" operator="equal">
      <formula>'1850'!$I$14</formula>
    </cfRule>
    <cfRule type="cellIs" dxfId="4568" priority="324" stopIfTrue="1" operator="lessThan">
      <formula>'1850'!$I$14</formula>
    </cfRule>
  </conditionalFormatting>
  <conditionalFormatting sqref="J15">
    <cfRule type="cellIs" dxfId="4567" priority="325" stopIfTrue="1" operator="equal">
      <formula>'1850'!$I$15</formula>
    </cfRule>
    <cfRule type="cellIs" dxfId="4566" priority="326" stopIfTrue="1" operator="lessThan">
      <formula>'1850'!$I$15</formula>
    </cfRule>
  </conditionalFormatting>
  <conditionalFormatting sqref="J16">
    <cfRule type="cellIs" dxfId="4565" priority="327" stopIfTrue="1" operator="equal">
      <formula>'1850'!$I$16</formula>
    </cfRule>
    <cfRule type="cellIs" dxfId="4564" priority="328" stopIfTrue="1" operator="lessThan">
      <formula>'1850'!$I$16</formula>
    </cfRule>
  </conditionalFormatting>
  <conditionalFormatting sqref="J17">
    <cfRule type="cellIs" dxfId="4563" priority="329" stopIfTrue="1" operator="equal">
      <formula>'1850'!$I$17</formula>
    </cfRule>
    <cfRule type="cellIs" dxfId="4562" priority="330" stopIfTrue="1" operator="lessThan">
      <formula>'1850'!$I$17</formula>
    </cfRule>
  </conditionalFormatting>
  <conditionalFormatting sqref="J18">
    <cfRule type="cellIs" dxfId="4561" priority="331" stopIfTrue="1" operator="equal">
      <formula>'1850'!$I$18</formula>
    </cfRule>
    <cfRule type="cellIs" dxfId="4560" priority="332" stopIfTrue="1" operator="lessThan">
      <formula>'1850'!$I$18</formula>
    </cfRule>
  </conditionalFormatting>
  <conditionalFormatting sqref="J19">
    <cfRule type="cellIs" dxfId="4559" priority="333" stopIfTrue="1" operator="equal">
      <formula>'1850'!$I$19</formula>
    </cfRule>
    <cfRule type="cellIs" dxfId="4558" priority="334" stopIfTrue="1" operator="lessThan">
      <formula>'1850'!$I$19</formula>
    </cfRule>
  </conditionalFormatting>
  <conditionalFormatting sqref="J20">
    <cfRule type="cellIs" dxfId="4557" priority="335" stopIfTrue="1" operator="equal">
      <formula>'1850'!$I$20</formula>
    </cfRule>
    <cfRule type="cellIs" dxfId="4556" priority="336" stopIfTrue="1" operator="lessThan">
      <formula>'1850'!$I$20</formula>
    </cfRule>
  </conditionalFormatting>
  <conditionalFormatting sqref="J21">
    <cfRule type="cellIs" dxfId="4555" priority="337" stopIfTrue="1" operator="equal">
      <formula>'1850'!$I$21</formula>
    </cfRule>
    <cfRule type="cellIs" dxfId="4554" priority="338" stopIfTrue="1" operator="lessThan">
      <formula>'1850'!$I$21</formula>
    </cfRule>
  </conditionalFormatting>
  <conditionalFormatting sqref="J22">
    <cfRule type="cellIs" dxfId="4553" priority="339" stopIfTrue="1" operator="equal">
      <formula>'1850'!$I$22</formula>
    </cfRule>
    <cfRule type="cellIs" dxfId="4552" priority="340" stopIfTrue="1" operator="lessThan">
      <formula>'1850'!$I$22</formula>
    </cfRule>
  </conditionalFormatting>
  <conditionalFormatting sqref="J23">
    <cfRule type="cellIs" dxfId="4551" priority="341" stopIfTrue="1" operator="equal">
      <formula>'1850'!$I$23</formula>
    </cfRule>
    <cfRule type="cellIs" dxfId="4550" priority="342" stopIfTrue="1" operator="lessThan">
      <formula>'1850'!$I$23</formula>
    </cfRule>
  </conditionalFormatting>
  <conditionalFormatting sqref="J24">
    <cfRule type="cellIs" dxfId="4549" priority="343" stopIfTrue="1" operator="equal">
      <formula>'1850'!$I$24</formula>
    </cfRule>
    <cfRule type="cellIs" dxfId="4548" priority="344" stopIfTrue="1" operator="lessThan">
      <formula>'1850'!$I$24</formula>
    </cfRule>
  </conditionalFormatting>
  <conditionalFormatting sqref="J25">
    <cfRule type="cellIs" dxfId="4547" priority="345" stopIfTrue="1" operator="equal">
      <formula>'1850'!$I$25</formula>
    </cfRule>
    <cfRule type="cellIs" dxfId="4546" priority="346" stopIfTrue="1" operator="lessThan">
      <formula>'1850'!$I$25</formula>
    </cfRule>
  </conditionalFormatting>
  <conditionalFormatting sqref="J26">
    <cfRule type="cellIs" dxfId="4545" priority="347" stopIfTrue="1" operator="equal">
      <formula>'1850'!$I$26</formula>
    </cfRule>
    <cfRule type="cellIs" dxfId="4544" priority="348" stopIfTrue="1" operator="lessThan">
      <formula>'1850'!$I$26</formula>
    </cfRule>
  </conditionalFormatting>
  <conditionalFormatting sqref="J27">
    <cfRule type="cellIs" dxfId="4543" priority="349" stopIfTrue="1" operator="equal">
      <formula>'1850'!$I$27</formula>
    </cfRule>
    <cfRule type="cellIs" dxfId="4542" priority="350" stopIfTrue="1" operator="lessThan">
      <formula>'1850'!$I$27</formula>
    </cfRule>
  </conditionalFormatting>
  <conditionalFormatting sqref="J28">
    <cfRule type="cellIs" dxfId="4541" priority="351" stopIfTrue="1" operator="equal">
      <formula>'1850'!$I$28</formula>
    </cfRule>
    <cfRule type="cellIs" dxfId="4540" priority="352" stopIfTrue="1" operator="lessThan">
      <formula>'1850'!$I$28</formula>
    </cfRule>
  </conditionalFormatting>
  <conditionalFormatting sqref="K4">
    <cfRule type="cellIs" dxfId="4539" priority="353" stopIfTrue="1" operator="equal">
      <formula>'1850'!$J$4</formula>
    </cfRule>
    <cfRule type="cellIs" dxfId="4538" priority="354" stopIfTrue="1" operator="lessThan">
      <formula>'1850'!$J$4</formula>
    </cfRule>
  </conditionalFormatting>
  <conditionalFormatting sqref="K5">
    <cfRule type="cellIs" dxfId="4537" priority="355" stopIfTrue="1" operator="equal">
      <formula>'1850'!$J$5</formula>
    </cfRule>
    <cfRule type="cellIs" dxfId="4536" priority="356" stopIfTrue="1" operator="lessThan">
      <formula>'1850'!$J$5</formula>
    </cfRule>
  </conditionalFormatting>
  <conditionalFormatting sqref="K6">
    <cfRule type="cellIs" dxfId="4535" priority="357" stopIfTrue="1" operator="equal">
      <formula>'1850'!$J$6</formula>
    </cfRule>
    <cfRule type="cellIs" dxfId="4534" priority="358" stopIfTrue="1" operator="lessThan">
      <formula>'1850'!$J$6</formula>
    </cfRule>
  </conditionalFormatting>
  <conditionalFormatting sqref="K7">
    <cfRule type="cellIs" dxfId="4533" priority="359" stopIfTrue="1" operator="equal">
      <formula>'1850'!$J$7</formula>
    </cfRule>
    <cfRule type="cellIs" dxfId="4532" priority="360" stopIfTrue="1" operator="lessThan">
      <formula>'1850'!$J$7</formula>
    </cfRule>
  </conditionalFormatting>
  <conditionalFormatting sqref="K8">
    <cfRule type="cellIs" dxfId="4531" priority="361" stopIfTrue="1" operator="equal">
      <formula>'1850'!$J$8</formula>
    </cfRule>
    <cfRule type="cellIs" dxfId="4530" priority="362" stopIfTrue="1" operator="lessThan">
      <formula>'1850'!$J$8</formula>
    </cfRule>
  </conditionalFormatting>
  <conditionalFormatting sqref="K9">
    <cfRule type="cellIs" dxfId="4529" priority="363" stopIfTrue="1" operator="equal">
      <formula>'1850'!$J$9</formula>
    </cfRule>
    <cfRule type="cellIs" dxfId="4528" priority="364" stopIfTrue="1" operator="lessThan">
      <formula>'1850'!$J$9</formula>
    </cfRule>
  </conditionalFormatting>
  <conditionalFormatting sqref="K10">
    <cfRule type="cellIs" dxfId="4527" priority="365" stopIfTrue="1" operator="equal">
      <formula>'1850'!$J$10</formula>
    </cfRule>
    <cfRule type="cellIs" dxfId="4526" priority="366" stopIfTrue="1" operator="lessThan">
      <formula>'1850'!$J$10</formula>
    </cfRule>
  </conditionalFormatting>
  <conditionalFormatting sqref="K11">
    <cfRule type="cellIs" dxfId="4525" priority="367" stopIfTrue="1" operator="equal">
      <formula>'1850'!$J$11</formula>
    </cfRule>
    <cfRule type="cellIs" dxfId="4524" priority="368" stopIfTrue="1" operator="lessThan">
      <formula>'1850'!$J$11</formula>
    </cfRule>
  </conditionalFormatting>
  <conditionalFormatting sqref="K12">
    <cfRule type="cellIs" dxfId="4523" priority="369" stopIfTrue="1" operator="equal">
      <formula>'1850'!$J$12</formula>
    </cfRule>
    <cfRule type="cellIs" dxfId="4522" priority="370" stopIfTrue="1" operator="lessThan">
      <formula>'1850'!$J$12</formula>
    </cfRule>
  </conditionalFormatting>
  <conditionalFormatting sqref="K13">
    <cfRule type="cellIs" dxfId="4521" priority="371" stopIfTrue="1" operator="equal">
      <formula>'1850'!$J$13</formula>
    </cfRule>
    <cfRule type="cellIs" dxfId="4520" priority="372" stopIfTrue="1" operator="lessThan">
      <formula>'1850'!$J$13</formula>
    </cfRule>
  </conditionalFormatting>
  <conditionalFormatting sqref="K14">
    <cfRule type="cellIs" dxfId="4519" priority="373" stopIfTrue="1" operator="equal">
      <formula>'1850'!$J$14</formula>
    </cfRule>
    <cfRule type="cellIs" dxfId="4518" priority="374" stopIfTrue="1" operator="lessThan">
      <formula>'1850'!$J$14</formula>
    </cfRule>
  </conditionalFormatting>
  <conditionalFormatting sqref="K15">
    <cfRule type="cellIs" dxfId="4517" priority="375" stopIfTrue="1" operator="equal">
      <formula>'1850'!$J$15</formula>
    </cfRule>
    <cfRule type="cellIs" dxfId="4516" priority="376" stopIfTrue="1" operator="lessThan">
      <formula>'1850'!$J$15</formula>
    </cfRule>
  </conditionalFormatting>
  <conditionalFormatting sqref="K16">
    <cfRule type="cellIs" dxfId="4515" priority="377" stopIfTrue="1" operator="equal">
      <formula>'1850'!$J$16</formula>
    </cfRule>
    <cfRule type="cellIs" dxfId="4514" priority="378" stopIfTrue="1" operator="lessThan">
      <formula>'1850'!$J$16</formula>
    </cfRule>
  </conditionalFormatting>
  <conditionalFormatting sqref="K17">
    <cfRule type="cellIs" dxfId="4513" priority="379" stopIfTrue="1" operator="equal">
      <formula>'1850'!$J$17</formula>
    </cfRule>
    <cfRule type="cellIs" dxfId="4512" priority="380" stopIfTrue="1" operator="lessThan">
      <formula>'1850'!$J$17</formula>
    </cfRule>
  </conditionalFormatting>
  <conditionalFormatting sqref="K18">
    <cfRule type="cellIs" dxfId="4511" priority="381" stopIfTrue="1" operator="equal">
      <formula>'1850'!$J$18</formula>
    </cfRule>
    <cfRule type="cellIs" dxfId="4510" priority="382" stopIfTrue="1" operator="lessThan">
      <formula>'1850'!$J$18</formula>
    </cfRule>
  </conditionalFormatting>
  <conditionalFormatting sqref="K19">
    <cfRule type="cellIs" dxfId="4509" priority="383" stopIfTrue="1" operator="equal">
      <formula>'1850'!$J$19</formula>
    </cfRule>
    <cfRule type="cellIs" dxfId="4508" priority="384" stopIfTrue="1" operator="lessThan">
      <formula>'1850'!$J$19</formula>
    </cfRule>
  </conditionalFormatting>
  <conditionalFormatting sqref="K20">
    <cfRule type="cellIs" dxfId="4507" priority="385" stopIfTrue="1" operator="equal">
      <formula>'1850'!$J$20</formula>
    </cfRule>
    <cfRule type="cellIs" dxfId="4506" priority="386" stopIfTrue="1" operator="lessThan">
      <formula>'1850'!$J$20</formula>
    </cfRule>
  </conditionalFormatting>
  <conditionalFormatting sqref="K21">
    <cfRule type="cellIs" dxfId="4505" priority="387" stopIfTrue="1" operator="equal">
      <formula>'1850'!$J$21</formula>
    </cfRule>
    <cfRule type="cellIs" dxfId="4504" priority="388" stopIfTrue="1" operator="lessThan">
      <formula>'1850'!$J$21</formula>
    </cfRule>
  </conditionalFormatting>
  <conditionalFormatting sqref="K22">
    <cfRule type="cellIs" dxfId="4503" priority="389" stopIfTrue="1" operator="equal">
      <formula>'1850'!$J$22</formula>
    </cfRule>
    <cfRule type="cellIs" dxfId="4502" priority="390" stopIfTrue="1" operator="lessThan">
      <formula>'1850'!$J$22</formula>
    </cfRule>
  </conditionalFormatting>
  <conditionalFormatting sqref="K23">
    <cfRule type="cellIs" dxfId="4501" priority="391" stopIfTrue="1" operator="equal">
      <formula>'1850'!$J$23</formula>
    </cfRule>
    <cfRule type="cellIs" dxfId="4500" priority="392" stopIfTrue="1" operator="lessThan">
      <formula>'1850'!$J$23</formula>
    </cfRule>
  </conditionalFormatting>
  <conditionalFormatting sqref="K24">
    <cfRule type="cellIs" dxfId="4499" priority="393" stopIfTrue="1" operator="equal">
      <formula>'1850'!$J$24</formula>
    </cfRule>
    <cfRule type="cellIs" dxfId="4498" priority="394" stopIfTrue="1" operator="lessThan">
      <formula>'1850'!$J$24</formula>
    </cfRule>
  </conditionalFormatting>
  <conditionalFormatting sqref="K25">
    <cfRule type="cellIs" dxfId="4497" priority="395" stopIfTrue="1" operator="equal">
      <formula>'1850'!$J$25</formula>
    </cfRule>
    <cfRule type="cellIs" dxfId="4496" priority="396" stopIfTrue="1" operator="lessThan">
      <formula>'1850'!$J$25</formula>
    </cfRule>
  </conditionalFormatting>
  <conditionalFormatting sqref="K26">
    <cfRule type="cellIs" dxfId="4495" priority="397" stopIfTrue="1" operator="equal">
      <formula>'1850'!$J$26</formula>
    </cfRule>
    <cfRule type="cellIs" dxfId="4494" priority="398" stopIfTrue="1" operator="lessThan">
      <formula>'1850'!$J$26</formula>
    </cfRule>
  </conditionalFormatting>
  <conditionalFormatting sqref="K27">
    <cfRule type="cellIs" dxfId="4493" priority="399" stopIfTrue="1" operator="equal">
      <formula>'1850'!$J$27</formula>
    </cfRule>
    <cfRule type="cellIs" dxfId="4492" priority="400" stopIfTrue="1" operator="lessThan">
      <formula>'1850'!$J$27</formula>
    </cfRule>
  </conditionalFormatting>
  <conditionalFormatting sqref="K28">
    <cfRule type="cellIs" dxfId="4491" priority="401" stopIfTrue="1" operator="lessThan">
      <formula>'1850'!$J$28</formula>
    </cfRule>
    <cfRule type="cellIs" dxfId="4490" priority="402" stopIfTrue="1" operator="equal">
      <formula>'1850'!$J$28</formula>
    </cfRule>
  </conditionalFormatting>
  <conditionalFormatting sqref="K29">
    <cfRule type="cellIs" dxfId="4489" priority="403" stopIfTrue="1" operator="equal">
      <formula>'1850'!$J$29</formula>
    </cfRule>
    <cfRule type="cellIs" dxfId="4488" priority="404" stopIfTrue="1" operator="lessThan">
      <formula>'1850'!$J$29</formula>
    </cfRule>
  </conditionalFormatting>
  <conditionalFormatting sqref="L4:M4">
    <cfRule type="cellIs" dxfId="4487" priority="405" stopIfTrue="1" operator="equal">
      <formula>'1850'!$K$4</formula>
    </cfRule>
    <cfRule type="cellIs" dxfId="4486" priority="406" stopIfTrue="1" operator="lessThan">
      <formula>'1850'!$K$4</formula>
    </cfRule>
  </conditionalFormatting>
  <conditionalFormatting sqref="L5:M5">
    <cfRule type="cellIs" dxfId="4485" priority="407" stopIfTrue="1" operator="equal">
      <formula>'1850'!$K$5</formula>
    </cfRule>
    <cfRule type="cellIs" dxfId="4484" priority="408" stopIfTrue="1" operator="lessThan">
      <formula>'1850'!$K$5</formula>
    </cfRule>
  </conditionalFormatting>
  <conditionalFormatting sqref="L6:M6">
    <cfRule type="cellIs" dxfId="4483" priority="409" stopIfTrue="1" operator="equal">
      <formula>'1850'!$K$6</formula>
    </cfRule>
    <cfRule type="cellIs" dxfId="4482" priority="410" stopIfTrue="1" operator="lessThan">
      <formula>'1850'!$K$6</formula>
    </cfRule>
  </conditionalFormatting>
  <conditionalFormatting sqref="L7:M7">
    <cfRule type="cellIs" dxfId="4481" priority="411" stopIfTrue="1" operator="equal">
      <formula>'1850'!$K$7</formula>
    </cfRule>
    <cfRule type="cellIs" dxfId="4480" priority="412" stopIfTrue="1" operator="lessThan">
      <formula>'1850'!$K$7</formula>
    </cfRule>
  </conditionalFormatting>
  <conditionalFormatting sqref="L8:M8">
    <cfRule type="cellIs" dxfId="4479" priority="413" stopIfTrue="1" operator="equal">
      <formula>'1850'!$K$8</formula>
    </cfRule>
    <cfRule type="cellIs" dxfId="4478" priority="414" stopIfTrue="1" operator="lessThan">
      <formula>'1850'!$K$8</formula>
    </cfRule>
  </conditionalFormatting>
  <conditionalFormatting sqref="L9:M9">
    <cfRule type="cellIs" dxfId="4477" priority="415" stopIfTrue="1" operator="equal">
      <formula>'1850'!$K$9</formula>
    </cfRule>
    <cfRule type="cellIs" dxfId="4476" priority="416" stopIfTrue="1" operator="lessThan">
      <formula>'1850'!$K$9</formula>
    </cfRule>
  </conditionalFormatting>
  <conditionalFormatting sqref="L10:M10">
    <cfRule type="cellIs" dxfId="4475" priority="417" stopIfTrue="1" operator="equal">
      <formula>'1850'!$K$10</formula>
    </cfRule>
    <cfRule type="cellIs" dxfId="4474" priority="418" stopIfTrue="1" operator="lessThan">
      <formula>'1850'!$K$10</formula>
    </cfRule>
  </conditionalFormatting>
  <conditionalFormatting sqref="L12:M12">
    <cfRule type="cellIs" dxfId="4473" priority="419" stopIfTrue="1" operator="equal">
      <formula>'1850'!$K$12</formula>
    </cfRule>
    <cfRule type="cellIs" dxfId="4472" priority="420" stopIfTrue="1" operator="lessThan">
      <formula>'1850'!$K$12</formula>
    </cfRule>
  </conditionalFormatting>
  <conditionalFormatting sqref="L13:M13">
    <cfRule type="cellIs" dxfId="4471" priority="421" stopIfTrue="1" operator="equal">
      <formula>'1850'!$K$13</formula>
    </cfRule>
    <cfRule type="cellIs" dxfId="4470" priority="422" stopIfTrue="1" operator="lessThan">
      <formula>'1850'!$K$13</formula>
    </cfRule>
  </conditionalFormatting>
  <conditionalFormatting sqref="L14:M14">
    <cfRule type="cellIs" dxfId="4469" priority="423" stopIfTrue="1" operator="equal">
      <formula>'1850'!$K$14</formula>
    </cfRule>
    <cfRule type="cellIs" dxfId="4468" priority="424" stopIfTrue="1" operator="lessThan">
      <formula>'1850'!$K$14</formula>
    </cfRule>
  </conditionalFormatting>
  <conditionalFormatting sqref="L15:M15">
    <cfRule type="cellIs" dxfId="4467" priority="425" stopIfTrue="1" operator="equal">
      <formula>'1850'!$K$15</formula>
    </cfRule>
    <cfRule type="cellIs" dxfId="4466" priority="426" stopIfTrue="1" operator="lessThan">
      <formula>'1850'!$K$15</formula>
    </cfRule>
  </conditionalFormatting>
  <conditionalFormatting sqref="L16:M16">
    <cfRule type="cellIs" dxfId="4465" priority="427" stopIfTrue="1" operator="equal">
      <formula>'1850'!$K$16</formula>
    </cfRule>
    <cfRule type="cellIs" dxfId="4464" priority="428" stopIfTrue="1" operator="lessThan">
      <formula>'1850'!$K$16</formula>
    </cfRule>
  </conditionalFormatting>
  <conditionalFormatting sqref="L17:M17">
    <cfRule type="cellIs" dxfId="4463" priority="429" stopIfTrue="1" operator="equal">
      <formula>'1850'!$K$17</formula>
    </cfRule>
    <cfRule type="cellIs" dxfId="4462" priority="430" stopIfTrue="1" operator="lessThan">
      <formula>'1850'!$K$17</formula>
    </cfRule>
  </conditionalFormatting>
  <conditionalFormatting sqref="L18:M18">
    <cfRule type="cellIs" dxfId="4461" priority="431" stopIfTrue="1" operator="equal">
      <formula>'1850'!$K$18</formula>
    </cfRule>
    <cfRule type="cellIs" dxfId="4460" priority="432" stopIfTrue="1" operator="lessThan">
      <formula>'1850'!$K$18</formula>
    </cfRule>
  </conditionalFormatting>
  <conditionalFormatting sqref="L19:M19">
    <cfRule type="cellIs" dxfId="4459" priority="433" stopIfTrue="1" operator="equal">
      <formula>'1850'!$K$19</formula>
    </cfRule>
    <cfRule type="cellIs" dxfId="4458" priority="434" stopIfTrue="1" operator="lessThan">
      <formula>'1850'!$K$19</formula>
    </cfRule>
  </conditionalFormatting>
  <conditionalFormatting sqref="L20:M20">
    <cfRule type="cellIs" dxfId="4457" priority="435" stopIfTrue="1" operator="equal">
      <formula>'1850'!$K$20</formula>
    </cfRule>
    <cfRule type="cellIs" dxfId="4456" priority="436" stopIfTrue="1" operator="lessThan">
      <formula>'1850'!$K$20</formula>
    </cfRule>
  </conditionalFormatting>
  <conditionalFormatting sqref="L21:M21">
    <cfRule type="cellIs" dxfId="4455" priority="437" stopIfTrue="1" operator="equal">
      <formula>'1850'!$K$21</formula>
    </cfRule>
    <cfRule type="cellIs" dxfId="4454" priority="438" stopIfTrue="1" operator="lessThan">
      <formula>'1850'!$K$21</formula>
    </cfRule>
  </conditionalFormatting>
  <conditionalFormatting sqref="L11:M11">
    <cfRule type="cellIs" dxfId="4453" priority="439" stopIfTrue="1" operator="equal">
      <formula>'1850'!$K$11</formula>
    </cfRule>
    <cfRule type="cellIs" dxfId="4452" priority="440" stopIfTrue="1" operator="lessThan">
      <formula>'1850'!$K$11</formula>
    </cfRule>
  </conditionalFormatting>
  <conditionalFormatting sqref="L22:M22">
    <cfRule type="cellIs" dxfId="4451" priority="441" stopIfTrue="1" operator="equal">
      <formula>'1850'!$K$22</formula>
    </cfRule>
    <cfRule type="cellIs" dxfId="4450" priority="442" stopIfTrue="1" operator="lessThan">
      <formula>'1850'!$K$22</formula>
    </cfRule>
  </conditionalFormatting>
  <conditionalFormatting sqref="L23:M23">
    <cfRule type="cellIs" dxfId="4449" priority="443" stopIfTrue="1" operator="equal">
      <formula>'1850'!$K$23</formula>
    </cfRule>
    <cfRule type="cellIs" dxfId="4448" priority="444" stopIfTrue="1" operator="lessThan">
      <formula>'1850'!$K$23</formula>
    </cfRule>
  </conditionalFormatting>
  <conditionalFormatting sqref="L24:M24">
    <cfRule type="cellIs" dxfId="4447" priority="445" stopIfTrue="1" operator="equal">
      <formula>'1850'!$K$24</formula>
    </cfRule>
    <cfRule type="cellIs" dxfId="4446" priority="446" stopIfTrue="1" operator="lessThan">
      <formula>'1850'!$K$24</formula>
    </cfRule>
  </conditionalFormatting>
  <conditionalFormatting sqref="L25:M25">
    <cfRule type="cellIs" dxfId="4445" priority="447" stopIfTrue="1" operator="equal">
      <formula>'1850'!$K$25</formula>
    </cfRule>
    <cfRule type="cellIs" dxfId="4444" priority="448" stopIfTrue="1" operator="lessThan">
      <formula>'1850'!$K$25</formula>
    </cfRule>
  </conditionalFormatting>
  <conditionalFormatting sqref="L26:M26">
    <cfRule type="cellIs" dxfId="4443" priority="449" stopIfTrue="1" operator="equal">
      <formula>'1850'!$K$26</formula>
    </cfRule>
    <cfRule type="cellIs" dxfId="4442" priority="450" stopIfTrue="1" operator="lessThan">
      <formula>'1850'!$K$26</formula>
    </cfRule>
  </conditionalFormatting>
  <conditionalFormatting sqref="L27:M27">
    <cfRule type="cellIs" dxfId="4441" priority="451" stopIfTrue="1" operator="equal">
      <formula>'1850'!$K$27</formula>
    </cfRule>
    <cfRule type="cellIs" dxfId="4440" priority="452" stopIfTrue="1" operator="lessThan">
      <formula>'1850'!$K$27</formula>
    </cfRule>
  </conditionalFormatting>
  <conditionalFormatting sqref="L28:M28">
    <cfRule type="cellIs" dxfId="4439" priority="453" stopIfTrue="1" operator="equal">
      <formula>'1850'!$K$28</formula>
    </cfRule>
    <cfRule type="cellIs" dxfId="4438" priority="454" stopIfTrue="1" operator="lessThan">
      <formula>'1850'!$K$28</formula>
    </cfRule>
  </conditionalFormatting>
  <conditionalFormatting sqref="L29:M29">
    <cfRule type="cellIs" dxfId="4437" priority="455" stopIfTrue="1" operator="equal">
      <formula>'1850'!$K$29</formula>
    </cfRule>
    <cfRule type="cellIs" dxfId="4436" priority="456" stopIfTrue="1" operator="lessThan">
      <formula>'1850'!$K$29</formula>
    </cfRule>
  </conditionalFormatting>
  <conditionalFormatting sqref="N4">
    <cfRule type="cellIs" dxfId="4435" priority="457" stopIfTrue="1" operator="lessThan">
      <formula>'1850'!$L$4</formula>
    </cfRule>
    <cfRule type="cellIs" dxfId="4434" priority="458" stopIfTrue="1" operator="equal">
      <formula>'1850'!$L$4</formula>
    </cfRule>
  </conditionalFormatting>
  <conditionalFormatting sqref="N5">
    <cfRule type="cellIs" dxfId="4433" priority="459" stopIfTrue="1" operator="equal">
      <formula>'1850'!$L$5</formula>
    </cfRule>
    <cfRule type="cellIs" dxfId="4432" priority="460" stopIfTrue="1" operator="lessThan">
      <formula>'1850'!$L$5</formula>
    </cfRule>
  </conditionalFormatting>
  <conditionalFormatting sqref="N6">
    <cfRule type="cellIs" dxfId="4431" priority="461" stopIfTrue="1" operator="equal">
      <formula>'1850'!$L$6</formula>
    </cfRule>
    <cfRule type="cellIs" dxfId="4430" priority="462" stopIfTrue="1" operator="lessThan">
      <formula>'1850'!$L$6</formula>
    </cfRule>
  </conditionalFormatting>
  <conditionalFormatting sqref="N7">
    <cfRule type="cellIs" dxfId="4429" priority="463" stopIfTrue="1" operator="equal">
      <formula>'1850'!$L$7</formula>
    </cfRule>
    <cfRule type="cellIs" dxfId="4428" priority="464" stopIfTrue="1" operator="lessThan">
      <formula>'1850'!$L$7</formula>
    </cfRule>
  </conditionalFormatting>
  <conditionalFormatting sqref="N8">
    <cfRule type="cellIs" dxfId="4427" priority="465" stopIfTrue="1" operator="equal">
      <formula>'1850'!$L$8</formula>
    </cfRule>
    <cfRule type="cellIs" dxfId="4426" priority="466" stopIfTrue="1" operator="lessThan">
      <formula>'1850'!$L$8</formula>
    </cfRule>
  </conditionalFormatting>
  <conditionalFormatting sqref="N9">
    <cfRule type="cellIs" dxfId="4425" priority="467" stopIfTrue="1" operator="equal">
      <formula>'1850'!$L$9</formula>
    </cfRule>
    <cfRule type="cellIs" dxfId="4424" priority="468" stopIfTrue="1" operator="lessThan">
      <formula>'1850'!$L$9</formula>
    </cfRule>
  </conditionalFormatting>
  <conditionalFormatting sqref="N10">
    <cfRule type="cellIs" dxfId="4423" priority="469" stopIfTrue="1" operator="equal">
      <formula>'1850'!$L$10</formula>
    </cfRule>
    <cfRule type="cellIs" dxfId="4422" priority="470" stopIfTrue="1" operator="lessThan">
      <formula>'1850'!$L$10</formula>
    </cfRule>
  </conditionalFormatting>
  <conditionalFormatting sqref="N11">
    <cfRule type="cellIs" dxfId="4421" priority="471" stopIfTrue="1" operator="equal">
      <formula>'1850'!$L$11</formula>
    </cfRule>
    <cfRule type="cellIs" dxfId="4420" priority="472" stopIfTrue="1" operator="lessThan">
      <formula>'1850'!$L$11</formula>
    </cfRule>
  </conditionalFormatting>
  <conditionalFormatting sqref="N12">
    <cfRule type="cellIs" dxfId="4419" priority="473" stopIfTrue="1" operator="equal">
      <formula>'1850'!$L$12</formula>
    </cfRule>
    <cfRule type="cellIs" dxfId="4418" priority="474" stopIfTrue="1" operator="lessThan">
      <formula>'1850'!$L$12</formula>
    </cfRule>
  </conditionalFormatting>
  <conditionalFormatting sqref="N13">
    <cfRule type="cellIs" dxfId="4417" priority="475" stopIfTrue="1" operator="equal">
      <formula>'1850'!$L$13</formula>
    </cfRule>
    <cfRule type="cellIs" dxfId="4416" priority="476" stopIfTrue="1" operator="lessThan">
      <formula>'1850'!$L$13</formula>
    </cfRule>
  </conditionalFormatting>
  <conditionalFormatting sqref="N14">
    <cfRule type="cellIs" dxfId="4415" priority="477" stopIfTrue="1" operator="equal">
      <formula>'1850'!$L$14</formula>
    </cfRule>
    <cfRule type="cellIs" dxfId="4414" priority="478" stopIfTrue="1" operator="lessThan">
      <formula>'1850'!$L$14</formula>
    </cfRule>
  </conditionalFormatting>
  <conditionalFormatting sqref="N15">
    <cfRule type="cellIs" dxfId="4413" priority="479" stopIfTrue="1" operator="equal">
      <formula>'1850'!$L$15</formula>
    </cfRule>
    <cfRule type="cellIs" dxfId="4412" priority="480" stopIfTrue="1" operator="lessThan">
      <formula>'1850'!$L$15</formula>
    </cfRule>
  </conditionalFormatting>
  <conditionalFormatting sqref="N16">
    <cfRule type="cellIs" dxfId="4411" priority="481" stopIfTrue="1" operator="equal">
      <formula>'1850'!$L$16</formula>
    </cfRule>
    <cfRule type="cellIs" dxfId="4410" priority="482" stopIfTrue="1" operator="lessThan">
      <formula>'1850'!$L$16</formula>
    </cfRule>
  </conditionalFormatting>
  <conditionalFormatting sqref="N17">
    <cfRule type="cellIs" dxfId="4409" priority="483" stopIfTrue="1" operator="equal">
      <formula>'1850'!$L$17</formula>
    </cfRule>
    <cfRule type="cellIs" dxfId="4408" priority="484" stopIfTrue="1" operator="lessThan">
      <formula>'1850'!$L$17</formula>
    </cfRule>
  </conditionalFormatting>
  <conditionalFormatting sqref="N18">
    <cfRule type="cellIs" dxfId="4407" priority="485" stopIfTrue="1" operator="equal">
      <formula>'1850'!$L$18</formula>
    </cfRule>
    <cfRule type="cellIs" dxfId="4406" priority="486" stopIfTrue="1" operator="lessThan">
      <formula>'1850'!$L$18</formula>
    </cfRule>
  </conditionalFormatting>
  <conditionalFormatting sqref="N19">
    <cfRule type="cellIs" dxfId="4405" priority="487" stopIfTrue="1" operator="equal">
      <formula>'1850'!$L$19</formula>
    </cfRule>
    <cfRule type="cellIs" dxfId="4404" priority="488" stopIfTrue="1" operator="lessThan">
      <formula>'1850'!$L$19</formula>
    </cfRule>
  </conditionalFormatting>
  <conditionalFormatting sqref="N20">
    <cfRule type="cellIs" dxfId="4403" priority="489" stopIfTrue="1" operator="equal">
      <formula>'1850'!$L$20</formula>
    </cfRule>
    <cfRule type="cellIs" dxfId="4402" priority="490" stopIfTrue="1" operator="lessThan">
      <formula>'1850'!$L$20</formula>
    </cfRule>
  </conditionalFormatting>
  <conditionalFormatting sqref="N21">
    <cfRule type="cellIs" dxfId="4401" priority="491" stopIfTrue="1" operator="equal">
      <formula>'1850'!$L$21</formula>
    </cfRule>
    <cfRule type="cellIs" dxfId="4400" priority="492" stopIfTrue="1" operator="lessThan">
      <formula>'1850'!$L$21</formula>
    </cfRule>
  </conditionalFormatting>
  <conditionalFormatting sqref="N22">
    <cfRule type="cellIs" dxfId="4399" priority="493" stopIfTrue="1" operator="equal">
      <formula>'1850'!$L$22</formula>
    </cfRule>
    <cfRule type="cellIs" dxfId="4398" priority="494" stopIfTrue="1" operator="lessThan">
      <formula>'1850'!$L$22</formula>
    </cfRule>
  </conditionalFormatting>
  <conditionalFormatting sqref="N23">
    <cfRule type="cellIs" dxfId="4397" priority="495" stopIfTrue="1" operator="equal">
      <formula>'1850'!$L$23</formula>
    </cfRule>
    <cfRule type="cellIs" dxfId="4396" priority="496" stopIfTrue="1" operator="lessThan">
      <formula>'1850'!$L$23</formula>
    </cfRule>
  </conditionalFormatting>
  <conditionalFormatting sqref="N24">
    <cfRule type="cellIs" dxfId="4395" priority="497" stopIfTrue="1" operator="equal">
      <formula>'1850'!$L$24</formula>
    </cfRule>
    <cfRule type="cellIs" dxfId="4394" priority="498" stopIfTrue="1" operator="lessThan">
      <formula>'1850'!$L$24</formula>
    </cfRule>
  </conditionalFormatting>
  <conditionalFormatting sqref="N25">
    <cfRule type="cellIs" dxfId="4393" priority="499" stopIfTrue="1" operator="equal">
      <formula>'1850'!$L$25</formula>
    </cfRule>
    <cfRule type="cellIs" dxfId="4392" priority="500" stopIfTrue="1" operator="lessThan">
      <formula>'1850'!$L$25</formula>
    </cfRule>
  </conditionalFormatting>
  <conditionalFormatting sqref="N26">
    <cfRule type="cellIs" dxfId="4391" priority="501" stopIfTrue="1" operator="equal">
      <formula>'1850'!$L$26</formula>
    </cfRule>
    <cfRule type="cellIs" dxfId="4390" priority="502" stopIfTrue="1" operator="lessThan">
      <formula>'1850'!$L$26</formula>
    </cfRule>
  </conditionalFormatting>
  <conditionalFormatting sqref="N27">
    <cfRule type="cellIs" dxfId="4389" priority="503" stopIfTrue="1" operator="equal">
      <formula>'1850'!$L$27</formula>
    </cfRule>
    <cfRule type="cellIs" dxfId="4388" priority="504" stopIfTrue="1" operator="lessThan">
      <formula>'1850'!$L$27</formula>
    </cfRule>
  </conditionalFormatting>
  <conditionalFormatting sqref="N28">
    <cfRule type="cellIs" dxfId="4387" priority="505" stopIfTrue="1" operator="equal">
      <formula>'1850'!$L$28</formula>
    </cfRule>
    <cfRule type="cellIs" dxfId="4386" priority="506" stopIfTrue="1" operator="lessThan">
      <formula>'1850'!$L$28</formula>
    </cfRule>
  </conditionalFormatting>
  <conditionalFormatting sqref="N29">
    <cfRule type="cellIs" dxfId="4385" priority="507" stopIfTrue="1" operator="equal">
      <formula>'1850'!$L$29</formula>
    </cfRule>
    <cfRule type="cellIs" dxfId="4384" priority="508" stopIfTrue="1" operator="lessThan">
      <formula>'1850'!$L$29</formula>
    </cfRule>
  </conditionalFormatting>
  <conditionalFormatting sqref="O4:Q4">
    <cfRule type="cellIs" dxfId="4383" priority="509" stopIfTrue="1" operator="equal">
      <formula>'1850'!$M$4</formula>
    </cfRule>
    <cfRule type="cellIs" dxfId="4382" priority="510" stopIfTrue="1" operator="lessThan">
      <formula>'1850'!$M$4</formula>
    </cfRule>
  </conditionalFormatting>
  <conditionalFormatting sqref="O5:Q5">
    <cfRule type="cellIs" dxfId="4381" priority="511" stopIfTrue="1" operator="equal">
      <formula>'1850'!$M$5</formula>
    </cfRule>
    <cfRule type="cellIs" dxfId="4380" priority="512" stopIfTrue="1" operator="lessThan">
      <formula>'1850'!$M$5</formula>
    </cfRule>
  </conditionalFormatting>
  <conditionalFormatting sqref="O6:Q6">
    <cfRule type="cellIs" dxfId="4379" priority="513" stopIfTrue="1" operator="equal">
      <formula>'1850'!$M$6</formula>
    </cfRule>
    <cfRule type="cellIs" dxfId="4378" priority="514" stopIfTrue="1" operator="lessThan">
      <formula>'1850'!$M$6</formula>
    </cfRule>
  </conditionalFormatting>
  <conditionalFormatting sqref="O7:Q7">
    <cfRule type="cellIs" dxfId="4377" priority="515" stopIfTrue="1" operator="equal">
      <formula>'1850'!$M$7</formula>
    </cfRule>
    <cfRule type="cellIs" dxfId="4376" priority="516" stopIfTrue="1" operator="lessThan">
      <formula>'1850'!$M$7</formula>
    </cfRule>
  </conditionalFormatting>
  <conditionalFormatting sqref="O8:Q8">
    <cfRule type="cellIs" dxfId="4375" priority="517" stopIfTrue="1" operator="equal">
      <formula>'1850'!$M$8</formula>
    </cfRule>
    <cfRule type="cellIs" dxfId="4374" priority="518" stopIfTrue="1" operator="lessThan">
      <formula>'1850'!$M$8</formula>
    </cfRule>
  </conditionalFormatting>
  <conditionalFormatting sqref="O9:Q9">
    <cfRule type="cellIs" dxfId="4373" priority="519" stopIfTrue="1" operator="equal">
      <formula>'1850'!$M$9</formula>
    </cfRule>
    <cfRule type="cellIs" dxfId="4372" priority="520" stopIfTrue="1" operator="lessThan">
      <formula>'1850'!$M$9</formula>
    </cfRule>
  </conditionalFormatting>
  <conditionalFormatting sqref="O10:Q10">
    <cfRule type="cellIs" dxfId="4371" priority="521" stopIfTrue="1" operator="equal">
      <formula>'1850'!$M$10</formula>
    </cfRule>
    <cfRule type="cellIs" dxfId="4370" priority="522" stopIfTrue="1" operator="lessThan">
      <formula>'1850'!$M$10</formula>
    </cfRule>
  </conditionalFormatting>
  <conditionalFormatting sqref="O11:Q11">
    <cfRule type="cellIs" dxfId="4369" priority="523" stopIfTrue="1" operator="equal">
      <formula>'1850'!$M$11</formula>
    </cfRule>
    <cfRule type="cellIs" dxfId="4368" priority="524" stopIfTrue="1" operator="lessThan">
      <formula>'1850'!$M$11</formula>
    </cfRule>
  </conditionalFormatting>
  <conditionalFormatting sqref="O12:Q12">
    <cfRule type="cellIs" dxfId="4367" priority="525" stopIfTrue="1" operator="equal">
      <formula>'1850'!$M$12</formula>
    </cfRule>
    <cfRule type="cellIs" dxfId="4366" priority="526" stopIfTrue="1" operator="lessThan">
      <formula>'1850'!$M$12</formula>
    </cfRule>
  </conditionalFormatting>
  <conditionalFormatting sqref="O13:Q13">
    <cfRule type="cellIs" dxfId="4365" priority="527" stopIfTrue="1" operator="equal">
      <formula>'1850'!$M$13</formula>
    </cfRule>
    <cfRule type="cellIs" dxfId="4364" priority="528" stopIfTrue="1" operator="lessThan">
      <formula>'1850'!$M$13</formula>
    </cfRule>
  </conditionalFormatting>
  <conditionalFormatting sqref="O14:Q14">
    <cfRule type="cellIs" dxfId="4363" priority="529" stopIfTrue="1" operator="equal">
      <formula>'1850'!$M$14</formula>
    </cfRule>
    <cfRule type="cellIs" dxfId="4362" priority="530" stopIfTrue="1" operator="lessThan">
      <formula>'1850'!$M$14</formula>
    </cfRule>
  </conditionalFormatting>
  <conditionalFormatting sqref="O15:Q15">
    <cfRule type="cellIs" dxfId="4361" priority="531" stopIfTrue="1" operator="equal">
      <formula>'1850'!$M$15</formula>
    </cfRule>
    <cfRule type="cellIs" dxfId="4360" priority="532" stopIfTrue="1" operator="lessThan">
      <formula>'1850'!$M$15</formula>
    </cfRule>
  </conditionalFormatting>
  <conditionalFormatting sqref="O16:Q16">
    <cfRule type="cellIs" dxfId="4359" priority="533" stopIfTrue="1" operator="equal">
      <formula>'1850'!$M$16</formula>
    </cfRule>
    <cfRule type="cellIs" dxfId="4358" priority="534" stopIfTrue="1" operator="lessThan">
      <formula>'1850'!$M$16</formula>
    </cfRule>
  </conditionalFormatting>
  <conditionalFormatting sqref="O17:Q17">
    <cfRule type="cellIs" dxfId="4357" priority="535" stopIfTrue="1" operator="equal">
      <formula>'1850'!$M$17</formula>
    </cfRule>
    <cfRule type="cellIs" dxfId="4356" priority="536" stopIfTrue="1" operator="lessThan">
      <formula>'1850'!$M$17</formula>
    </cfRule>
  </conditionalFormatting>
  <conditionalFormatting sqref="O18:Q18">
    <cfRule type="cellIs" dxfId="4355" priority="537" stopIfTrue="1" operator="equal">
      <formula>'1850'!$M$18</formula>
    </cfRule>
    <cfRule type="cellIs" dxfId="4354" priority="538" stopIfTrue="1" operator="lessThan">
      <formula>'1850'!$M$18</formula>
    </cfRule>
  </conditionalFormatting>
  <conditionalFormatting sqref="O19:Q19">
    <cfRule type="cellIs" dxfId="4353" priority="539" stopIfTrue="1" operator="equal">
      <formula>'1850'!$M$19</formula>
    </cfRule>
    <cfRule type="cellIs" dxfId="4352" priority="540" stopIfTrue="1" operator="lessThan">
      <formula>'1850'!$M$19</formula>
    </cfRule>
  </conditionalFormatting>
  <conditionalFormatting sqref="O20:Q20">
    <cfRule type="cellIs" dxfId="4351" priority="541" stopIfTrue="1" operator="equal">
      <formula>'1850'!$M$20</formula>
    </cfRule>
    <cfRule type="cellIs" dxfId="4350" priority="542" stopIfTrue="1" operator="lessThan">
      <formula>'1850'!$M$20</formula>
    </cfRule>
  </conditionalFormatting>
  <conditionalFormatting sqref="O21:Q21">
    <cfRule type="cellIs" dxfId="4349" priority="543" stopIfTrue="1" operator="equal">
      <formula>'1850'!$M$21</formula>
    </cfRule>
    <cfRule type="cellIs" dxfId="4348" priority="544" stopIfTrue="1" operator="lessThan">
      <formula>'1850'!$M$21</formula>
    </cfRule>
  </conditionalFormatting>
  <conditionalFormatting sqref="O22:Q22">
    <cfRule type="cellIs" dxfId="4347" priority="545" stopIfTrue="1" operator="equal">
      <formula>'1850'!$M$22</formula>
    </cfRule>
    <cfRule type="cellIs" dxfId="4346" priority="546" stopIfTrue="1" operator="lessThan">
      <formula>'1850'!$M$22</formula>
    </cfRule>
  </conditionalFormatting>
  <conditionalFormatting sqref="O23:Q23">
    <cfRule type="cellIs" dxfId="4345" priority="547" stopIfTrue="1" operator="equal">
      <formula>'1850'!$M$23</formula>
    </cfRule>
    <cfRule type="cellIs" dxfId="4344" priority="548" stopIfTrue="1" operator="lessThan">
      <formula>'1850'!$M$23</formula>
    </cfRule>
  </conditionalFormatting>
  <conditionalFormatting sqref="O24:Q24">
    <cfRule type="cellIs" dxfId="4343" priority="549" stopIfTrue="1" operator="equal">
      <formula>'1850'!$M$24</formula>
    </cfRule>
    <cfRule type="cellIs" dxfId="4342" priority="550" stopIfTrue="1" operator="lessThan">
      <formula>'1850'!$M$24</formula>
    </cfRule>
  </conditionalFormatting>
  <conditionalFormatting sqref="O25:Q25">
    <cfRule type="cellIs" dxfId="4341" priority="551" stopIfTrue="1" operator="equal">
      <formula>'1850'!$M$25</formula>
    </cfRule>
    <cfRule type="cellIs" dxfId="4340" priority="552" stopIfTrue="1" operator="lessThan">
      <formula>'1850'!$M$25</formula>
    </cfRule>
  </conditionalFormatting>
  <conditionalFormatting sqref="O26:Q26">
    <cfRule type="cellIs" dxfId="4339" priority="553" stopIfTrue="1" operator="equal">
      <formula>'1850'!$M$26</formula>
    </cfRule>
    <cfRule type="cellIs" dxfId="4338" priority="554" stopIfTrue="1" operator="lessThan">
      <formula>'1850'!$M$26</formula>
    </cfRule>
  </conditionalFormatting>
  <conditionalFormatting sqref="O27:Q27">
    <cfRule type="cellIs" dxfId="4337" priority="555" stopIfTrue="1" operator="equal">
      <formula>'1850'!$M$27</formula>
    </cfRule>
    <cfRule type="cellIs" dxfId="4336" priority="556" stopIfTrue="1" operator="lessThan">
      <formula>'1850'!$M$27</formula>
    </cfRule>
  </conditionalFormatting>
  <conditionalFormatting sqref="O28:Q28">
    <cfRule type="cellIs" dxfId="4335" priority="557" stopIfTrue="1" operator="equal">
      <formula>'1850'!$M$28</formula>
    </cfRule>
    <cfRule type="cellIs" dxfId="4334" priority="558" stopIfTrue="1" operator="lessThan">
      <formula>'1850'!$M$28</formula>
    </cfRule>
  </conditionalFormatting>
  <conditionalFormatting sqref="O29:Q29">
    <cfRule type="cellIs" dxfId="4333" priority="559" stopIfTrue="1" operator="equal">
      <formula>'1850'!$M$29</formula>
    </cfRule>
    <cfRule type="cellIs" dxfId="4332" priority="560" stopIfTrue="1" operator="lessThan">
      <formula>'1850'!$M$29</formula>
    </cfRule>
  </conditionalFormatting>
  <conditionalFormatting sqref="R4">
    <cfRule type="cellIs" dxfId="4331" priority="561" stopIfTrue="1" operator="equal">
      <formula>'1850'!$N$4</formula>
    </cfRule>
    <cfRule type="cellIs" dxfId="4330" priority="562" stopIfTrue="1" operator="lessThan">
      <formula>'1850'!$N$4</formula>
    </cfRule>
  </conditionalFormatting>
  <conditionalFormatting sqref="R5">
    <cfRule type="cellIs" dxfId="4329" priority="563" stopIfTrue="1" operator="equal">
      <formula>'1850'!$N$5</formula>
    </cfRule>
    <cfRule type="cellIs" dxfId="4328" priority="564" stopIfTrue="1" operator="lessThan">
      <formula>'1850'!$N$5</formula>
    </cfRule>
  </conditionalFormatting>
  <conditionalFormatting sqref="R6">
    <cfRule type="cellIs" dxfId="4327" priority="565" stopIfTrue="1" operator="equal">
      <formula>'1850'!$N$6</formula>
    </cfRule>
    <cfRule type="cellIs" dxfId="4326" priority="566" stopIfTrue="1" operator="lessThan">
      <formula>'1850'!$N$6</formula>
    </cfRule>
  </conditionalFormatting>
  <conditionalFormatting sqref="R7">
    <cfRule type="cellIs" dxfId="4325" priority="567" stopIfTrue="1" operator="equal">
      <formula>'1850'!$N$7</formula>
    </cfRule>
    <cfRule type="cellIs" dxfId="4324" priority="568" stopIfTrue="1" operator="lessThan">
      <formula>'1850'!$N$7</formula>
    </cfRule>
  </conditionalFormatting>
  <conditionalFormatting sqref="R8">
    <cfRule type="cellIs" dxfId="4323" priority="569" stopIfTrue="1" operator="equal">
      <formula>'1850'!$N$8</formula>
    </cfRule>
    <cfRule type="cellIs" dxfId="4322" priority="570" stopIfTrue="1" operator="lessThan">
      <formula>'1850'!$N$8</formula>
    </cfRule>
  </conditionalFormatting>
  <conditionalFormatting sqref="R9">
    <cfRule type="cellIs" dxfId="4321" priority="571" stopIfTrue="1" operator="equal">
      <formula>'1850'!$N$9</formula>
    </cfRule>
    <cfRule type="cellIs" dxfId="4320" priority="572" stopIfTrue="1" operator="lessThan">
      <formula>'1850'!$N$9</formula>
    </cfRule>
  </conditionalFormatting>
  <conditionalFormatting sqref="R10">
    <cfRule type="cellIs" dxfId="4319" priority="573" stopIfTrue="1" operator="equal">
      <formula>'1850'!$N$10</formula>
    </cfRule>
    <cfRule type="cellIs" dxfId="4318" priority="574" stopIfTrue="1" operator="lessThan">
      <formula>'1850'!$N$10</formula>
    </cfRule>
  </conditionalFormatting>
  <conditionalFormatting sqref="R11">
    <cfRule type="cellIs" dxfId="4317" priority="575" stopIfTrue="1" operator="equal">
      <formula>'1850'!$N$11</formula>
    </cfRule>
    <cfRule type="cellIs" dxfId="4316" priority="576" stopIfTrue="1" operator="lessThan">
      <formula>'1850'!$N$11</formula>
    </cfRule>
  </conditionalFormatting>
  <conditionalFormatting sqref="R12">
    <cfRule type="cellIs" dxfId="4315" priority="577" stopIfTrue="1" operator="equal">
      <formula>'1850'!$N$12</formula>
    </cfRule>
    <cfRule type="cellIs" dxfId="4314" priority="578" stopIfTrue="1" operator="lessThan">
      <formula>'1850'!$N$12</formula>
    </cfRule>
  </conditionalFormatting>
  <conditionalFormatting sqref="R13">
    <cfRule type="cellIs" dxfId="4313" priority="579" stopIfTrue="1" operator="equal">
      <formula>'1850'!$N$13</formula>
    </cfRule>
    <cfRule type="cellIs" dxfId="4312" priority="580" stopIfTrue="1" operator="lessThan">
      <formula>'1850'!$N$13</formula>
    </cfRule>
  </conditionalFormatting>
  <conditionalFormatting sqref="R14">
    <cfRule type="cellIs" dxfId="4311" priority="581" stopIfTrue="1" operator="equal">
      <formula>'1850'!$N$14</formula>
    </cfRule>
    <cfRule type="cellIs" dxfId="4310" priority="582" stopIfTrue="1" operator="lessThan">
      <formula>'1850'!$N$14</formula>
    </cfRule>
  </conditionalFormatting>
  <conditionalFormatting sqref="R15">
    <cfRule type="cellIs" dxfId="4309" priority="583" stopIfTrue="1" operator="equal">
      <formula>'1850'!$N$15</formula>
    </cfRule>
    <cfRule type="cellIs" dxfId="4308" priority="584" stopIfTrue="1" operator="lessThan">
      <formula>'1850'!$N$15</formula>
    </cfRule>
  </conditionalFormatting>
  <conditionalFormatting sqref="R16">
    <cfRule type="cellIs" dxfId="4307" priority="585" stopIfTrue="1" operator="equal">
      <formula>'1850'!$N$16</formula>
    </cfRule>
    <cfRule type="cellIs" dxfId="4306" priority="586" stopIfTrue="1" operator="lessThan">
      <formula>'1850'!$N$16</formula>
    </cfRule>
  </conditionalFormatting>
  <conditionalFormatting sqref="R17">
    <cfRule type="cellIs" dxfId="4305" priority="587" stopIfTrue="1" operator="equal">
      <formula>'1850'!$N$17</formula>
    </cfRule>
    <cfRule type="cellIs" dxfId="4304" priority="588" stopIfTrue="1" operator="lessThan">
      <formula>'1850'!$N$17</formula>
    </cfRule>
  </conditionalFormatting>
  <conditionalFormatting sqref="R18">
    <cfRule type="cellIs" dxfId="4303" priority="589" stopIfTrue="1" operator="equal">
      <formula>'1850'!$N$18</formula>
    </cfRule>
    <cfRule type="cellIs" dxfId="4302" priority="590" stopIfTrue="1" operator="lessThan">
      <formula>'1850'!$N$18</formula>
    </cfRule>
  </conditionalFormatting>
  <conditionalFormatting sqref="R19">
    <cfRule type="cellIs" dxfId="4301" priority="591" stopIfTrue="1" operator="equal">
      <formula>'1850'!$N$19</formula>
    </cfRule>
    <cfRule type="cellIs" dxfId="4300" priority="592" stopIfTrue="1" operator="lessThan">
      <formula>'1850'!$N$19</formula>
    </cfRule>
  </conditionalFormatting>
  <conditionalFormatting sqref="R20">
    <cfRule type="cellIs" dxfId="4299" priority="593" stopIfTrue="1" operator="equal">
      <formula>'1850'!$N$20</formula>
    </cfRule>
    <cfRule type="cellIs" dxfId="4298" priority="594" stopIfTrue="1" operator="lessThan">
      <formula>'1850'!$N$20</formula>
    </cfRule>
  </conditionalFormatting>
  <conditionalFormatting sqref="R21">
    <cfRule type="cellIs" dxfId="4297" priority="595" stopIfTrue="1" operator="equal">
      <formula>'1850'!$N$21</formula>
    </cfRule>
    <cfRule type="cellIs" dxfId="4296" priority="596" stopIfTrue="1" operator="lessThan">
      <formula>'1850'!$N$21</formula>
    </cfRule>
  </conditionalFormatting>
  <conditionalFormatting sqref="R22">
    <cfRule type="cellIs" dxfId="4295" priority="597" stopIfTrue="1" operator="equal">
      <formula>'1850'!$N$22</formula>
    </cfRule>
    <cfRule type="cellIs" dxfId="4294" priority="598" stopIfTrue="1" operator="lessThan">
      <formula>'1850'!$N$22</formula>
    </cfRule>
  </conditionalFormatting>
  <conditionalFormatting sqref="R23">
    <cfRule type="cellIs" dxfId="4293" priority="599" stopIfTrue="1" operator="equal">
      <formula>'1850'!$N$23</formula>
    </cfRule>
    <cfRule type="cellIs" dxfId="4292" priority="600" stopIfTrue="1" operator="lessThan">
      <formula>'1850'!$N$23</formula>
    </cfRule>
  </conditionalFormatting>
  <conditionalFormatting sqref="R24">
    <cfRule type="cellIs" dxfId="4291" priority="601" stopIfTrue="1" operator="equal">
      <formula>'1850'!$N$24</formula>
    </cfRule>
    <cfRule type="cellIs" dxfId="4290" priority="602" stopIfTrue="1" operator="lessThan">
      <formula>'1850'!$N$24</formula>
    </cfRule>
  </conditionalFormatting>
  <conditionalFormatting sqref="R25">
    <cfRule type="cellIs" dxfId="4289" priority="603" stopIfTrue="1" operator="equal">
      <formula>'1850'!$N$25</formula>
    </cfRule>
    <cfRule type="cellIs" dxfId="4288" priority="604" stopIfTrue="1" operator="lessThan">
      <formula>'1850'!$N$25</formula>
    </cfRule>
  </conditionalFormatting>
  <conditionalFormatting sqref="R26">
    <cfRule type="cellIs" dxfId="4287" priority="605" stopIfTrue="1" operator="equal">
      <formula>'1850'!$N$26</formula>
    </cfRule>
    <cfRule type="cellIs" dxfId="4286" priority="606" stopIfTrue="1" operator="lessThan">
      <formula>'1850'!$N$26</formula>
    </cfRule>
  </conditionalFormatting>
  <conditionalFormatting sqref="R27">
    <cfRule type="cellIs" dxfId="4285" priority="607" stopIfTrue="1" operator="equal">
      <formula>'1850'!$N$27</formula>
    </cfRule>
    <cfRule type="cellIs" dxfId="4284" priority="608" stopIfTrue="1" operator="lessThan">
      <formula>'1850'!$N$27</formula>
    </cfRule>
  </conditionalFormatting>
  <conditionalFormatting sqref="R28">
    <cfRule type="cellIs" dxfId="4283" priority="609" stopIfTrue="1" operator="equal">
      <formula>'1850'!$N$28</formula>
    </cfRule>
    <cfRule type="cellIs" dxfId="4282" priority="610" stopIfTrue="1" operator="lessThan">
      <formula>'1850'!$N$28</formula>
    </cfRule>
  </conditionalFormatting>
  <conditionalFormatting sqref="R29">
    <cfRule type="cellIs" dxfId="4281" priority="611" stopIfTrue="1" operator="equal">
      <formula>'1850'!$N$29</formula>
    </cfRule>
    <cfRule type="cellIs" dxfId="4280" priority="612" stopIfTrue="1" operator="lessThan">
      <formula>'1850'!$N$29</formula>
    </cfRule>
  </conditionalFormatting>
  <pageMargins left="0.70833333333333337" right="0.70833333333333337" top="0.78749999999999998" bottom="0.78749999999999998" header="0.51180555555555551" footer="0.51180555555555551"/>
  <pageSetup paperSize="9" scale="99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63"/>
  <sheetViews>
    <sheetView topLeftCell="A36" zoomScaleSheetLayoutView="100" workbookViewId="0">
      <selection activeCell="T1" sqref="T1"/>
    </sheetView>
  </sheetViews>
  <sheetFormatPr defaultRowHeight="15"/>
  <cols>
    <col min="1" max="1" width="8.28515625" style="185" customWidth="1"/>
    <col min="2" max="2" width="8.5703125" style="177" customWidth="1"/>
    <col min="3" max="3" width="26.140625" customWidth="1"/>
    <col min="4" max="16" width="10.140625" customWidth="1"/>
    <col min="17" max="17" width="10.140625" bestFit="1" customWidth="1"/>
  </cols>
  <sheetData>
    <row r="1" spans="1:33" ht="15.75" thickBot="1">
      <c r="A1" s="30"/>
      <c r="B1" s="30"/>
      <c r="AE1" s="318" t="s">
        <v>362</v>
      </c>
      <c r="AF1" s="318"/>
      <c r="AG1" s="318"/>
    </row>
    <row r="2" spans="1:33" s="1" customFormat="1" ht="21" customHeight="1" thickBot="1">
      <c r="A2" s="179" t="s">
        <v>30</v>
      </c>
      <c r="B2" s="172">
        <v>1851</v>
      </c>
      <c r="C2" s="2"/>
      <c r="D2" s="3">
        <f>'1850'!C2</f>
        <v>43466</v>
      </c>
      <c r="E2" s="3">
        <f>'1850'!D2</f>
        <v>43497</v>
      </c>
      <c r="F2" s="3">
        <f>'1850'!E2</f>
        <v>43526</v>
      </c>
      <c r="G2" s="3">
        <f>'1850'!F2</f>
        <v>43556</v>
      </c>
      <c r="H2" s="3">
        <f>'1850'!G2</f>
        <v>43588</v>
      </c>
      <c r="I2" s="3">
        <f>'1850'!H2</f>
        <v>43620</v>
      </c>
      <c r="J2" s="3">
        <f>'1850'!I2</f>
        <v>43647</v>
      </c>
      <c r="K2" s="3">
        <f>'1850'!J2</f>
        <v>43678</v>
      </c>
      <c r="L2" s="3">
        <f>'1850'!K2</f>
        <v>43679</v>
      </c>
      <c r="M2" s="3">
        <f>'1850'!L2</f>
        <v>43739</v>
      </c>
      <c r="N2" s="221">
        <f>'1850'!M2</f>
        <v>43742</v>
      </c>
      <c r="O2" s="4">
        <f>'1850'!N2</f>
        <v>43770</v>
      </c>
      <c r="P2" s="4">
        <f>'1850'!O2</f>
        <v>43798</v>
      </c>
      <c r="Q2" s="4">
        <f>'1850'!R2</f>
        <v>43831</v>
      </c>
      <c r="R2" s="1" t="s">
        <v>0</v>
      </c>
      <c r="S2" s="1" t="s">
        <v>1</v>
      </c>
      <c r="V2" s="234"/>
      <c r="W2" s="235"/>
      <c r="X2" s="235"/>
      <c r="Y2" s="235"/>
      <c r="Z2" s="235" t="s">
        <v>359</v>
      </c>
      <c r="AA2" s="235"/>
      <c r="AB2" s="235"/>
      <c r="AC2" s="235"/>
      <c r="AD2" s="238"/>
      <c r="AE2" s="236"/>
      <c r="AF2" s="236" t="s">
        <v>319</v>
      </c>
      <c r="AG2" s="237"/>
    </row>
    <row r="3" spans="1:33" s="1" customFormat="1" ht="15.75" thickBot="1">
      <c r="A3" s="180" t="s">
        <v>31</v>
      </c>
      <c r="B3" s="173" t="s">
        <v>2</v>
      </c>
      <c r="C3" s="6"/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222" t="s">
        <v>228</v>
      </c>
      <c r="O3" s="5" t="s">
        <v>13</v>
      </c>
      <c r="P3" s="5" t="s">
        <v>14</v>
      </c>
      <c r="Q3" s="5" t="s">
        <v>3</v>
      </c>
      <c r="R3" s="1" t="s">
        <v>178</v>
      </c>
      <c r="S3" s="1" t="s">
        <v>177</v>
      </c>
      <c r="U3" s="1" t="s">
        <v>321</v>
      </c>
      <c r="V3" s="5" t="s">
        <v>4</v>
      </c>
      <c r="W3" s="5" t="s">
        <v>5</v>
      </c>
      <c r="X3" s="5" t="s">
        <v>6</v>
      </c>
      <c r="Y3" s="5" t="s">
        <v>7</v>
      </c>
      <c r="Z3" s="5" t="s">
        <v>8</v>
      </c>
      <c r="AA3" s="5" t="s">
        <v>9</v>
      </c>
      <c r="AB3" s="5" t="s">
        <v>10</v>
      </c>
      <c r="AC3" s="5" t="s">
        <v>11</v>
      </c>
      <c r="AD3" s="5" t="s">
        <v>12</v>
      </c>
      <c r="AE3" s="227" t="s">
        <v>13</v>
      </c>
      <c r="AF3" s="227" t="s">
        <v>14</v>
      </c>
      <c r="AG3" s="227" t="s">
        <v>3</v>
      </c>
    </row>
    <row r="4" spans="1:33" ht="15.75" thickBot="1">
      <c r="A4" s="278">
        <v>1</v>
      </c>
      <c r="B4" s="276">
        <v>1</v>
      </c>
      <c r="C4" s="223" t="s">
        <v>240</v>
      </c>
      <c r="D4" s="7">
        <v>154.06800000000001</v>
      </c>
      <c r="E4" s="7">
        <v>166.16300000000001</v>
      </c>
      <c r="F4" s="7">
        <v>177.797</v>
      </c>
      <c r="G4" s="7">
        <v>188.77799999999999</v>
      </c>
      <c r="H4" s="7">
        <v>201.256</v>
      </c>
      <c r="I4" s="7">
        <v>214.268</v>
      </c>
      <c r="J4" s="7">
        <v>224.42</v>
      </c>
      <c r="K4" s="7">
        <v>237.35</v>
      </c>
      <c r="L4" s="7">
        <v>248.39400000000001</v>
      </c>
      <c r="M4" s="8">
        <v>261.21499999999997</v>
      </c>
      <c r="N4" s="7">
        <v>0.01</v>
      </c>
      <c r="O4" s="7">
        <v>11.76</v>
      </c>
      <c r="P4" s="7">
        <v>24.045999999999999</v>
      </c>
      <c r="Q4" s="7">
        <v>38.561</v>
      </c>
      <c r="R4" s="9">
        <f>Q4-N4+M4-D4</f>
        <v>145.69799999999995</v>
      </c>
      <c r="U4" s="1">
        <v>1</v>
      </c>
      <c r="V4" s="228">
        <f>E4-D4</f>
        <v>12.094999999999999</v>
      </c>
      <c r="W4" s="228">
        <f t="shared" ref="W4:AD4" si="0">F4-E4</f>
        <v>11.633999999999986</v>
      </c>
      <c r="X4" s="228">
        <f t="shared" si="0"/>
        <v>10.980999999999995</v>
      </c>
      <c r="Y4" s="228">
        <f t="shared" si="0"/>
        <v>12.478000000000009</v>
      </c>
      <c r="Z4" s="228">
        <f t="shared" si="0"/>
        <v>13.012</v>
      </c>
      <c r="AA4" s="228">
        <f t="shared" si="0"/>
        <v>10.151999999999987</v>
      </c>
      <c r="AB4" s="228">
        <f t="shared" si="0"/>
        <v>12.930000000000007</v>
      </c>
      <c r="AC4" s="228">
        <f t="shared" si="0"/>
        <v>11.044000000000011</v>
      </c>
      <c r="AD4" s="228">
        <f t="shared" si="0"/>
        <v>12.82099999999997</v>
      </c>
      <c r="AE4" s="228">
        <f>O4-N4</f>
        <v>11.75</v>
      </c>
      <c r="AF4" s="228">
        <f t="shared" ref="AF4:AG4" si="1">P4-O4</f>
        <v>12.286</v>
      </c>
      <c r="AG4" s="228">
        <f t="shared" si="1"/>
        <v>14.515000000000001</v>
      </c>
    </row>
    <row r="5" spans="1:33">
      <c r="A5" s="279"/>
      <c r="B5" s="276"/>
      <c r="C5" s="10" t="s">
        <v>32</v>
      </c>
      <c r="D5" s="11">
        <v>39.424999999999997</v>
      </c>
      <c r="E5" s="11">
        <v>45.014000000000003</v>
      </c>
      <c r="F5" s="11">
        <v>48.780999999999999</v>
      </c>
      <c r="G5" s="11">
        <v>51.14</v>
      </c>
      <c r="H5" s="11">
        <v>52.317</v>
      </c>
      <c r="I5" s="11">
        <v>53.301000000000002</v>
      </c>
      <c r="J5" s="11">
        <v>53.677999999999997</v>
      </c>
      <c r="K5" s="11">
        <v>54.133000000000003</v>
      </c>
      <c r="L5" s="11">
        <v>54.524000000000001</v>
      </c>
      <c r="M5" s="12">
        <v>55.177</v>
      </c>
      <c r="N5" s="12"/>
      <c r="O5" s="11">
        <v>56.924999999999997</v>
      </c>
      <c r="P5" s="11">
        <v>60.106999999999999</v>
      </c>
      <c r="Q5" s="11">
        <v>64.528000000000006</v>
      </c>
      <c r="R5" s="9"/>
      <c r="S5" s="9">
        <f>Q5-D5</f>
        <v>25.103000000000009</v>
      </c>
      <c r="U5" s="306" t="s">
        <v>356</v>
      </c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</row>
    <row r="6" spans="1:33">
      <c r="A6" s="181">
        <v>2</v>
      </c>
      <c r="B6" s="275">
        <v>2</v>
      </c>
      <c r="C6" s="224" t="s">
        <v>242</v>
      </c>
      <c r="D6" s="11">
        <v>310.17899999999997</v>
      </c>
      <c r="E6" s="11">
        <v>315.24299999999999</v>
      </c>
      <c r="F6" s="11">
        <v>319.625</v>
      </c>
      <c r="G6" s="11">
        <v>324.78699999999998</v>
      </c>
      <c r="H6" s="11">
        <v>330.63</v>
      </c>
      <c r="I6" s="11">
        <v>335.91199999999998</v>
      </c>
      <c r="J6" s="11">
        <v>339.899</v>
      </c>
      <c r="K6" s="11">
        <v>344.08499999999998</v>
      </c>
      <c r="L6" s="11">
        <v>349.53500000000003</v>
      </c>
      <c r="M6" s="11">
        <v>355.02499999999998</v>
      </c>
      <c r="N6" s="11">
        <v>0.08</v>
      </c>
      <c r="O6" s="11">
        <v>5.7380000000000004</v>
      </c>
      <c r="P6" s="11">
        <v>10.042999999999999</v>
      </c>
      <c r="Q6" s="11">
        <v>14.612</v>
      </c>
      <c r="R6" s="9">
        <f t="shared" ref="R6" si="2">Q6-N6+M6-D6</f>
        <v>59.377999999999986</v>
      </c>
      <c r="U6" s="1">
        <v>2</v>
      </c>
      <c r="V6" s="230">
        <f t="shared" ref="V6:AD6" si="3">E6-D6</f>
        <v>5.0640000000000214</v>
      </c>
      <c r="W6" s="230">
        <f t="shared" si="3"/>
        <v>4.382000000000005</v>
      </c>
      <c r="X6" s="230">
        <f t="shared" si="3"/>
        <v>5.1619999999999777</v>
      </c>
      <c r="Y6" s="230">
        <f t="shared" si="3"/>
        <v>5.8430000000000177</v>
      </c>
      <c r="Z6" s="230">
        <f t="shared" si="3"/>
        <v>5.2819999999999823</v>
      </c>
      <c r="AA6" s="230">
        <f t="shared" si="3"/>
        <v>3.9870000000000232</v>
      </c>
      <c r="AB6" s="230">
        <f t="shared" si="3"/>
        <v>4.1859999999999786</v>
      </c>
      <c r="AC6" s="230">
        <f t="shared" si="3"/>
        <v>5.4500000000000455</v>
      </c>
      <c r="AD6" s="230">
        <f t="shared" si="3"/>
        <v>5.4899999999999523</v>
      </c>
      <c r="AE6" s="232">
        <f t="shared" ref="AE6:AG6" si="4">O6-N6</f>
        <v>5.6580000000000004</v>
      </c>
      <c r="AF6" s="232">
        <f t="shared" si="4"/>
        <v>4.3049999999999988</v>
      </c>
      <c r="AG6" s="232">
        <f t="shared" si="4"/>
        <v>4.5690000000000008</v>
      </c>
    </row>
    <row r="7" spans="1:33">
      <c r="A7" s="181" t="s">
        <v>33</v>
      </c>
      <c r="B7" s="275"/>
      <c r="C7" s="10" t="s">
        <v>34</v>
      </c>
      <c r="D7" s="11">
        <v>66.534999999999997</v>
      </c>
      <c r="E7" s="11">
        <v>76.096999999999994</v>
      </c>
      <c r="F7" s="11">
        <v>84.32</v>
      </c>
      <c r="G7" s="11">
        <v>91.126999999999995</v>
      </c>
      <c r="H7" s="11">
        <v>97.289000000000001</v>
      </c>
      <c r="I7" s="11">
        <v>101.965</v>
      </c>
      <c r="J7" s="11">
        <v>102.967</v>
      </c>
      <c r="K7" s="11">
        <v>104.239</v>
      </c>
      <c r="L7" s="11">
        <v>105.661</v>
      </c>
      <c r="M7" s="11">
        <v>108.044</v>
      </c>
      <c r="N7" s="11"/>
      <c r="O7" s="11">
        <v>111.71599999999999</v>
      </c>
      <c r="P7" s="11">
        <v>116.32899999999999</v>
      </c>
      <c r="Q7" s="11">
        <v>122.646</v>
      </c>
      <c r="R7" s="9"/>
      <c r="S7" s="9">
        <f>Q7-D7</f>
        <v>56.111000000000004</v>
      </c>
      <c r="U7" s="306" t="s">
        <v>355</v>
      </c>
      <c r="V7" s="305">
        <v>5.9840000000000089</v>
      </c>
      <c r="W7" s="305">
        <v>5.2259999999999991</v>
      </c>
      <c r="X7" s="305">
        <v>4.8789999999999907</v>
      </c>
      <c r="Y7" s="305">
        <v>5.9850000000000136</v>
      </c>
      <c r="Z7" s="305">
        <v>5.1119999999999948</v>
      </c>
      <c r="AA7" s="305">
        <v>2.632000000000005</v>
      </c>
      <c r="AB7" s="305">
        <v>2.8959999999999866</v>
      </c>
      <c r="AC7" s="305">
        <v>3.1170000000000186</v>
      </c>
      <c r="AD7" s="305">
        <v>4.0389999999999873</v>
      </c>
      <c r="AE7" s="303">
        <v>1.7569999999999999</v>
      </c>
      <c r="AF7" s="303">
        <v>0.99900000000000011</v>
      </c>
      <c r="AG7" s="303">
        <v>0.60700000000000021</v>
      </c>
    </row>
    <row r="8" spans="1:33">
      <c r="A8" s="181">
        <v>5</v>
      </c>
      <c r="B8" s="280">
        <v>3</v>
      </c>
      <c r="C8" s="224" t="s">
        <v>246</v>
      </c>
      <c r="D8" s="11">
        <v>5.9</v>
      </c>
      <c r="E8" s="11">
        <v>6.7149999999999999</v>
      </c>
      <c r="F8" s="11">
        <v>7.7069999999999999</v>
      </c>
      <c r="G8" s="11">
        <v>8.5030000000000001</v>
      </c>
      <c r="H8" s="11">
        <v>9.3979999999999997</v>
      </c>
      <c r="I8" s="11">
        <v>10.398</v>
      </c>
      <c r="J8" s="11">
        <v>11.103</v>
      </c>
      <c r="K8" s="11">
        <v>12.093</v>
      </c>
      <c r="L8" s="11">
        <v>13.196</v>
      </c>
      <c r="M8" s="11">
        <v>14.362</v>
      </c>
      <c r="N8" s="11">
        <v>0.01</v>
      </c>
      <c r="O8" s="11">
        <v>1.0329999999999999</v>
      </c>
      <c r="P8" s="11">
        <v>1.887</v>
      </c>
      <c r="Q8" s="11">
        <v>2.74</v>
      </c>
      <c r="R8" s="9">
        <f t="shared" ref="R8" si="5">Q8-N8+M8-D8</f>
        <v>11.191999999999998</v>
      </c>
      <c r="U8" s="1">
        <v>5</v>
      </c>
      <c r="V8" s="230">
        <f t="shared" ref="V8:AD9" si="6">E8-D8</f>
        <v>0.8149999999999995</v>
      </c>
      <c r="W8" s="230">
        <f t="shared" si="6"/>
        <v>0.99199999999999999</v>
      </c>
      <c r="X8" s="230">
        <f t="shared" si="6"/>
        <v>0.79600000000000026</v>
      </c>
      <c r="Y8" s="230">
        <f t="shared" si="6"/>
        <v>0.89499999999999957</v>
      </c>
      <c r="Z8" s="230">
        <f t="shared" si="6"/>
        <v>1</v>
      </c>
      <c r="AA8" s="230">
        <f t="shared" si="6"/>
        <v>0.70500000000000007</v>
      </c>
      <c r="AB8" s="230">
        <f t="shared" si="6"/>
        <v>0.99000000000000021</v>
      </c>
      <c r="AC8" s="230">
        <f t="shared" si="6"/>
        <v>1.1029999999999998</v>
      </c>
      <c r="AD8" s="230">
        <f t="shared" si="6"/>
        <v>1.1660000000000004</v>
      </c>
      <c r="AE8" s="232">
        <f t="shared" ref="AE8:AG9" si="7">O8-N8</f>
        <v>1.0229999999999999</v>
      </c>
      <c r="AF8" s="232">
        <f t="shared" si="7"/>
        <v>0.85400000000000009</v>
      </c>
      <c r="AG8" s="232">
        <f t="shared" si="7"/>
        <v>0.8530000000000002</v>
      </c>
    </row>
    <row r="9" spans="1:33">
      <c r="A9" s="181" t="s">
        <v>35</v>
      </c>
      <c r="B9" s="280"/>
      <c r="C9" s="10" t="s">
        <v>36</v>
      </c>
      <c r="D9" s="11">
        <v>36.186</v>
      </c>
      <c r="E9" s="11">
        <v>42.292999999999999</v>
      </c>
      <c r="F9" s="11">
        <v>46.884</v>
      </c>
      <c r="G9" s="11">
        <v>51.058999999999997</v>
      </c>
      <c r="H9" s="11">
        <v>53.235999999999997</v>
      </c>
      <c r="I9" s="11">
        <v>55.036999999999999</v>
      </c>
      <c r="J9" s="11">
        <v>55.8</v>
      </c>
      <c r="K9" s="11">
        <v>56.762999999999998</v>
      </c>
      <c r="L9" s="11">
        <v>57.805</v>
      </c>
      <c r="M9" s="11">
        <v>58.698</v>
      </c>
      <c r="N9" s="11"/>
      <c r="O9" s="11">
        <v>60.207999999999998</v>
      </c>
      <c r="P9" s="11">
        <v>63.484999999999999</v>
      </c>
      <c r="Q9" s="11">
        <v>69.352999999999994</v>
      </c>
      <c r="R9" s="9"/>
      <c r="S9" s="9">
        <f>Q9-D9</f>
        <v>33.166999999999994</v>
      </c>
      <c r="U9" s="306" t="s">
        <v>355</v>
      </c>
      <c r="V9" s="304">
        <v>0.40400000000000036</v>
      </c>
      <c r="W9" s="304">
        <v>0.42999999999999972</v>
      </c>
      <c r="X9" s="304">
        <v>0.40199999999999969</v>
      </c>
      <c r="Y9" s="304">
        <v>0.40000000000000036</v>
      </c>
      <c r="Z9" s="304">
        <v>0.37000000000000011</v>
      </c>
      <c r="AA9" s="304">
        <v>0.26199999999999957</v>
      </c>
      <c r="AB9" s="304">
        <v>0.3180000000000005</v>
      </c>
      <c r="AC9" s="304">
        <v>0.32299999999999951</v>
      </c>
      <c r="AD9" s="304">
        <v>0.43200000000000038</v>
      </c>
      <c r="AE9" s="305">
        <v>0.42299999999999999</v>
      </c>
      <c r="AF9" s="305">
        <v>0.38799999999999996</v>
      </c>
      <c r="AG9" s="305">
        <v>0.42999999999999994</v>
      </c>
    </row>
    <row r="10" spans="1:33">
      <c r="A10" s="277">
        <v>4</v>
      </c>
      <c r="B10" s="275">
        <v>4</v>
      </c>
      <c r="C10" s="224" t="s">
        <v>241</v>
      </c>
      <c r="D10" s="11">
        <v>241.55</v>
      </c>
      <c r="E10" s="11">
        <v>246.55799999999999</v>
      </c>
      <c r="F10" s="11">
        <v>251.38800000000001</v>
      </c>
      <c r="G10" s="11">
        <v>257.47399999999999</v>
      </c>
      <c r="H10" s="11">
        <v>263.726</v>
      </c>
      <c r="I10" s="11">
        <v>270.40699999999998</v>
      </c>
      <c r="J10" s="11">
        <v>276.62799999999999</v>
      </c>
      <c r="K10" s="11">
        <v>282.71600000000001</v>
      </c>
      <c r="L10" s="11">
        <v>289.12299999999999</v>
      </c>
      <c r="M10" s="11">
        <v>294.98599999999999</v>
      </c>
      <c r="N10" s="11">
        <v>0.01</v>
      </c>
      <c r="O10" s="11">
        <v>4.9180000000000001</v>
      </c>
      <c r="P10" s="11">
        <v>9.4269999999999996</v>
      </c>
      <c r="Q10" s="11">
        <v>15.637</v>
      </c>
      <c r="R10" s="9">
        <f t="shared" ref="R10" si="8">Q10-N10+M10-D10</f>
        <v>69.062999999999988</v>
      </c>
      <c r="U10" s="1">
        <v>4</v>
      </c>
      <c r="V10" s="230">
        <f t="shared" ref="V10:AD10" si="9">E10-D10</f>
        <v>5.0079999999999814</v>
      </c>
      <c r="W10" s="230">
        <f t="shared" si="9"/>
        <v>4.8300000000000125</v>
      </c>
      <c r="X10" s="230">
        <f t="shared" si="9"/>
        <v>6.0859999999999843</v>
      </c>
      <c r="Y10" s="230">
        <f t="shared" si="9"/>
        <v>6.2520000000000095</v>
      </c>
      <c r="Z10" s="230">
        <f t="shared" si="9"/>
        <v>6.6809999999999832</v>
      </c>
      <c r="AA10" s="230">
        <f t="shared" si="9"/>
        <v>6.2210000000000036</v>
      </c>
      <c r="AB10" s="230">
        <f t="shared" si="9"/>
        <v>6.0880000000000223</v>
      </c>
      <c r="AC10" s="230">
        <f t="shared" si="9"/>
        <v>6.4069999999999823</v>
      </c>
      <c r="AD10" s="230">
        <f t="shared" si="9"/>
        <v>5.8629999999999995</v>
      </c>
      <c r="AE10" s="232">
        <f t="shared" ref="AE10:AG10" si="10">O10-N10</f>
        <v>4.9080000000000004</v>
      </c>
      <c r="AF10" s="232">
        <f t="shared" si="10"/>
        <v>4.5089999999999995</v>
      </c>
      <c r="AG10" s="232">
        <f t="shared" si="10"/>
        <v>6.2100000000000009</v>
      </c>
    </row>
    <row r="11" spans="1:33">
      <c r="A11" s="277"/>
      <c r="B11" s="275"/>
      <c r="C11" s="10" t="s">
        <v>37</v>
      </c>
      <c r="D11" s="11">
        <v>5.7969999999999997</v>
      </c>
      <c r="E11" s="11">
        <v>6.9459999999999997</v>
      </c>
      <c r="F11" s="11">
        <v>7.6349999999999998</v>
      </c>
      <c r="G11" s="11">
        <v>8.14</v>
      </c>
      <c r="H11" s="11">
        <v>8.5259999999999998</v>
      </c>
      <c r="I11" s="11">
        <v>8.9160000000000004</v>
      </c>
      <c r="J11" s="11">
        <v>9.1639999999999997</v>
      </c>
      <c r="K11" s="11">
        <v>9.3840000000000003</v>
      </c>
      <c r="L11" s="11">
        <v>9.6419999999999995</v>
      </c>
      <c r="M11" s="11">
        <v>9.8629999999999995</v>
      </c>
      <c r="N11" s="11"/>
      <c r="O11" s="11">
        <v>10.163</v>
      </c>
      <c r="P11" s="11">
        <v>10.648</v>
      </c>
      <c r="Q11" s="11">
        <v>11.452</v>
      </c>
      <c r="R11" s="9"/>
      <c r="S11" s="9">
        <f>Q11-D11</f>
        <v>5.6550000000000002</v>
      </c>
      <c r="U11" s="306" t="s">
        <v>356</v>
      </c>
      <c r="V11" s="229"/>
      <c r="W11" s="229"/>
      <c r="X11" s="229"/>
      <c r="Y11" s="229"/>
      <c r="Z11" s="229"/>
      <c r="AA11" s="229"/>
      <c r="AB11" s="229"/>
      <c r="AC11" s="229"/>
      <c r="AD11" s="229"/>
      <c r="AE11" s="233"/>
      <c r="AF11" s="233"/>
      <c r="AG11" s="233"/>
    </row>
    <row r="12" spans="1:33">
      <c r="A12" s="181">
        <v>9</v>
      </c>
      <c r="B12" s="275">
        <v>5</v>
      </c>
      <c r="C12" s="224" t="s">
        <v>250</v>
      </c>
      <c r="D12" s="11">
        <v>64.251999999999995</v>
      </c>
      <c r="E12" s="11">
        <v>69.075999999999993</v>
      </c>
      <c r="F12" s="11">
        <v>73.173000000000002</v>
      </c>
      <c r="G12" s="11">
        <v>77.986999999999995</v>
      </c>
      <c r="H12" s="11">
        <v>83.570999999999998</v>
      </c>
      <c r="I12" s="11">
        <v>87.531000000000006</v>
      </c>
      <c r="J12" s="11">
        <v>90.06</v>
      </c>
      <c r="K12" s="11">
        <v>95.92</v>
      </c>
      <c r="L12" s="11">
        <v>100.447</v>
      </c>
      <c r="M12" s="11">
        <v>106.843</v>
      </c>
      <c r="N12" s="11">
        <v>0.01</v>
      </c>
      <c r="O12" s="11">
        <v>5.2779999999999996</v>
      </c>
      <c r="P12" s="11">
        <v>9.4949999999999992</v>
      </c>
      <c r="Q12" s="11">
        <v>14.348000000000001</v>
      </c>
      <c r="R12" s="9">
        <f t="shared" ref="R12" si="11">Q12-N12+M12-D12</f>
        <v>56.929000000000016</v>
      </c>
      <c r="U12" s="1">
        <v>9</v>
      </c>
      <c r="V12" s="230">
        <f t="shared" ref="V12:AD12" si="12">E12-D12</f>
        <v>4.8239999999999981</v>
      </c>
      <c r="W12" s="230">
        <f t="shared" si="12"/>
        <v>4.0970000000000084</v>
      </c>
      <c r="X12" s="230">
        <f t="shared" si="12"/>
        <v>4.813999999999993</v>
      </c>
      <c r="Y12" s="230">
        <f t="shared" si="12"/>
        <v>5.5840000000000032</v>
      </c>
      <c r="Z12" s="230">
        <f t="shared" si="12"/>
        <v>3.960000000000008</v>
      </c>
      <c r="AA12" s="230">
        <f t="shared" si="12"/>
        <v>2.5289999999999964</v>
      </c>
      <c r="AB12" s="230">
        <f t="shared" si="12"/>
        <v>5.8599999999999994</v>
      </c>
      <c r="AC12" s="230">
        <f t="shared" si="12"/>
        <v>4.527000000000001</v>
      </c>
      <c r="AD12" s="230">
        <f t="shared" si="12"/>
        <v>6.3960000000000008</v>
      </c>
      <c r="AE12" s="232">
        <f t="shared" ref="AE12:AG12" si="13">O12-N12</f>
        <v>5.2679999999999998</v>
      </c>
      <c r="AF12" s="232">
        <f t="shared" si="13"/>
        <v>4.2169999999999996</v>
      </c>
      <c r="AG12" s="232">
        <f t="shared" si="13"/>
        <v>4.8530000000000015</v>
      </c>
    </row>
    <row r="13" spans="1:33">
      <c r="A13" s="181" t="s">
        <v>38</v>
      </c>
      <c r="B13" s="275"/>
      <c r="C13" s="10" t="s">
        <v>39</v>
      </c>
      <c r="D13" s="11">
        <v>33.709000000000003</v>
      </c>
      <c r="E13" s="11">
        <v>40.174999999999997</v>
      </c>
      <c r="F13" s="11">
        <v>44.966999999999999</v>
      </c>
      <c r="G13" s="11">
        <v>48.255000000000003</v>
      </c>
      <c r="H13" s="11">
        <v>50.898000000000003</v>
      </c>
      <c r="I13" s="11">
        <v>52.533000000000001</v>
      </c>
      <c r="J13" s="11">
        <v>53.183</v>
      </c>
      <c r="K13" s="11">
        <v>54.335999999999999</v>
      </c>
      <c r="L13" s="11">
        <v>55.13</v>
      </c>
      <c r="M13" s="11">
        <v>56.414999999999999</v>
      </c>
      <c r="N13" s="11"/>
      <c r="O13" s="11">
        <v>58.024000000000001</v>
      </c>
      <c r="P13" s="11">
        <v>61.344999999999999</v>
      </c>
      <c r="Q13" s="11">
        <v>65.843000000000004</v>
      </c>
      <c r="R13" s="9"/>
      <c r="S13" s="9">
        <f>Q13-D13</f>
        <v>32.134</v>
      </c>
      <c r="U13" s="306" t="s">
        <v>355</v>
      </c>
      <c r="V13" s="304">
        <v>12.760999999999996</v>
      </c>
      <c r="W13" s="304">
        <v>10.679000000000002</v>
      </c>
      <c r="X13" s="304">
        <v>3.1110000000000042</v>
      </c>
      <c r="Y13" s="304">
        <v>3.355000000000004</v>
      </c>
      <c r="Z13" s="304">
        <v>1.8559999999999945</v>
      </c>
      <c r="AA13" s="304">
        <v>0.95900000000000318</v>
      </c>
      <c r="AB13" s="304">
        <v>3.4099999999999966</v>
      </c>
      <c r="AC13" s="304">
        <v>2.5949999999999989</v>
      </c>
      <c r="AD13" s="304">
        <v>3.7379999999999995</v>
      </c>
      <c r="AE13" s="305">
        <v>2.1320000000000001</v>
      </c>
      <c r="AF13" s="305">
        <v>1.996</v>
      </c>
      <c r="AG13" s="305">
        <v>1.9390000000000001</v>
      </c>
    </row>
    <row r="14" spans="1:33">
      <c r="A14" s="181">
        <v>15</v>
      </c>
      <c r="B14" s="275">
        <v>6</v>
      </c>
      <c r="C14" s="224" t="s">
        <v>254</v>
      </c>
      <c r="D14" s="11">
        <v>126.17400000000001</v>
      </c>
      <c r="E14" s="11">
        <v>127.50700000000001</v>
      </c>
      <c r="F14" s="11">
        <v>128.38200000000001</v>
      </c>
      <c r="G14" s="11">
        <v>129.07</v>
      </c>
      <c r="H14" s="11">
        <v>131.44499999999999</v>
      </c>
      <c r="I14" s="11">
        <v>133.43700000000001</v>
      </c>
      <c r="J14" s="11">
        <v>134.94999999999999</v>
      </c>
      <c r="K14" s="11">
        <v>138.03899999999999</v>
      </c>
      <c r="L14" s="11">
        <v>140.61699999999999</v>
      </c>
      <c r="M14" s="11">
        <v>141.31299999999999</v>
      </c>
      <c r="N14" s="11">
        <v>0.02</v>
      </c>
      <c r="O14" s="11">
        <v>1.17</v>
      </c>
      <c r="P14" s="11">
        <v>1.5980000000000001</v>
      </c>
      <c r="Q14" s="11">
        <v>2.5289999999999999</v>
      </c>
      <c r="R14" s="9">
        <f t="shared" ref="R14" si="14">Q14-N14+M14-D14</f>
        <v>17.647999999999968</v>
      </c>
      <c r="U14" s="1">
        <v>15</v>
      </c>
      <c r="V14" s="230">
        <f t="shared" ref="V14:AD14" si="15">E14-D14</f>
        <v>1.3329999999999984</v>
      </c>
      <c r="W14" s="230">
        <f t="shared" si="15"/>
        <v>0.875</v>
      </c>
      <c r="X14" s="230">
        <f t="shared" si="15"/>
        <v>0.68799999999998818</v>
      </c>
      <c r="Y14" s="230">
        <f t="shared" si="15"/>
        <v>2.375</v>
      </c>
      <c r="Z14" s="230">
        <f t="shared" si="15"/>
        <v>1.9920000000000186</v>
      </c>
      <c r="AA14" s="230">
        <f t="shared" si="15"/>
        <v>1.5129999999999768</v>
      </c>
      <c r="AB14" s="230">
        <f t="shared" si="15"/>
        <v>3.0889999999999986</v>
      </c>
      <c r="AC14" s="230">
        <f t="shared" si="15"/>
        <v>2.578000000000003</v>
      </c>
      <c r="AD14" s="230">
        <f t="shared" si="15"/>
        <v>0.69599999999999795</v>
      </c>
      <c r="AE14" s="302">
        <f t="shared" ref="AE14:AG14" si="16">O14-N14</f>
        <v>1.1499999999999999</v>
      </c>
      <c r="AF14" s="302">
        <f t="shared" si="16"/>
        <v>0.42800000000000016</v>
      </c>
      <c r="AG14" s="302">
        <f t="shared" si="16"/>
        <v>0.93099999999999983</v>
      </c>
    </row>
    <row r="15" spans="1:33">
      <c r="A15" s="181" t="s">
        <v>40</v>
      </c>
      <c r="B15" s="275"/>
      <c r="C15" s="10" t="s">
        <v>41</v>
      </c>
      <c r="D15" s="11">
        <v>27.5</v>
      </c>
      <c r="E15" s="11">
        <v>30.45</v>
      </c>
      <c r="F15" s="11">
        <v>32.170999999999999</v>
      </c>
      <c r="G15" s="11">
        <v>33.533000000000001</v>
      </c>
      <c r="H15" s="11">
        <v>34.127000000000002</v>
      </c>
      <c r="I15" s="11">
        <v>34.475000000000001</v>
      </c>
      <c r="J15" s="11">
        <v>34.664999999999999</v>
      </c>
      <c r="K15" s="11">
        <v>34.984999999999999</v>
      </c>
      <c r="L15" s="11">
        <v>35.305</v>
      </c>
      <c r="M15" s="11"/>
      <c r="N15" s="11"/>
      <c r="O15" s="11">
        <v>37.210999999999999</v>
      </c>
      <c r="P15" s="11">
        <v>39.072000000000003</v>
      </c>
      <c r="Q15" s="11">
        <v>43.561</v>
      </c>
      <c r="R15" s="9"/>
      <c r="S15" s="9">
        <f>Q15-D15</f>
        <v>16.061</v>
      </c>
      <c r="U15" s="306" t="s">
        <v>355</v>
      </c>
      <c r="V15" s="305">
        <v>0.69400000000000261</v>
      </c>
      <c r="W15" s="305">
        <v>0.39300000000000068</v>
      </c>
      <c r="X15" s="305">
        <v>0.46299999999999386</v>
      </c>
      <c r="Y15" s="305">
        <v>1.2720000000000056</v>
      </c>
      <c r="Z15" s="305">
        <v>0.92999999999999261</v>
      </c>
      <c r="AA15" s="305">
        <v>0.49200000000000443</v>
      </c>
      <c r="AB15" s="305">
        <v>1.0060000000000002</v>
      </c>
      <c r="AC15" s="305">
        <v>0.93999999999999773</v>
      </c>
      <c r="AD15" s="305">
        <v>0.41100000000000136</v>
      </c>
      <c r="AE15" s="305">
        <v>1.032</v>
      </c>
      <c r="AF15" s="305">
        <v>0.64399999999999991</v>
      </c>
      <c r="AG15" s="305">
        <v>3.0600000000000005</v>
      </c>
    </row>
    <row r="16" spans="1:33">
      <c r="A16" s="277">
        <v>7</v>
      </c>
      <c r="B16" s="275">
        <v>7</v>
      </c>
      <c r="C16" s="224" t="s">
        <v>260</v>
      </c>
      <c r="D16" s="11">
        <v>372.77800000000002</v>
      </c>
      <c r="E16" s="11">
        <v>380.666</v>
      </c>
      <c r="F16" s="11">
        <v>387.53100000000001</v>
      </c>
      <c r="G16" s="11">
        <v>394.19900000000001</v>
      </c>
      <c r="H16" s="11">
        <v>400.32400000000001</v>
      </c>
      <c r="I16" s="11">
        <v>406.73099999999999</v>
      </c>
      <c r="J16" s="11">
        <v>412.935</v>
      </c>
      <c r="K16" s="11">
        <v>417.78</v>
      </c>
      <c r="L16" s="11">
        <v>421.71</v>
      </c>
      <c r="M16" s="11">
        <v>429.24</v>
      </c>
      <c r="N16" s="11">
        <v>0.03</v>
      </c>
      <c r="O16" s="11">
        <v>5.7729999999999997</v>
      </c>
      <c r="P16" s="11">
        <v>12.331</v>
      </c>
      <c r="Q16" s="11">
        <v>20.11</v>
      </c>
      <c r="R16" s="9">
        <f t="shared" ref="R16" si="17">Q16-N16+M16-D16</f>
        <v>76.541999999999973</v>
      </c>
      <c r="U16" s="1">
        <v>7</v>
      </c>
      <c r="V16" s="230">
        <f t="shared" ref="V16:AD16" si="18">E16-D16</f>
        <v>7.8879999999999768</v>
      </c>
      <c r="W16" s="230">
        <f t="shared" si="18"/>
        <v>6.8650000000000091</v>
      </c>
      <c r="X16" s="230">
        <f t="shared" si="18"/>
        <v>6.6680000000000064</v>
      </c>
      <c r="Y16" s="230">
        <f t="shared" si="18"/>
        <v>6.125</v>
      </c>
      <c r="Z16" s="230">
        <f t="shared" si="18"/>
        <v>6.4069999999999823</v>
      </c>
      <c r="AA16" s="230">
        <f t="shared" si="18"/>
        <v>6.2040000000000077</v>
      </c>
      <c r="AB16" s="230">
        <f t="shared" si="18"/>
        <v>4.8449999999999704</v>
      </c>
      <c r="AC16" s="230">
        <f t="shared" si="18"/>
        <v>3.9300000000000068</v>
      </c>
      <c r="AD16" s="230">
        <f t="shared" si="18"/>
        <v>7.5300000000000296</v>
      </c>
      <c r="AE16" s="232">
        <f t="shared" ref="AE16:AG16" si="19">O16-N16</f>
        <v>5.7429999999999994</v>
      </c>
      <c r="AF16" s="232">
        <f t="shared" si="19"/>
        <v>6.5579999999999998</v>
      </c>
      <c r="AG16" s="232">
        <f t="shared" si="19"/>
        <v>7.7789999999999999</v>
      </c>
    </row>
    <row r="17" spans="1:33">
      <c r="A17" s="277"/>
      <c r="B17" s="275"/>
      <c r="C17" s="10" t="s">
        <v>42</v>
      </c>
      <c r="D17" s="11">
        <v>5.6929999999999996</v>
      </c>
      <c r="E17" s="11">
        <v>6.532</v>
      </c>
      <c r="F17" s="11">
        <v>7.234</v>
      </c>
      <c r="G17" s="11">
        <v>7.9050000000000002</v>
      </c>
      <c r="H17" s="11">
        <v>8.5079999999999991</v>
      </c>
      <c r="I17" s="11">
        <v>9.0719999999999992</v>
      </c>
      <c r="J17" s="11">
        <v>9.4809999999999999</v>
      </c>
      <c r="K17" s="11">
        <v>9.7910000000000004</v>
      </c>
      <c r="L17" s="11">
        <v>10.069000000000001</v>
      </c>
      <c r="M17" s="11">
        <v>10.545999999999999</v>
      </c>
      <c r="N17" s="11"/>
      <c r="O17" s="11">
        <v>11.089</v>
      </c>
      <c r="P17" s="11">
        <v>11.628</v>
      </c>
      <c r="Q17" s="11">
        <v>12.307</v>
      </c>
      <c r="R17" s="9"/>
      <c r="S17" s="9">
        <f>Q17-D17</f>
        <v>6.6140000000000008</v>
      </c>
      <c r="U17" s="306" t="s">
        <v>356</v>
      </c>
      <c r="V17" s="229"/>
      <c r="W17" s="229"/>
      <c r="X17" s="229"/>
      <c r="Y17" s="229"/>
      <c r="Z17" s="229"/>
      <c r="AA17" s="229"/>
      <c r="AB17" s="229"/>
      <c r="AC17" s="229"/>
      <c r="AD17" s="229"/>
      <c r="AE17" s="229"/>
      <c r="AF17" s="229"/>
      <c r="AG17" s="229"/>
    </row>
    <row r="18" spans="1:33">
      <c r="A18" s="181">
        <v>13</v>
      </c>
      <c r="B18" s="275">
        <v>8</v>
      </c>
      <c r="C18" s="224" t="s">
        <v>263</v>
      </c>
      <c r="D18" s="11">
        <v>44.54</v>
      </c>
      <c r="E18" s="11">
        <v>47.287999999999997</v>
      </c>
      <c r="F18" s="11">
        <v>49.811</v>
      </c>
      <c r="G18" s="11">
        <v>52.139000000000003</v>
      </c>
      <c r="H18" s="11">
        <v>54.378</v>
      </c>
      <c r="I18" s="11">
        <v>57.176000000000002</v>
      </c>
      <c r="J18" s="11">
        <v>59.765999999999998</v>
      </c>
      <c r="K18" s="11">
        <v>61.115000000000002</v>
      </c>
      <c r="L18" s="11">
        <v>64.44</v>
      </c>
      <c r="M18" s="11">
        <v>67.227000000000004</v>
      </c>
      <c r="N18" s="11">
        <v>0.08</v>
      </c>
      <c r="O18" s="11">
        <v>2.5960000000000001</v>
      </c>
      <c r="P18" s="11">
        <v>5.2809999999999997</v>
      </c>
      <c r="Q18" s="11">
        <v>9.1470000000000002</v>
      </c>
      <c r="R18" s="9">
        <f t="shared" ref="R18" si="20">Q18-N18+M18-D18</f>
        <v>31.754000000000012</v>
      </c>
      <c r="U18" s="1">
        <v>13</v>
      </c>
      <c r="V18" s="230">
        <f t="shared" ref="V18:AD18" si="21">E18-D18</f>
        <v>2.7479999999999976</v>
      </c>
      <c r="W18" s="230">
        <f t="shared" si="21"/>
        <v>2.5230000000000032</v>
      </c>
      <c r="X18" s="230">
        <f t="shared" si="21"/>
        <v>2.328000000000003</v>
      </c>
      <c r="Y18" s="230">
        <f t="shared" si="21"/>
        <v>2.2389999999999972</v>
      </c>
      <c r="Z18" s="230">
        <f t="shared" si="21"/>
        <v>2.7980000000000018</v>
      </c>
      <c r="AA18" s="230">
        <f t="shared" si="21"/>
        <v>2.5899999999999963</v>
      </c>
      <c r="AB18" s="230">
        <f t="shared" si="21"/>
        <v>1.3490000000000038</v>
      </c>
      <c r="AC18" s="230">
        <f t="shared" si="21"/>
        <v>3.3249999999999957</v>
      </c>
      <c r="AD18" s="230">
        <f t="shared" si="21"/>
        <v>2.7870000000000061</v>
      </c>
      <c r="AE18" s="230">
        <f t="shared" ref="AE18:AG18" si="22">O18-N18</f>
        <v>2.516</v>
      </c>
      <c r="AF18" s="230">
        <f t="shared" si="22"/>
        <v>2.6849999999999996</v>
      </c>
      <c r="AG18" s="230">
        <f t="shared" si="22"/>
        <v>3.8660000000000005</v>
      </c>
    </row>
    <row r="19" spans="1:33">
      <c r="A19" s="181" t="s">
        <v>43</v>
      </c>
      <c r="B19" s="275"/>
      <c r="C19" s="10" t="s">
        <v>44</v>
      </c>
      <c r="D19" s="11">
        <v>42.133000000000003</v>
      </c>
      <c r="E19" s="11">
        <v>47.494</v>
      </c>
      <c r="F19" s="11">
        <v>51.055</v>
      </c>
      <c r="G19" s="11">
        <v>54.313000000000002</v>
      </c>
      <c r="H19" s="11">
        <v>56.337000000000003</v>
      </c>
      <c r="I19" s="11">
        <v>57.825000000000003</v>
      </c>
      <c r="J19" s="11">
        <v>58.218000000000004</v>
      </c>
      <c r="K19" s="11">
        <v>58.512999999999998</v>
      </c>
      <c r="L19" s="11">
        <v>59.198</v>
      </c>
      <c r="M19" s="11">
        <v>59.506999999999998</v>
      </c>
      <c r="N19" s="11"/>
      <c r="O19" s="11">
        <v>61.168999999999997</v>
      </c>
      <c r="P19" s="11">
        <v>64.593999999999994</v>
      </c>
      <c r="Q19" s="11">
        <v>69.751000000000005</v>
      </c>
      <c r="R19" s="9"/>
      <c r="S19" s="9">
        <f>Q19-D19</f>
        <v>27.618000000000002</v>
      </c>
      <c r="U19" s="306" t="s">
        <v>355</v>
      </c>
      <c r="V19" s="304">
        <v>1.8689999999999998</v>
      </c>
      <c r="W19" s="304">
        <v>1.6080000000000005</v>
      </c>
      <c r="X19" s="304">
        <v>1.2490000000000023</v>
      </c>
      <c r="Y19" s="304">
        <v>1.3029999999999973</v>
      </c>
      <c r="Z19" s="304">
        <v>1.605000000000004</v>
      </c>
      <c r="AA19" s="304">
        <v>0.85099999999999909</v>
      </c>
      <c r="AB19" s="304">
        <v>0.31199999999999761</v>
      </c>
      <c r="AC19" s="304">
        <v>1.2010000000000005</v>
      </c>
      <c r="AD19" s="304">
        <v>1.3629999999999995</v>
      </c>
      <c r="AE19" s="304">
        <v>1.3029999999999999</v>
      </c>
      <c r="AF19" s="304">
        <v>1.3920000000000001</v>
      </c>
      <c r="AG19" s="304">
        <v>1.8920000000000003</v>
      </c>
    </row>
    <row r="20" spans="1:33">
      <c r="A20" s="277">
        <v>14</v>
      </c>
      <c r="B20" s="275">
        <v>9</v>
      </c>
      <c r="C20" s="224" t="s">
        <v>262</v>
      </c>
      <c r="D20" s="11">
        <v>215.44</v>
      </c>
      <c r="E20" s="11">
        <v>221.20599999999999</v>
      </c>
      <c r="F20" s="11">
        <v>228.96199999999999</v>
      </c>
      <c r="G20" s="11">
        <v>235.23</v>
      </c>
      <c r="H20" s="11">
        <v>244.279</v>
      </c>
      <c r="I20" s="11">
        <v>252.751</v>
      </c>
      <c r="J20" s="11">
        <v>259.72899999999998</v>
      </c>
      <c r="K20" s="11">
        <v>263.81900000000002</v>
      </c>
      <c r="L20" s="11">
        <v>270.83999999999997</v>
      </c>
      <c r="M20" s="11">
        <v>278.42500000000001</v>
      </c>
      <c r="N20" s="11">
        <v>0.03</v>
      </c>
      <c r="O20" s="11">
        <v>6.3630000000000004</v>
      </c>
      <c r="P20" s="11">
        <v>13.869</v>
      </c>
      <c r="Q20" s="11">
        <v>22.085000000000001</v>
      </c>
      <c r="R20" s="9">
        <f t="shared" ref="R20" si="23">Q20-N20+M20-D20</f>
        <v>85.04000000000002</v>
      </c>
      <c r="U20" s="1">
        <v>14</v>
      </c>
      <c r="V20" s="230">
        <f t="shared" ref="V20:AD20" si="24">E20-D20</f>
        <v>5.7659999999999911</v>
      </c>
      <c r="W20" s="230">
        <f t="shared" si="24"/>
        <v>7.7560000000000002</v>
      </c>
      <c r="X20" s="230">
        <f t="shared" si="24"/>
        <v>6.2680000000000007</v>
      </c>
      <c r="Y20" s="230">
        <f t="shared" si="24"/>
        <v>9.0490000000000066</v>
      </c>
      <c r="Z20" s="230">
        <f t="shared" si="24"/>
        <v>8.4720000000000084</v>
      </c>
      <c r="AA20" s="230">
        <f t="shared" si="24"/>
        <v>6.9779999999999802</v>
      </c>
      <c r="AB20" s="230">
        <f t="shared" si="24"/>
        <v>4.0900000000000318</v>
      </c>
      <c r="AC20" s="230">
        <f t="shared" si="24"/>
        <v>7.0209999999999582</v>
      </c>
      <c r="AD20" s="230">
        <f t="shared" si="24"/>
        <v>7.5850000000000364</v>
      </c>
      <c r="AE20" s="230">
        <f t="shared" ref="AE20:AG20" si="25">O20-N20</f>
        <v>6.3330000000000002</v>
      </c>
      <c r="AF20" s="230">
        <f t="shared" si="25"/>
        <v>7.5059999999999993</v>
      </c>
      <c r="AG20" s="230">
        <f t="shared" si="25"/>
        <v>8.2160000000000011</v>
      </c>
    </row>
    <row r="21" spans="1:33">
      <c r="A21" s="277"/>
      <c r="B21" s="275"/>
      <c r="C21" s="10" t="s">
        <v>45</v>
      </c>
      <c r="D21" s="11">
        <v>37.831000000000003</v>
      </c>
      <c r="E21" s="11">
        <v>42.725000000000001</v>
      </c>
      <c r="F21" s="11">
        <v>46.436999999999998</v>
      </c>
      <c r="G21" s="11">
        <v>48.715000000000003</v>
      </c>
      <c r="H21" s="11">
        <v>49.994999999999997</v>
      </c>
      <c r="I21" s="11">
        <v>51.183999999999997</v>
      </c>
      <c r="J21" s="11">
        <v>51.517000000000003</v>
      </c>
      <c r="K21" s="11">
        <v>51.802</v>
      </c>
      <c r="L21" s="11">
        <v>52.189</v>
      </c>
      <c r="M21" s="11">
        <v>52.576999999999998</v>
      </c>
      <c r="N21" s="11"/>
      <c r="O21" s="11">
        <v>53.780999999999999</v>
      </c>
      <c r="P21" s="11">
        <v>56.948</v>
      </c>
      <c r="Q21" s="11">
        <v>61.353999999999999</v>
      </c>
      <c r="R21" s="9"/>
      <c r="S21" s="9">
        <f>Q21-D21</f>
        <v>23.522999999999996</v>
      </c>
      <c r="U21" s="306" t="s">
        <v>356</v>
      </c>
      <c r="V21" s="229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</row>
    <row r="22" spans="1:33">
      <c r="A22" s="277">
        <v>10</v>
      </c>
      <c r="B22" s="275">
        <v>10</v>
      </c>
      <c r="C22" s="224" t="s">
        <v>261</v>
      </c>
      <c r="D22" s="11">
        <v>196.393</v>
      </c>
      <c r="E22" s="11">
        <v>199.71899999999999</v>
      </c>
      <c r="F22" s="11">
        <v>202.52699999999999</v>
      </c>
      <c r="G22" s="11">
        <v>205.374</v>
      </c>
      <c r="H22" s="11">
        <v>207.93600000000001</v>
      </c>
      <c r="I22" s="11">
        <v>210.48400000000001</v>
      </c>
      <c r="J22" s="11">
        <v>213.39699999999999</v>
      </c>
      <c r="K22" s="11">
        <v>216.11600000000001</v>
      </c>
      <c r="L22" s="11">
        <v>218.12</v>
      </c>
      <c r="M22" s="11">
        <v>222.5</v>
      </c>
      <c r="N22" s="11">
        <v>0.01</v>
      </c>
      <c r="O22" s="11">
        <v>1.7769999999999999</v>
      </c>
      <c r="P22" s="11">
        <v>3.7360000000000002</v>
      </c>
      <c r="Q22" s="11">
        <v>5.6189999999999998</v>
      </c>
      <c r="R22" s="9">
        <f t="shared" ref="R22" si="26">Q22-N22+M22-D22</f>
        <v>31.716000000000008</v>
      </c>
      <c r="U22" s="1">
        <v>10</v>
      </c>
      <c r="V22" s="230">
        <f t="shared" ref="V22:AD22" si="27">E22-D22</f>
        <v>3.3259999999999934</v>
      </c>
      <c r="W22" s="230">
        <f t="shared" si="27"/>
        <v>2.8079999999999927</v>
      </c>
      <c r="X22" s="230">
        <f t="shared" si="27"/>
        <v>2.8470000000000084</v>
      </c>
      <c r="Y22" s="230">
        <f t="shared" si="27"/>
        <v>2.5620000000000118</v>
      </c>
      <c r="Z22" s="230">
        <f t="shared" si="27"/>
        <v>2.5480000000000018</v>
      </c>
      <c r="AA22" s="230">
        <f t="shared" si="27"/>
        <v>2.9129999999999825</v>
      </c>
      <c r="AB22" s="230">
        <f t="shared" si="27"/>
        <v>2.7190000000000225</v>
      </c>
      <c r="AC22" s="230">
        <f t="shared" si="27"/>
        <v>2.0039999999999907</v>
      </c>
      <c r="AD22" s="230">
        <f t="shared" si="27"/>
        <v>4.3799999999999955</v>
      </c>
      <c r="AE22" s="302">
        <f t="shared" ref="AE22:AG22" si="28">O22-N22</f>
        <v>1.7669999999999999</v>
      </c>
      <c r="AF22" s="302">
        <f t="shared" si="28"/>
        <v>1.9590000000000003</v>
      </c>
      <c r="AG22" s="302">
        <f t="shared" si="28"/>
        <v>1.8829999999999996</v>
      </c>
    </row>
    <row r="23" spans="1:33">
      <c r="A23" s="277"/>
      <c r="B23" s="275"/>
      <c r="C23" s="10" t="s">
        <v>46</v>
      </c>
      <c r="D23" s="11">
        <v>23.343</v>
      </c>
      <c r="E23" s="11">
        <v>27.010999999999999</v>
      </c>
      <c r="F23" s="11">
        <v>28.815000000000001</v>
      </c>
      <c r="G23" s="11">
        <v>29.914000000000001</v>
      </c>
      <c r="H23" s="11">
        <v>30.425000000000001</v>
      </c>
      <c r="I23" s="11">
        <v>30.763999999999999</v>
      </c>
      <c r="J23" s="11">
        <v>31.010999999999999</v>
      </c>
      <c r="K23" s="11">
        <v>31.297999999999998</v>
      </c>
      <c r="L23" s="11">
        <v>31.562000000000001</v>
      </c>
      <c r="M23" s="11">
        <v>31.908999999999999</v>
      </c>
      <c r="N23" s="11"/>
      <c r="O23" s="11">
        <v>32.768999999999998</v>
      </c>
      <c r="P23" s="11">
        <v>34.853000000000002</v>
      </c>
      <c r="Q23" s="11">
        <v>38.191000000000003</v>
      </c>
      <c r="R23" s="116"/>
      <c r="S23" s="146">
        <f>Q23-D23</f>
        <v>14.848000000000003</v>
      </c>
      <c r="U23" s="306" t="s">
        <v>356</v>
      </c>
      <c r="V23" s="229"/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  <c r="AG23" s="229"/>
    </row>
    <row r="24" spans="1:33">
      <c r="A24" s="30"/>
      <c r="B24" s="182" t="s">
        <v>25</v>
      </c>
      <c r="C24" s="10" t="s">
        <v>47</v>
      </c>
      <c r="D24" s="15">
        <v>53946</v>
      </c>
      <c r="E24" s="15">
        <v>54207</v>
      </c>
      <c r="F24" s="15">
        <v>54499</v>
      </c>
      <c r="G24" s="15">
        <v>54773</v>
      </c>
      <c r="H24" s="15">
        <v>55043</v>
      </c>
      <c r="I24" s="15">
        <v>55297</v>
      </c>
      <c r="J24" s="15">
        <v>55723</v>
      </c>
      <c r="K24" s="15">
        <v>56017</v>
      </c>
      <c r="L24" s="15">
        <v>56321</v>
      </c>
      <c r="M24" s="15">
        <v>56589</v>
      </c>
      <c r="N24" s="15"/>
      <c r="O24" s="15">
        <v>56898</v>
      </c>
      <c r="P24" s="15">
        <v>57243</v>
      </c>
      <c r="Q24" s="15">
        <v>57596</v>
      </c>
      <c r="R24" s="9">
        <f>SUM(R4:R23)+SUM(R33:R49)</f>
        <v>1046.5609999999997</v>
      </c>
      <c r="S24" s="9">
        <f>SUM(S4:S23)</f>
        <v>240.83400000000003</v>
      </c>
      <c r="T24" s="18">
        <f>Q24-D24</f>
        <v>3650</v>
      </c>
      <c r="U24" t="s">
        <v>354</v>
      </c>
    </row>
    <row r="25" spans="1:33">
      <c r="A25" s="30"/>
      <c r="B25" s="182"/>
      <c r="C25" s="10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9"/>
      <c r="T25" s="18"/>
    </row>
    <row r="26" spans="1:33">
      <c r="A26" s="30"/>
      <c r="B26" s="174"/>
      <c r="C26" s="224" t="s">
        <v>239</v>
      </c>
      <c r="D26" s="20">
        <v>3412.3</v>
      </c>
      <c r="E26" s="20">
        <v>3523.6</v>
      </c>
      <c r="F26" s="20">
        <v>3621.9</v>
      </c>
      <c r="G26" s="20">
        <v>3715.9</v>
      </c>
      <c r="H26" s="20">
        <v>3821.3</v>
      </c>
      <c r="I26" s="20">
        <v>3921.5</v>
      </c>
      <c r="J26" s="20">
        <v>3995.1</v>
      </c>
      <c r="K26" s="20">
        <v>4084.1</v>
      </c>
      <c r="L26" s="20">
        <v>4174.1000000000004</v>
      </c>
      <c r="M26" s="20">
        <v>4274.5</v>
      </c>
      <c r="N26" s="20">
        <v>0</v>
      </c>
      <c r="O26" s="20">
        <v>82.4</v>
      </c>
      <c r="P26" s="20">
        <v>171.3</v>
      </c>
      <c r="Q26" s="20">
        <v>286.5</v>
      </c>
      <c r="R26" s="9">
        <f t="shared" ref="R26" si="29">Q26-N26+M26-D26</f>
        <v>1148.6999999999998</v>
      </c>
    </row>
    <row r="27" spans="1:33">
      <c r="A27" s="30"/>
      <c r="B27" s="183"/>
      <c r="C27" s="10" t="s">
        <v>48</v>
      </c>
      <c r="D27" s="21">
        <v>239.7</v>
      </c>
      <c r="E27" s="21">
        <v>253.91</v>
      </c>
      <c r="F27" s="21">
        <v>264.35000000000002</v>
      </c>
      <c r="G27" s="21">
        <v>272.76</v>
      </c>
      <c r="H27" s="21">
        <v>278.95</v>
      </c>
      <c r="I27" s="21">
        <v>284.01</v>
      </c>
      <c r="J27" s="21">
        <v>0.97</v>
      </c>
      <c r="K27" s="22">
        <v>3.71</v>
      </c>
      <c r="L27" s="22">
        <v>6.51</v>
      </c>
      <c r="M27" s="21">
        <v>9.84</v>
      </c>
      <c r="N27" s="21"/>
      <c r="O27" s="21">
        <v>15.14</v>
      </c>
      <c r="P27" s="21">
        <v>23.57</v>
      </c>
      <c r="Q27" s="21">
        <v>36.19</v>
      </c>
      <c r="R27" s="9"/>
      <c r="S27" s="9">
        <f>(Q27-N52+N51-D27)*3.6</f>
        <v>293.83200000000005</v>
      </c>
      <c r="T27" t="s">
        <v>177</v>
      </c>
    </row>
    <row r="28" spans="1:33" ht="15.75" thickBot="1">
      <c r="A28" s="30"/>
      <c r="B28" s="173"/>
      <c r="C28" s="31" t="s">
        <v>28</v>
      </c>
      <c r="D28" s="24">
        <v>22298</v>
      </c>
      <c r="E28" s="24">
        <v>24176</v>
      </c>
      <c r="F28" s="24">
        <v>25585</v>
      </c>
      <c r="G28" s="24">
        <v>26966</v>
      </c>
      <c r="H28" s="24">
        <v>28362</v>
      </c>
      <c r="I28" s="24">
        <v>29733</v>
      </c>
      <c r="J28" s="24">
        <v>440</v>
      </c>
      <c r="K28" s="24">
        <v>1657</v>
      </c>
      <c r="L28" s="24">
        <v>2887</v>
      </c>
      <c r="M28" s="24">
        <v>4004</v>
      </c>
      <c r="N28" s="24"/>
      <c r="O28" s="24">
        <v>5308</v>
      </c>
      <c r="P28" s="24">
        <v>6451</v>
      </c>
      <c r="Q28" s="315">
        <v>7699</v>
      </c>
      <c r="R28" s="9"/>
    </row>
    <row r="29" spans="1:33" ht="15.75" thickBot="1">
      <c r="A29" s="30"/>
      <c r="B29" s="175" t="str">
        <f>'1850'!A29</f>
        <v>fakturační vodoměr č.         110109308</v>
      </c>
      <c r="C29" s="25"/>
      <c r="D29" s="99">
        <f>'1850'!C29</f>
        <v>12400</v>
      </c>
      <c r="E29" s="99">
        <f>'1850'!D29</f>
        <v>12741.6</v>
      </c>
      <c r="F29" s="99">
        <f>'1850'!E29</f>
        <v>4358.2</v>
      </c>
      <c r="G29" s="99">
        <f>'1850'!F29</f>
        <v>4677.5</v>
      </c>
      <c r="H29" s="99">
        <f>'1850'!G29</f>
        <v>5038.2</v>
      </c>
      <c r="I29" s="99">
        <f>'1850'!H29</f>
        <v>5389.7</v>
      </c>
      <c r="J29" s="99">
        <f>'1850'!I29</f>
        <v>5691.3</v>
      </c>
      <c r="K29" s="99">
        <f>'1850'!J29</f>
        <v>6012.6</v>
      </c>
      <c r="L29" s="99">
        <f>'1850'!K29</f>
        <v>6313.8</v>
      </c>
      <c r="M29" s="99">
        <f>'1850'!L29</f>
        <v>6605.1</v>
      </c>
      <c r="N29" s="99"/>
      <c r="O29" s="99">
        <f>'1850'!N29</f>
        <v>6922.5</v>
      </c>
      <c r="P29" s="313">
        <f>'1850'!O29</f>
        <v>7232.3</v>
      </c>
      <c r="Q29" s="316">
        <f>'1850'!R29</f>
        <v>7593.2</v>
      </c>
      <c r="R29" s="314">
        <f>'1850'!S29</f>
        <v>3894.2000000000007</v>
      </c>
      <c r="V29" t="s">
        <v>360</v>
      </c>
    </row>
    <row r="30" spans="1:33" ht="3.75" customHeight="1">
      <c r="A30" s="30"/>
      <c r="B30" s="30"/>
    </row>
    <row r="31" spans="1:33" ht="15.75" thickBot="1">
      <c r="A31" s="30"/>
      <c r="B31" s="176"/>
      <c r="E31" s="28" t="s">
        <v>29</v>
      </c>
      <c r="U31" s="1" t="s">
        <v>321</v>
      </c>
      <c r="V31" s="5" t="s">
        <v>4</v>
      </c>
      <c r="W31" s="5" t="s">
        <v>5</v>
      </c>
      <c r="X31" s="5" t="s">
        <v>6</v>
      </c>
      <c r="Y31" s="5" t="s">
        <v>7</v>
      </c>
      <c r="Z31" s="5" t="s">
        <v>8</v>
      </c>
      <c r="AA31" s="5" t="s">
        <v>9</v>
      </c>
      <c r="AB31" s="5" t="s">
        <v>10</v>
      </c>
      <c r="AC31" s="5" t="s">
        <v>11</v>
      </c>
      <c r="AD31" s="5" t="s">
        <v>12</v>
      </c>
      <c r="AE31" s="227" t="s">
        <v>13</v>
      </c>
      <c r="AF31" s="227" t="s">
        <v>14</v>
      </c>
      <c r="AG31" s="227" t="s">
        <v>3</v>
      </c>
    </row>
    <row r="32" spans="1:33" ht="3.75" customHeight="1" thickBot="1">
      <c r="A32" s="30"/>
      <c r="B32" s="30"/>
    </row>
    <row r="33" spans="1:33" ht="15.75" thickBot="1">
      <c r="A33" s="184">
        <v>3</v>
      </c>
      <c r="B33" s="102" t="s">
        <v>171</v>
      </c>
      <c r="C33" s="223" t="s">
        <v>244</v>
      </c>
      <c r="D33" s="7">
        <v>328.41500000000002</v>
      </c>
      <c r="E33" s="7">
        <v>336.214</v>
      </c>
      <c r="F33" s="7">
        <v>343.52300000000002</v>
      </c>
      <c r="G33" s="7">
        <v>350.73700000000002</v>
      </c>
      <c r="H33" s="7">
        <v>358.76</v>
      </c>
      <c r="I33" s="7">
        <v>367.00200000000001</v>
      </c>
      <c r="J33" s="7">
        <v>372.33199999999999</v>
      </c>
      <c r="K33" s="7">
        <v>380.47199999999998</v>
      </c>
      <c r="L33" s="7">
        <v>390.85899999999998</v>
      </c>
      <c r="M33" s="8">
        <v>400.81299999999999</v>
      </c>
      <c r="N33" s="7">
        <v>0.02</v>
      </c>
      <c r="O33" s="7">
        <v>5.8529999999999998</v>
      </c>
      <c r="P33" s="7">
        <v>13.173999999999999</v>
      </c>
      <c r="Q33" s="7">
        <v>20.498999999999999</v>
      </c>
      <c r="R33" s="9">
        <f t="shared" ref="R33:R37" si="30">Q33-N33+M33-D33</f>
        <v>92.876999999999953</v>
      </c>
      <c r="U33" s="239">
        <v>3</v>
      </c>
      <c r="V33" s="169">
        <f t="shared" ref="V33:V37" si="31">E33-D33</f>
        <v>7.7989999999999782</v>
      </c>
      <c r="W33" s="169">
        <f t="shared" ref="W33:W37" si="32">F33-E33</f>
        <v>7.3090000000000259</v>
      </c>
      <c r="X33" s="169">
        <f t="shared" ref="X33:X37" si="33">G33-F33</f>
        <v>7.2139999999999986</v>
      </c>
      <c r="Y33" s="169">
        <f t="shared" ref="Y33:Y37" si="34">H33-G33</f>
        <v>8.0229999999999677</v>
      </c>
      <c r="Z33" s="169">
        <f t="shared" ref="Z33:Z37" si="35">I33-H33</f>
        <v>8.2420000000000186</v>
      </c>
      <c r="AA33" s="169">
        <f t="shared" ref="AA33:AA37" si="36">J33-I33</f>
        <v>5.3299999999999841</v>
      </c>
      <c r="AB33" s="169">
        <f t="shared" ref="AB33:AB37" si="37">K33-J33</f>
        <v>8.1399999999999864</v>
      </c>
      <c r="AC33" s="169">
        <f t="shared" ref="AC33:AC37" si="38">L33-K33</f>
        <v>10.387</v>
      </c>
      <c r="AD33" s="169">
        <f t="shared" ref="AD33:AD37" si="39">M33-L33</f>
        <v>9.9540000000000077</v>
      </c>
      <c r="AE33" s="169">
        <f t="shared" ref="AE33:AE37" si="40">O33-N33</f>
        <v>5.8330000000000002</v>
      </c>
      <c r="AF33" s="169">
        <f t="shared" ref="AF33:AG37" si="41">P33-O33</f>
        <v>7.3209999999999997</v>
      </c>
      <c r="AG33" s="169">
        <f t="shared" si="41"/>
        <v>7.3249999999999993</v>
      </c>
    </row>
    <row r="34" spans="1:33" ht="15.75" thickBot="1">
      <c r="A34" s="184">
        <v>6</v>
      </c>
      <c r="B34" s="102" t="s">
        <v>172</v>
      </c>
      <c r="C34" s="223" t="s">
        <v>248</v>
      </c>
      <c r="D34" s="11">
        <v>109.497</v>
      </c>
      <c r="E34" s="11">
        <v>113.895</v>
      </c>
      <c r="F34" s="11">
        <v>116.34699999999999</v>
      </c>
      <c r="G34" s="11">
        <v>120.486</v>
      </c>
      <c r="H34" s="11">
        <v>124.79900000000001</v>
      </c>
      <c r="I34" s="11">
        <v>128.459</v>
      </c>
      <c r="J34" s="11">
        <v>129.023</v>
      </c>
      <c r="K34" s="11">
        <v>131.15299999999999</v>
      </c>
      <c r="L34" s="11">
        <v>133.73400000000001</v>
      </c>
      <c r="M34" s="11">
        <v>134.02699999999999</v>
      </c>
      <c r="N34" s="11">
        <v>0.03</v>
      </c>
      <c r="O34" s="11">
        <v>0.14000000000000001</v>
      </c>
      <c r="P34" s="11">
        <v>1.1479999999999999</v>
      </c>
      <c r="Q34" s="11">
        <v>6.391</v>
      </c>
      <c r="R34" s="9">
        <f t="shared" si="30"/>
        <v>30.890999999999977</v>
      </c>
      <c r="U34" s="239">
        <v>6</v>
      </c>
      <c r="V34" s="169">
        <f t="shared" si="31"/>
        <v>4.3979999999999961</v>
      </c>
      <c r="W34" s="169">
        <f t="shared" si="32"/>
        <v>2.4519999999999982</v>
      </c>
      <c r="X34" s="169">
        <f t="shared" si="33"/>
        <v>4.13900000000001</v>
      </c>
      <c r="Y34" s="169">
        <f t="shared" si="34"/>
        <v>4.3130000000000024</v>
      </c>
      <c r="Z34" s="169">
        <f t="shared" si="35"/>
        <v>3.6599999999999966</v>
      </c>
      <c r="AA34" s="169">
        <f t="shared" si="36"/>
        <v>0.56399999999999295</v>
      </c>
      <c r="AB34" s="169">
        <f t="shared" si="37"/>
        <v>2.1299999999999955</v>
      </c>
      <c r="AC34" s="169">
        <f t="shared" si="38"/>
        <v>2.5810000000000173</v>
      </c>
      <c r="AD34" s="169">
        <f t="shared" si="39"/>
        <v>0.29299999999997794</v>
      </c>
      <c r="AE34" s="169">
        <f t="shared" si="40"/>
        <v>0.11000000000000001</v>
      </c>
      <c r="AF34" s="169">
        <f t="shared" si="41"/>
        <v>1.008</v>
      </c>
      <c r="AG34" s="169">
        <f t="shared" si="41"/>
        <v>5.2430000000000003</v>
      </c>
    </row>
    <row r="35" spans="1:33" ht="15.75" thickBot="1">
      <c r="A35" s="184">
        <v>8</v>
      </c>
      <c r="B35" s="102" t="s">
        <v>173</v>
      </c>
      <c r="C35" s="223" t="s">
        <v>252</v>
      </c>
      <c r="D35" s="11">
        <v>88.561000000000007</v>
      </c>
      <c r="E35" s="11">
        <v>93.88</v>
      </c>
      <c r="F35" s="11">
        <v>98.164000000000001</v>
      </c>
      <c r="G35" s="11">
        <v>103.197</v>
      </c>
      <c r="H35" s="11">
        <v>108.667</v>
      </c>
      <c r="I35" s="11">
        <v>114.35899999999999</v>
      </c>
      <c r="J35" s="11">
        <v>119.51</v>
      </c>
      <c r="K35" s="11">
        <v>125.858</v>
      </c>
      <c r="L35" s="11">
        <v>130.08699999999999</v>
      </c>
      <c r="M35" s="11">
        <v>136.07</v>
      </c>
      <c r="N35" s="11">
        <v>0.01</v>
      </c>
      <c r="O35" s="11">
        <v>4.4820000000000002</v>
      </c>
      <c r="P35" s="11">
        <v>10.331</v>
      </c>
      <c r="Q35" s="11">
        <v>16.905999999999999</v>
      </c>
      <c r="R35" s="9">
        <f t="shared" si="30"/>
        <v>64.404999999999973</v>
      </c>
      <c r="U35" s="239">
        <v>8</v>
      </c>
      <c r="V35" s="169">
        <f t="shared" si="31"/>
        <v>5.3189999999999884</v>
      </c>
      <c r="W35" s="169">
        <f t="shared" si="32"/>
        <v>4.284000000000006</v>
      </c>
      <c r="X35" s="169">
        <f t="shared" si="33"/>
        <v>5.0330000000000013</v>
      </c>
      <c r="Y35" s="169">
        <f t="shared" si="34"/>
        <v>5.4699999999999989</v>
      </c>
      <c r="Z35" s="169">
        <f t="shared" si="35"/>
        <v>5.6919999999999931</v>
      </c>
      <c r="AA35" s="169">
        <f t="shared" si="36"/>
        <v>5.1510000000000105</v>
      </c>
      <c r="AB35" s="169">
        <f t="shared" si="37"/>
        <v>6.347999999999999</v>
      </c>
      <c r="AC35" s="169">
        <f t="shared" si="38"/>
        <v>4.228999999999985</v>
      </c>
      <c r="AD35" s="169">
        <f t="shared" si="39"/>
        <v>5.9830000000000041</v>
      </c>
      <c r="AE35" s="169">
        <f t="shared" si="40"/>
        <v>4.4720000000000004</v>
      </c>
      <c r="AF35" s="169">
        <f t="shared" si="41"/>
        <v>5.8489999999999993</v>
      </c>
      <c r="AG35" s="169">
        <f t="shared" si="41"/>
        <v>6.5749999999999993</v>
      </c>
    </row>
    <row r="36" spans="1:33" ht="15.75" thickBot="1">
      <c r="A36" s="184">
        <v>11</v>
      </c>
      <c r="B36" s="102" t="s">
        <v>174</v>
      </c>
      <c r="C36" s="223" t="s">
        <v>256</v>
      </c>
      <c r="D36" s="11">
        <v>6.4059999999999997</v>
      </c>
      <c r="E36" s="11">
        <v>6.62</v>
      </c>
      <c r="F36" s="11">
        <v>6.9050000000000002</v>
      </c>
      <c r="G36" s="11">
        <v>7.194</v>
      </c>
      <c r="H36" s="11">
        <v>7.4160000000000004</v>
      </c>
      <c r="I36" s="11">
        <v>7.6230000000000002</v>
      </c>
      <c r="J36" s="11">
        <v>7.8710000000000004</v>
      </c>
      <c r="K36" s="11">
        <v>8.9489999999999998</v>
      </c>
      <c r="L36" s="11">
        <v>9.7200000000000006</v>
      </c>
      <c r="M36" s="11">
        <v>10.315</v>
      </c>
      <c r="N36" s="11">
        <v>0.01</v>
      </c>
      <c r="O36" s="11">
        <v>0.65</v>
      </c>
      <c r="P36" s="11">
        <v>1.171</v>
      </c>
      <c r="Q36" s="11">
        <v>1.9850000000000001</v>
      </c>
      <c r="R36" s="9">
        <f t="shared" si="30"/>
        <v>5.8839999999999995</v>
      </c>
      <c r="U36" s="239">
        <v>11</v>
      </c>
      <c r="V36" s="169">
        <f t="shared" si="31"/>
        <v>0.21400000000000041</v>
      </c>
      <c r="W36" s="169">
        <f t="shared" si="32"/>
        <v>0.28500000000000014</v>
      </c>
      <c r="X36" s="169">
        <f t="shared" si="33"/>
        <v>0.2889999999999997</v>
      </c>
      <c r="Y36" s="169">
        <f t="shared" si="34"/>
        <v>0.22200000000000042</v>
      </c>
      <c r="Z36" s="169">
        <f t="shared" si="35"/>
        <v>0.20699999999999985</v>
      </c>
      <c r="AA36" s="169">
        <f t="shared" si="36"/>
        <v>0.24800000000000022</v>
      </c>
      <c r="AB36" s="169">
        <f t="shared" si="37"/>
        <v>1.0779999999999994</v>
      </c>
      <c r="AC36" s="169">
        <f t="shared" si="38"/>
        <v>0.7710000000000008</v>
      </c>
      <c r="AD36" s="169">
        <f t="shared" si="39"/>
        <v>0.59499999999999886</v>
      </c>
      <c r="AE36" s="169">
        <f t="shared" si="40"/>
        <v>0.64</v>
      </c>
      <c r="AF36" s="169">
        <f t="shared" si="41"/>
        <v>0.52100000000000002</v>
      </c>
      <c r="AG36" s="169">
        <f t="shared" si="41"/>
        <v>0.81400000000000006</v>
      </c>
    </row>
    <row r="37" spans="1:33">
      <c r="A37" s="184">
        <v>12</v>
      </c>
      <c r="B37" s="102" t="s">
        <v>175</v>
      </c>
      <c r="C37" s="223" t="s">
        <v>258</v>
      </c>
      <c r="D37" s="11">
        <v>130.08600000000001</v>
      </c>
      <c r="E37" s="11">
        <v>132.33600000000001</v>
      </c>
      <c r="F37" s="11">
        <v>134.166</v>
      </c>
      <c r="G37" s="11">
        <v>136.19499999999999</v>
      </c>
      <c r="H37" s="11">
        <v>138.489</v>
      </c>
      <c r="I37" s="11">
        <v>140.62200000000001</v>
      </c>
      <c r="J37" s="11">
        <v>142.82599999999999</v>
      </c>
      <c r="K37" s="11">
        <v>145.04499999999999</v>
      </c>
      <c r="L37" s="11">
        <v>146.85499999999999</v>
      </c>
      <c r="M37" s="11">
        <v>149.30199999999999</v>
      </c>
      <c r="N37" s="11">
        <v>0.04</v>
      </c>
      <c r="O37" s="11">
        <v>1.835</v>
      </c>
      <c r="P37" s="11">
        <v>3.6509999999999998</v>
      </c>
      <c r="Q37" s="11">
        <v>5.8689999999999998</v>
      </c>
      <c r="R37" s="9">
        <f t="shared" si="30"/>
        <v>25.044999999999987</v>
      </c>
      <c r="U37" s="239">
        <v>12</v>
      </c>
      <c r="V37" s="169">
        <f t="shared" si="31"/>
        <v>2.25</v>
      </c>
      <c r="W37" s="169">
        <f t="shared" si="32"/>
        <v>1.8299999999999841</v>
      </c>
      <c r="X37" s="169">
        <f t="shared" si="33"/>
        <v>2.0289999999999964</v>
      </c>
      <c r="Y37" s="169">
        <f t="shared" si="34"/>
        <v>2.2940000000000111</v>
      </c>
      <c r="Z37" s="169">
        <f t="shared" si="35"/>
        <v>2.1330000000000098</v>
      </c>
      <c r="AA37" s="169">
        <f t="shared" si="36"/>
        <v>2.2039999999999793</v>
      </c>
      <c r="AB37" s="169">
        <f t="shared" si="37"/>
        <v>2.2189999999999941</v>
      </c>
      <c r="AC37" s="169">
        <f t="shared" si="38"/>
        <v>1.8100000000000023</v>
      </c>
      <c r="AD37" s="169">
        <f t="shared" si="39"/>
        <v>2.4470000000000027</v>
      </c>
      <c r="AE37" s="169">
        <f t="shared" si="40"/>
        <v>1.7949999999999999</v>
      </c>
      <c r="AF37" s="169">
        <f t="shared" si="41"/>
        <v>1.8159999999999998</v>
      </c>
      <c r="AG37" s="169">
        <f t="shared" si="41"/>
        <v>2.218</v>
      </c>
    </row>
    <row r="38" spans="1:33">
      <c r="A38" s="30"/>
      <c r="B38" s="30"/>
      <c r="U38" s="160"/>
    </row>
    <row r="39" spans="1:33" ht="15.75" thickBot="1">
      <c r="A39" s="30"/>
      <c r="B39" s="30"/>
      <c r="C39" t="s">
        <v>49</v>
      </c>
      <c r="U39" s="160"/>
      <c r="V39" t="s">
        <v>322</v>
      </c>
    </row>
    <row r="40" spans="1:33" ht="15.75" thickBot="1">
      <c r="A40" s="181">
        <v>2</v>
      </c>
      <c r="B40" s="101">
        <v>2</v>
      </c>
      <c r="C40" s="226" t="s">
        <v>243</v>
      </c>
      <c r="D40" s="8">
        <v>181.03899999999999</v>
      </c>
      <c r="E40" s="8">
        <v>187.023</v>
      </c>
      <c r="F40" s="8">
        <v>192.249</v>
      </c>
      <c r="G40" s="8">
        <v>197.12799999999999</v>
      </c>
      <c r="H40" s="8">
        <v>203.113</v>
      </c>
      <c r="I40" s="8">
        <v>208.22499999999999</v>
      </c>
      <c r="J40" s="8">
        <v>210.857</v>
      </c>
      <c r="K40" s="8">
        <v>213.75299999999999</v>
      </c>
      <c r="L40" s="8">
        <v>216.87</v>
      </c>
      <c r="M40" s="8">
        <v>220.90899999999999</v>
      </c>
      <c r="N40" s="8">
        <v>0.01</v>
      </c>
      <c r="O40" s="8">
        <v>1.7669999999999999</v>
      </c>
      <c r="P40" s="8">
        <v>2.766</v>
      </c>
      <c r="Q40" s="8">
        <v>3.3730000000000002</v>
      </c>
      <c r="R40" s="9">
        <f t="shared" ref="R40:R49" si="42">Q40-N40+M40-D40</f>
        <v>43.233000000000004</v>
      </c>
      <c r="U40" s="239">
        <v>2</v>
      </c>
      <c r="V40" s="169">
        <f t="shared" ref="V40:V49" si="43">E40-D40</f>
        <v>5.9840000000000089</v>
      </c>
      <c r="W40" s="169">
        <f t="shared" ref="W40:W49" si="44">F40-E40</f>
        <v>5.2259999999999991</v>
      </c>
      <c r="X40" s="169">
        <f t="shared" ref="X40:X49" si="45">G40-F40</f>
        <v>4.8789999999999907</v>
      </c>
      <c r="Y40" s="169">
        <f t="shared" ref="Y40:Y49" si="46">H40-G40</f>
        <v>5.9850000000000136</v>
      </c>
      <c r="Z40" s="169">
        <f t="shared" ref="Z40:Z49" si="47">I40-H40</f>
        <v>5.1119999999999948</v>
      </c>
      <c r="AA40" s="169">
        <f t="shared" ref="AA40:AA49" si="48">J40-I40</f>
        <v>2.632000000000005</v>
      </c>
      <c r="AB40" s="169">
        <f t="shared" ref="AB40:AB49" si="49">K40-J40</f>
        <v>2.8959999999999866</v>
      </c>
      <c r="AC40" s="169">
        <f t="shared" ref="AC40:AC49" si="50">L40-K40</f>
        <v>3.1170000000000186</v>
      </c>
      <c r="AD40" s="169">
        <f t="shared" ref="AD40:AD49" si="51">M40-L40</f>
        <v>4.0389999999999873</v>
      </c>
      <c r="AE40" s="169">
        <f t="shared" ref="AE40:AE49" si="52">O40-N40</f>
        <v>1.7569999999999999</v>
      </c>
      <c r="AF40" s="169">
        <f t="shared" ref="AF40:AG49" si="53">P40-O40</f>
        <v>0.99900000000000011</v>
      </c>
      <c r="AG40" s="169">
        <f t="shared" si="53"/>
        <v>0.60700000000000021</v>
      </c>
    </row>
    <row r="41" spans="1:33" ht="15.75" thickBot="1">
      <c r="A41" s="181">
        <v>3</v>
      </c>
      <c r="B41" s="101" t="s">
        <v>171</v>
      </c>
      <c r="C41" s="226" t="s">
        <v>245</v>
      </c>
      <c r="D41" s="11">
        <v>220.12899999999999</v>
      </c>
      <c r="E41" s="11">
        <v>225.25200000000001</v>
      </c>
      <c r="F41" s="11">
        <v>230.48</v>
      </c>
      <c r="G41" s="11">
        <v>235.529</v>
      </c>
      <c r="H41" s="11">
        <v>241.05500000000001</v>
      </c>
      <c r="I41" s="11">
        <v>246.04599999999999</v>
      </c>
      <c r="J41" s="11">
        <v>248.09100000000001</v>
      </c>
      <c r="K41" s="11">
        <v>251.655</v>
      </c>
      <c r="L41" s="11">
        <v>255.71799999999999</v>
      </c>
      <c r="M41" s="11">
        <v>260.21800000000002</v>
      </c>
      <c r="N41" s="11">
        <v>0.01</v>
      </c>
      <c r="O41" s="11">
        <v>3.0680000000000001</v>
      </c>
      <c r="P41" s="11">
        <v>5.8319999999999999</v>
      </c>
      <c r="Q41" s="11">
        <v>7.5540000000000003</v>
      </c>
      <c r="R41" s="9">
        <f t="shared" si="42"/>
        <v>47.63300000000001</v>
      </c>
      <c r="U41" s="239">
        <v>3</v>
      </c>
      <c r="V41" s="169">
        <f t="shared" si="43"/>
        <v>5.1230000000000189</v>
      </c>
      <c r="W41" s="169">
        <f t="shared" si="44"/>
        <v>5.2279999999999802</v>
      </c>
      <c r="X41" s="169">
        <f t="shared" si="45"/>
        <v>5.0490000000000066</v>
      </c>
      <c r="Y41" s="169">
        <f t="shared" si="46"/>
        <v>5.5260000000000105</v>
      </c>
      <c r="Z41" s="169">
        <f t="shared" si="47"/>
        <v>4.9909999999999854</v>
      </c>
      <c r="AA41" s="169">
        <f t="shared" si="48"/>
        <v>2.0450000000000159</v>
      </c>
      <c r="AB41" s="169">
        <f t="shared" si="49"/>
        <v>3.563999999999993</v>
      </c>
      <c r="AC41" s="169">
        <f t="shared" si="50"/>
        <v>4.0629999999999882</v>
      </c>
      <c r="AD41" s="169">
        <f t="shared" si="51"/>
        <v>4.5000000000000284</v>
      </c>
      <c r="AE41" s="169">
        <f t="shared" si="52"/>
        <v>3.0580000000000003</v>
      </c>
      <c r="AF41" s="169">
        <f t="shared" si="53"/>
        <v>2.7639999999999998</v>
      </c>
      <c r="AG41" s="169">
        <f t="shared" si="53"/>
        <v>1.7220000000000004</v>
      </c>
    </row>
    <row r="42" spans="1:33" ht="15.75" thickBot="1">
      <c r="A42" s="181">
        <v>5</v>
      </c>
      <c r="B42" s="101">
        <v>3</v>
      </c>
      <c r="C42" s="226" t="s">
        <v>247</v>
      </c>
      <c r="D42" s="11">
        <v>2.7759999999999998</v>
      </c>
      <c r="E42" s="11">
        <v>3.18</v>
      </c>
      <c r="F42" s="11">
        <v>3.61</v>
      </c>
      <c r="G42" s="11">
        <v>4.0119999999999996</v>
      </c>
      <c r="H42" s="11">
        <v>4.4119999999999999</v>
      </c>
      <c r="I42" s="11">
        <v>4.782</v>
      </c>
      <c r="J42" s="11">
        <v>5.0439999999999996</v>
      </c>
      <c r="K42" s="11">
        <v>5.3620000000000001</v>
      </c>
      <c r="L42" s="11">
        <v>5.6849999999999996</v>
      </c>
      <c r="M42" s="11">
        <v>6.117</v>
      </c>
      <c r="N42" s="11">
        <v>0.01</v>
      </c>
      <c r="O42" s="11">
        <v>0.433</v>
      </c>
      <c r="P42" s="11">
        <v>0.82099999999999995</v>
      </c>
      <c r="Q42" s="11">
        <v>1.2509999999999999</v>
      </c>
      <c r="R42" s="9">
        <f t="shared" si="42"/>
        <v>4.5819999999999999</v>
      </c>
      <c r="U42" s="239">
        <v>5</v>
      </c>
      <c r="V42" s="169">
        <f t="shared" si="43"/>
        <v>0.40400000000000036</v>
      </c>
      <c r="W42" s="169">
        <f t="shared" si="44"/>
        <v>0.42999999999999972</v>
      </c>
      <c r="X42" s="169">
        <f t="shared" si="45"/>
        <v>0.40199999999999969</v>
      </c>
      <c r="Y42" s="169">
        <f t="shared" si="46"/>
        <v>0.40000000000000036</v>
      </c>
      <c r="Z42" s="169">
        <f t="shared" si="47"/>
        <v>0.37000000000000011</v>
      </c>
      <c r="AA42" s="169">
        <f t="shared" si="48"/>
        <v>0.26199999999999957</v>
      </c>
      <c r="AB42" s="169">
        <f t="shared" si="49"/>
        <v>0.3180000000000005</v>
      </c>
      <c r="AC42" s="169">
        <f t="shared" si="50"/>
        <v>0.32299999999999951</v>
      </c>
      <c r="AD42" s="169">
        <f t="shared" si="51"/>
        <v>0.43200000000000038</v>
      </c>
      <c r="AE42" s="169">
        <f t="shared" si="52"/>
        <v>0.42299999999999999</v>
      </c>
      <c r="AF42" s="169">
        <f t="shared" si="53"/>
        <v>0.38799999999999996</v>
      </c>
      <c r="AG42" s="169">
        <f t="shared" si="53"/>
        <v>0.42999999999999994</v>
      </c>
    </row>
    <row r="43" spans="1:33" ht="15.75" thickBot="1">
      <c r="A43" s="181">
        <v>6</v>
      </c>
      <c r="B43" s="101" t="s">
        <v>172</v>
      </c>
      <c r="C43" s="226" t="s">
        <v>249</v>
      </c>
      <c r="D43" s="11">
        <v>56.51</v>
      </c>
      <c r="E43" s="11">
        <v>58.84</v>
      </c>
      <c r="F43" s="11">
        <v>60.284999999999997</v>
      </c>
      <c r="G43" s="11">
        <v>62.378</v>
      </c>
      <c r="H43" s="11">
        <v>64.073999999999998</v>
      </c>
      <c r="I43" s="11">
        <v>65.411000000000001</v>
      </c>
      <c r="J43" s="11">
        <v>65.590999999999994</v>
      </c>
      <c r="K43" s="11">
        <v>66.435000000000002</v>
      </c>
      <c r="L43" s="11">
        <v>67.578000000000003</v>
      </c>
      <c r="M43" s="11">
        <v>67.698999999999998</v>
      </c>
      <c r="N43" s="11">
        <v>0.01</v>
      </c>
      <c r="O43" s="11">
        <v>0.14000000000000001</v>
      </c>
      <c r="P43" s="11">
        <v>0.77300000000000002</v>
      </c>
      <c r="Q43" s="11">
        <v>5.46</v>
      </c>
      <c r="R43" s="9">
        <f t="shared" si="42"/>
        <v>16.639000000000003</v>
      </c>
      <c r="U43" s="239">
        <v>6</v>
      </c>
      <c r="V43" s="169">
        <f t="shared" si="43"/>
        <v>2.3300000000000054</v>
      </c>
      <c r="W43" s="169">
        <f t="shared" si="44"/>
        <v>1.4449999999999932</v>
      </c>
      <c r="X43" s="169">
        <f t="shared" si="45"/>
        <v>2.0930000000000035</v>
      </c>
      <c r="Y43" s="169">
        <f t="shared" si="46"/>
        <v>1.695999999999998</v>
      </c>
      <c r="Z43" s="169">
        <f t="shared" si="47"/>
        <v>1.3370000000000033</v>
      </c>
      <c r="AA43" s="169">
        <f t="shared" si="48"/>
        <v>0.17999999999999261</v>
      </c>
      <c r="AB43" s="169">
        <f t="shared" si="49"/>
        <v>0.8440000000000083</v>
      </c>
      <c r="AC43" s="169">
        <f t="shared" si="50"/>
        <v>1.1430000000000007</v>
      </c>
      <c r="AD43" s="169">
        <f t="shared" si="51"/>
        <v>0.12099999999999511</v>
      </c>
      <c r="AE43" s="169">
        <f t="shared" si="52"/>
        <v>0.13</v>
      </c>
      <c r="AF43" s="169">
        <f t="shared" si="53"/>
        <v>0.63300000000000001</v>
      </c>
      <c r="AG43" s="169">
        <f t="shared" si="53"/>
        <v>4.6870000000000003</v>
      </c>
    </row>
    <row r="44" spans="1:33" ht="15.75" thickBot="1">
      <c r="A44" s="181">
        <v>9</v>
      </c>
      <c r="B44" s="101">
        <v>5</v>
      </c>
      <c r="C44" s="226" t="s">
        <v>251</v>
      </c>
      <c r="D44" s="11">
        <v>55.225999999999999</v>
      </c>
      <c r="E44" s="11">
        <v>67.986999999999995</v>
      </c>
      <c r="F44" s="11">
        <v>78.665999999999997</v>
      </c>
      <c r="G44" s="11">
        <v>81.777000000000001</v>
      </c>
      <c r="H44" s="11">
        <v>85.132000000000005</v>
      </c>
      <c r="I44" s="11">
        <v>86.988</v>
      </c>
      <c r="J44" s="11">
        <v>87.947000000000003</v>
      </c>
      <c r="K44" s="11">
        <v>91.356999999999999</v>
      </c>
      <c r="L44" s="11">
        <v>93.951999999999998</v>
      </c>
      <c r="M44" s="11">
        <v>97.69</v>
      </c>
      <c r="N44" s="11">
        <v>0.01</v>
      </c>
      <c r="O44" s="11">
        <v>2.1419999999999999</v>
      </c>
      <c r="P44" s="11">
        <v>4.1379999999999999</v>
      </c>
      <c r="Q44" s="11">
        <v>6.077</v>
      </c>
      <c r="R44" s="9">
        <f t="shared" si="42"/>
        <v>48.531000000000006</v>
      </c>
      <c r="U44" s="239">
        <v>9</v>
      </c>
      <c r="V44" s="169">
        <f t="shared" si="43"/>
        <v>12.760999999999996</v>
      </c>
      <c r="W44" s="169">
        <f t="shared" si="44"/>
        <v>10.679000000000002</v>
      </c>
      <c r="X44" s="169">
        <f t="shared" si="45"/>
        <v>3.1110000000000042</v>
      </c>
      <c r="Y44" s="169">
        <f t="shared" si="46"/>
        <v>3.355000000000004</v>
      </c>
      <c r="Z44" s="169">
        <f t="shared" si="47"/>
        <v>1.8559999999999945</v>
      </c>
      <c r="AA44" s="169">
        <f t="shared" si="48"/>
        <v>0.95900000000000318</v>
      </c>
      <c r="AB44" s="169">
        <f t="shared" si="49"/>
        <v>3.4099999999999966</v>
      </c>
      <c r="AC44" s="169">
        <f t="shared" si="50"/>
        <v>2.5949999999999989</v>
      </c>
      <c r="AD44" s="169">
        <f t="shared" si="51"/>
        <v>3.7379999999999995</v>
      </c>
      <c r="AE44" s="169">
        <f t="shared" si="52"/>
        <v>2.1320000000000001</v>
      </c>
      <c r="AF44" s="169">
        <f t="shared" si="53"/>
        <v>1.996</v>
      </c>
      <c r="AG44" s="169">
        <f t="shared" si="53"/>
        <v>1.9390000000000001</v>
      </c>
    </row>
    <row r="45" spans="1:33" ht="15.75" thickBot="1">
      <c r="A45" s="181">
        <v>8</v>
      </c>
      <c r="B45" s="101" t="s">
        <v>173</v>
      </c>
      <c r="C45" s="226" t="s">
        <v>253</v>
      </c>
      <c r="D45" s="11">
        <v>34.472000000000001</v>
      </c>
      <c r="E45" s="11">
        <v>37.118000000000002</v>
      </c>
      <c r="F45" s="11">
        <v>39.17</v>
      </c>
      <c r="G45" s="11">
        <v>41.7</v>
      </c>
      <c r="H45" s="11">
        <v>44.384999999999998</v>
      </c>
      <c r="I45" s="11">
        <v>47.331000000000003</v>
      </c>
      <c r="J45" s="11">
        <v>49.395000000000003</v>
      </c>
      <c r="K45" s="11">
        <v>52.23</v>
      </c>
      <c r="L45" s="11">
        <v>53.908999999999999</v>
      </c>
      <c r="M45" s="11">
        <v>56.646999999999998</v>
      </c>
      <c r="N45" s="11">
        <v>0.01</v>
      </c>
      <c r="O45" s="11">
        <v>2.2679999999999998</v>
      </c>
      <c r="P45" s="11">
        <v>5.39</v>
      </c>
      <c r="Q45" s="11">
        <v>8.9280000000000008</v>
      </c>
      <c r="R45" s="9">
        <f t="shared" si="42"/>
        <v>31.092999999999996</v>
      </c>
      <c r="U45" s="239">
        <v>8</v>
      </c>
      <c r="V45" s="169">
        <f t="shared" si="43"/>
        <v>2.6460000000000008</v>
      </c>
      <c r="W45" s="169">
        <f t="shared" si="44"/>
        <v>2.0519999999999996</v>
      </c>
      <c r="X45" s="169">
        <f t="shared" si="45"/>
        <v>2.5300000000000011</v>
      </c>
      <c r="Y45" s="169">
        <f t="shared" si="46"/>
        <v>2.6849999999999952</v>
      </c>
      <c r="Z45" s="169">
        <f t="shared" si="47"/>
        <v>2.9460000000000051</v>
      </c>
      <c r="AA45" s="169">
        <f t="shared" si="48"/>
        <v>2.0640000000000001</v>
      </c>
      <c r="AB45" s="169">
        <f t="shared" si="49"/>
        <v>2.8349999999999937</v>
      </c>
      <c r="AC45" s="169">
        <f t="shared" si="50"/>
        <v>1.679000000000002</v>
      </c>
      <c r="AD45" s="169">
        <f t="shared" si="51"/>
        <v>2.7379999999999995</v>
      </c>
      <c r="AE45" s="169">
        <f t="shared" si="52"/>
        <v>2.258</v>
      </c>
      <c r="AF45" s="169">
        <f t="shared" si="53"/>
        <v>3.1219999999999999</v>
      </c>
      <c r="AG45" s="169">
        <f t="shared" si="53"/>
        <v>3.5380000000000011</v>
      </c>
    </row>
    <row r="46" spans="1:33" ht="15.75" thickBot="1">
      <c r="A46" s="181">
        <v>15</v>
      </c>
      <c r="B46" s="101">
        <v>6</v>
      </c>
      <c r="C46" s="226" t="s">
        <v>255</v>
      </c>
      <c r="D46" s="11">
        <v>92.363</v>
      </c>
      <c r="E46" s="11">
        <v>93.057000000000002</v>
      </c>
      <c r="F46" s="11">
        <v>93.45</v>
      </c>
      <c r="G46" s="11">
        <v>93.912999999999997</v>
      </c>
      <c r="H46" s="11">
        <v>95.185000000000002</v>
      </c>
      <c r="I46" s="11">
        <v>96.114999999999995</v>
      </c>
      <c r="J46" s="11">
        <v>96.606999999999999</v>
      </c>
      <c r="K46" s="11">
        <v>97.613</v>
      </c>
      <c r="L46" s="11">
        <v>98.552999999999997</v>
      </c>
      <c r="M46" s="11">
        <v>98.963999999999999</v>
      </c>
      <c r="N46" s="11">
        <v>0.01</v>
      </c>
      <c r="O46" s="11">
        <v>1.042</v>
      </c>
      <c r="P46" s="11">
        <v>1.6859999999999999</v>
      </c>
      <c r="Q46" s="11">
        <v>4.7460000000000004</v>
      </c>
      <c r="R46" s="9">
        <f t="shared" si="42"/>
        <v>11.337000000000003</v>
      </c>
      <c r="U46" s="239">
        <v>15</v>
      </c>
      <c r="V46" s="169">
        <f t="shared" si="43"/>
        <v>0.69400000000000261</v>
      </c>
      <c r="W46" s="169">
        <f t="shared" si="44"/>
        <v>0.39300000000000068</v>
      </c>
      <c r="X46" s="169">
        <f t="shared" si="45"/>
        <v>0.46299999999999386</v>
      </c>
      <c r="Y46" s="169">
        <f t="shared" si="46"/>
        <v>1.2720000000000056</v>
      </c>
      <c r="Z46" s="169">
        <f t="shared" si="47"/>
        <v>0.92999999999999261</v>
      </c>
      <c r="AA46" s="169">
        <f t="shared" si="48"/>
        <v>0.49200000000000443</v>
      </c>
      <c r="AB46" s="169">
        <f t="shared" si="49"/>
        <v>1.0060000000000002</v>
      </c>
      <c r="AC46" s="169">
        <f t="shared" si="50"/>
        <v>0.93999999999999773</v>
      </c>
      <c r="AD46" s="169">
        <f t="shared" si="51"/>
        <v>0.41100000000000136</v>
      </c>
      <c r="AE46" s="169">
        <f t="shared" si="52"/>
        <v>1.032</v>
      </c>
      <c r="AF46" s="169">
        <f t="shared" si="53"/>
        <v>0.64399999999999991</v>
      </c>
      <c r="AG46" s="169">
        <f t="shared" si="53"/>
        <v>3.0600000000000005</v>
      </c>
    </row>
    <row r="47" spans="1:33" ht="15.75" thickBot="1">
      <c r="A47" s="181">
        <v>11</v>
      </c>
      <c r="B47" s="101" t="s">
        <v>174</v>
      </c>
      <c r="C47" s="226" t="s">
        <v>257</v>
      </c>
      <c r="D47" s="11">
        <v>3.234</v>
      </c>
      <c r="E47" s="11">
        <v>3.399</v>
      </c>
      <c r="F47" s="11">
        <v>3.5880000000000001</v>
      </c>
      <c r="G47" s="11">
        <v>3.774</v>
      </c>
      <c r="H47" s="11">
        <v>3.919</v>
      </c>
      <c r="I47" s="11">
        <v>4.0999999999999996</v>
      </c>
      <c r="J47" s="11">
        <v>4.2140000000000004</v>
      </c>
      <c r="K47" s="11">
        <v>4.6449999999999996</v>
      </c>
      <c r="L47" s="11">
        <v>5.0369999999999999</v>
      </c>
      <c r="M47" s="11">
        <v>5.3959999999999999</v>
      </c>
      <c r="N47" s="11">
        <v>0.01</v>
      </c>
      <c r="O47" s="11">
        <v>0.45300000000000001</v>
      </c>
      <c r="P47" s="11">
        <v>0.80400000000000005</v>
      </c>
      <c r="Q47" s="11">
        <v>1.4359999999999999</v>
      </c>
      <c r="R47" s="9">
        <f t="shared" si="42"/>
        <v>3.5880000000000001</v>
      </c>
      <c r="U47" s="239">
        <v>11</v>
      </c>
      <c r="V47" s="169">
        <f t="shared" si="43"/>
        <v>0.16500000000000004</v>
      </c>
      <c r="W47" s="169">
        <f t="shared" si="44"/>
        <v>0.18900000000000006</v>
      </c>
      <c r="X47" s="169">
        <f t="shared" si="45"/>
        <v>0.18599999999999994</v>
      </c>
      <c r="Y47" s="169">
        <f t="shared" si="46"/>
        <v>0.14500000000000002</v>
      </c>
      <c r="Z47" s="169">
        <f t="shared" si="47"/>
        <v>0.18099999999999961</v>
      </c>
      <c r="AA47" s="169">
        <f t="shared" si="48"/>
        <v>0.11400000000000077</v>
      </c>
      <c r="AB47" s="169">
        <f t="shared" si="49"/>
        <v>0.43099999999999916</v>
      </c>
      <c r="AC47" s="169">
        <f t="shared" si="50"/>
        <v>0.39200000000000035</v>
      </c>
      <c r="AD47" s="169">
        <f t="shared" si="51"/>
        <v>0.35899999999999999</v>
      </c>
      <c r="AE47" s="169">
        <f t="shared" si="52"/>
        <v>0.443</v>
      </c>
      <c r="AF47" s="169">
        <f t="shared" si="53"/>
        <v>0.35100000000000003</v>
      </c>
      <c r="AG47" s="169">
        <f t="shared" si="53"/>
        <v>0.6319999999999999</v>
      </c>
    </row>
    <row r="48" spans="1:33" ht="15.75" thickBot="1">
      <c r="A48" s="181">
        <v>13</v>
      </c>
      <c r="B48" s="101">
        <v>8</v>
      </c>
      <c r="C48" s="226" t="s">
        <v>264</v>
      </c>
      <c r="D48" s="11">
        <v>27.568999999999999</v>
      </c>
      <c r="E48" s="11">
        <v>29.437999999999999</v>
      </c>
      <c r="F48" s="11">
        <v>31.045999999999999</v>
      </c>
      <c r="G48" s="11">
        <v>32.295000000000002</v>
      </c>
      <c r="H48" s="11">
        <v>33.597999999999999</v>
      </c>
      <c r="I48" s="11">
        <v>35.203000000000003</v>
      </c>
      <c r="J48" s="11">
        <v>36.054000000000002</v>
      </c>
      <c r="K48" s="11">
        <v>36.366</v>
      </c>
      <c r="L48" s="11">
        <v>37.567</v>
      </c>
      <c r="M48" s="11">
        <v>38.93</v>
      </c>
      <c r="N48" s="11">
        <v>0.01</v>
      </c>
      <c r="O48" s="11">
        <v>1.3129999999999999</v>
      </c>
      <c r="P48" s="11">
        <v>2.7050000000000001</v>
      </c>
      <c r="Q48" s="11">
        <v>4.5970000000000004</v>
      </c>
      <c r="R48" s="9">
        <f t="shared" si="42"/>
        <v>15.948000000000004</v>
      </c>
      <c r="U48" s="239">
        <v>13</v>
      </c>
      <c r="V48" s="169">
        <f t="shared" si="43"/>
        <v>1.8689999999999998</v>
      </c>
      <c r="W48" s="169">
        <f t="shared" si="44"/>
        <v>1.6080000000000005</v>
      </c>
      <c r="X48" s="169">
        <f t="shared" si="45"/>
        <v>1.2490000000000023</v>
      </c>
      <c r="Y48" s="169">
        <f t="shared" si="46"/>
        <v>1.3029999999999973</v>
      </c>
      <c r="Z48" s="169">
        <f t="shared" si="47"/>
        <v>1.605000000000004</v>
      </c>
      <c r="AA48" s="169">
        <f t="shared" si="48"/>
        <v>0.85099999999999909</v>
      </c>
      <c r="AB48" s="169">
        <f t="shared" si="49"/>
        <v>0.31199999999999761</v>
      </c>
      <c r="AC48" s="169">
        <f t="shared" si="50"/>
        <v>1.2010000000000005</v>
      </c>
      <c r="AD48" s="169">
        <f t="shared" si="51"/>
        <v>1.3629999999999995</v>
      </c>
      <c r="AE48" s="169">
        <f t="shared" si="52"/>
        <v>1.3029999999999999</v>
      </c>
      <c r="AF48" s="169">
        <f t="shared" si="53"/>
        <v>1.3920000000000001</v>
      </c>
      <c r="AG48" s="169">
        <f t="shared" si="53"/>
        <v>1.8920000000000003</v>
      </c>
    </row>
    <row r="49" spans="1:33">
      <c r="A49" s="181">
        <v>12</v>
      </c>
      <c r="B49" s="101" t="s">
        <v>175</v>
      </c>
      <c r="C49" s="226" t="s">
        <v>259</v>
      </c>
      <c r="D49" s="11">
        <v>123.982</v>
      </c>
      <c r="E49" s="11">
        <v>126.501</v>
      </c>
      <c r="F49" s="11">
        <v>128.23400000000001</v>
      </c>
      <c r="G49" s="11">
        <v>130.048</v>
      </c>
      <c r="H49" s="11">
        <v>132.107</v>
      </c>
      <c r="I49" s="11">
        <v>134.09200000000001</v>
      </c>
      <c r="J49" s="11">
        <v>135.37</v>
      </c>
      <c r="K49" s="11">
        <v>136.43799999999999</v>
      </c>
      <c r="L49" s="11">
        <v>137.41999999999999</v>
      </c>
      <c r="M49" s="11">
        <v>139.232</v>
      </c>
      <c r="N49" s="11">
        <v>0.01</v>
      </c>
      <c r="O49" s="11">
        <v>1.367</v>
      </c>
      <c r="P49" s="11">
        <v>2.96</v>
      </c>
      <c r="Q49" s="11">
        <v>4.6749999999999998</v>
      </c>
      <c r="R49" s="9">
        <f t="shared" si="42"/>
        <v>19.914999999999992</v>
      </c>
      <c r="U49" s="239">
        <v>12</v>
      </c>
      <c r="V49" s="169">
        <f t="shared" si="43"/>
        <v>2.5190000000000055</v>
      </c>
      <c r="W49" s="169">
        <f t="shared" si="44"/>
        <v>1.7330000000000041</v>
      </c>
      <c r="X49" s="169">
        <f t="shared" si="45"/>
        <v>1.813999999999993</v>
      </c>
      <c r="Y49" s="169">
        <f t="shared" si="46"/>
        <v>2.0589999999999975</v>
      </c>
      <c r="Z49" s="169">
        <f t="shared" si="47"/>
        <v>1.9850000000000136</v>
      </c>
      <c r="AA49" s="169">
        <f t="shared" si="48"/>
        <v>1.2779999999999916</v>
      </c>
      <c r="AB49" s="169">
        <f t="shared" si="49"/>
        <v>1.0679999999999836</v>
      </c>
      <c r="AC49" s="169">
        <f t="shared" si="50"/>
        <v>0.98199999999999932</v>
      </c>
      <c r="AD49" s="169">
        <f t="shared" si="51"/>
        <v>1.8120000000000118</v>
      </c>
      <c r="AE49" s="169">
        <f t="shared" si="52"/>
        <v>1.357</v>
      </c>
      <c r="AF49" s="169">
        <f t="shared" si="53"/>
        <v>1.593</v>
      </c>
      <c r="AG49" s="169">
        <f t="shared" si="53"/>
        <v>1.7149999999999999</v>
      </c>
    </row>
    <row r="50" spans="1:33">
      <c r="A50" s="30"/>
      <c r="B50" s="30"/>
      <c r="L50" s="9"/>
      <c r="M50" s="9"/>
      <c r="N50" s="9"/>
    </row>
    <row r="51" spans="1:33">
      <c r="I51" s="208" t="s">
        <v>221</v>
      </c>
      <c r="J51" s="209"/>
      <c r="K51" s="209"/>
      <c r="L51" s="208"/>
      <c r="M51" s="210" t="s">
        <v>219</v>
      </c>
      <c r="N51" s="211">
        <v>285.13</v>
      </c>
      <c r="O51" s="208" t="s">
        <v>220</v>
      </c>
    </row>
    <row r="52" spans="1:33">
      <c r="C52" t="s">
        <v>205</v>
      </c>
      <c r="D52">
        <v>110109308</v>
      </c>
      <c r="E52" s="177" t="s">
        <v>203</v>
      </c>
      <c r="F52">
        <v>12875</v>
      </c>
      <c r="I52" s="213" t="s">
        <v>222</v>
      </c>
      <c r="J52" s="209"/>
      <c r="K52" s="209"/>
      <c r="L52" s="208"/>
      <c r="M52" s="210" t="s">
        <v>219</v>
      </c>
      <c r="N52" s="211">
        <v>0</v>
      </c>
      <c r="O52" s="208" t="s">
        <v>220</v>
      </c>
      <c r="V52" t="s">
        <v>361</v>
      </c>
    </row>
    <row r="53" spans="1:33" ht="15.75" thickBot="1">
      <c r="C53" s="159" t="s">
        <v>206</v>
      </c>
      <c r="D53" s="159">
        <v>63796</v>
      </c>
      <c r="E53" s="205" t="s">
        <v>204</v>
      </c>
      <c r="F53" s="159">
        <v>4174</v>
      </c>
      <c r="I53" s="217" t="s">
        <v>227</v>
      </c>
      <c r="J53" s="218"/>
      <c r="K53" s="219"/>
      <c r="L53" s="218"/>
      <c r="T53" s="1" t="s">
        <v>321</v>
      </c>
      <c r="U53" s="1" t="s">
        <v>357</v>
      </c>
      <c r="V53" s="5" t="s">
        <v>4</v>
      </c>
      <c r="W53" s="5" t="s">
        <v>5</v>
      </c>
      <c r="X53" s="5" t="s">
        <v>6</v>
      </c>
      <c r="Y53" s="5" t="s">
        <v>7</v>
      </c>
      <c r="Z53" s="5" t="s">
        <v>8</v>
      </c>
      <c r="AA53" s="5" t="s">
        <v>9</v>
      </c>
      <c r="AB53" s="5" t="s">
        <v>10</v>
      </c>
      <c r="AC53" s="5" t="s">
        <v>11</v>
      </c>
      <c r="AD53" s="5" t="s">
        <v>12</v>
      </c>
      <c r="AE53" s="227" t="s">
        <v>13</v>
      </c>
      <c r="AF53" s="227" t="s">
        <v>14</v>
      </c>
      <c r="AG53" s="227" t="s">
        <v>3</v>
      </c>
    </row>
    <row r="54" spans="1:33">
      <c r="I54" t="s">
        <v>318</v>
      </c>
      <c r="T54" s="308">
        <v>3</v>
      </c>
      <c r="U54" s="309" t="s">
        <v>358</v>
      </c>
      <c r="V54" s="169">
        <v>7.7989999999999782</v>
      </c>
      <c r="W54" s="169">
        <v>7.3090000000000259</v>
      </c>
      <c r="X54" s="169">
        <v>7.2139999999999986</v>
      </c>
      <c r="Y54" s="169">
        <v>8.0229999999999677</v>
      </c>
      <c r="Z54" s="169">
        <v>8.2420000000000186</v>
      </c>
      <c r="AA54" s="169">
        <v>5.3299999999999841</v>
      </c>
      <c r="AB54" s="169">
        <v>8.1399999999999864</v>
      </c>
      <c r="AC54" s="169">
        <v>10.387</v>
      </c>
      <c r="AD54" s="169">
        <v>9.9540000000000077</v>
      </c>
      <c r="AE54" s="169">
        <v>5.8330000000000002</v>
      </c>
      <c r="AF54" s="169">
        <v>7.3209999999999997</v>
      </c>
      <c r="AG54" s="169">
        <v>7.3249999999999993</v>
      </c>
    </row>
    <row r="55" spans="1:33">
      <c r="T55" s="310"/>
      <c r="U55" s="311" t="s">
        <v>355</v>
      </c>
      <c r="V55" s="307">
        <v>5.1230000000000189</v>
      </c>
      <c r="W55" s="307">
        <v>5.2279999999999802</v>
      </c>
      <c r="X55" s="307">
        <v>5.0490000000000066</v>
      </c>
      <c r="Y55" s="307">
        <v>5.5260000000000105</v>
      </c>
      <c r="Z55" s="307">
        <v>4.9909999999999854</v>
      </c>
      <c r="AA55" s="307">
        <v>2.0450000000000159</v>
      </c>
      <c r="AB55" s="307">
        <v>3.563999999999993</v>
      </c>
      <c r="AC55" s="307">
        <v>4.0629999999999882</v>
      </c>
      <c r="AD55" s="307">
        <v>4.5000000000000284</v>
      </c>
      <c r="AE55" s="312">
        <v>3.0580000000000003</v>
      </c>
      <c r="AF55" s="312">
        <v>2.7639999999999998</v>
      </c>
      <c r="AG55" s="312">
        <v>1.7220000000000004</v>
      </c>
    </row>
    <row r="56" spans="1:33">
      <c r="T56" s="308">
        <v>6</v>
      </c>
      <c r="U56" s="309" t="s">
        <v>358</v>
      </c>
      <c r="V56" s="169">
        <v>4.3979999999999961</v>
      </c>
      <c r="W56" s="169">
        <v>2.4519999999999982</v>
      </c>
      <c r="X56" s="169">
        <v>4.13900000000001</v>
      </c>
      <c r="Y56" s="169">
        <v>4.3130000000000024</v>
      </c>
      <c r="Z56" s="169">
        <v>3.6599999999999966</v>
      </c>
      <c r="AA56" s="169">
        <v>0.56399999999999295</v>
      </c>
      <c r="AB56" s="169">
        <v>2.1299999999999955</v>
      </c>
      <c r="AC56" s="169">
        <v>2.5810000000000173</v>
      </c>
      <c r="AD56" s="169">
        <v>0.29299999999997794</v>
      </c>
      <c r="AE56" s="169">
        <v>0.11000000000000001</v>
      </c>
      <c r="AF56" s="169">
        <v>1.008</v>
      </c>
      <c r="AG56" s="169">
        <v>5.2430000000000003</v>
      </c>
    </row>
    <row r="57" spans="1:33">
      <c r="T57" s="310"/>
      <c r="U57" s="311" t="s">
        <v>355</v>
      </c>
      <c r="V57" s="307">
        <v>2.3300000000000054</v>
      </c>
      <c r="W57" s="307">
        <v>1.4449999999999932</v>
      </c>
      <c r="X57" s="307">
        <v>2.0930000000000035</v>
      </c>
      <c r="Y57" s="307">
        <v>1.695999999999998</v>
      </c>
      <c r="Z57" s="307">
        <v>1.3370000000000033</v>
      </c>
      <c r="AA57" s="307">
        <v>0.17999999999999261</v>
      </c>
      <c r="AB57" s="307">
        <v>0.8440000000000083</v>
      </c>
      <c r="AC57" s="307">
        <v>1.1430000000000007</v>
      </c>
      <c r="AD57" s="307">
        <v>0.12099999999999511</v>
      </c>
      <c r="AE57" s="307">
        <v>0.13</v>
      </c>
      <c r="AF57" s="307">
        <v>0.63300000000000001</v>
      </c>
      <c r="AG57" s="307">
        <v>4.6870000000000003</v>
      </c>
    </row>
    <row r="58" spans="1:33">
      <c r="T58" s="308">
        <v>8</v>
      </c>
      <c r="U58" s="309" t="s">
        <v>358</v>
      </c>
      <c r="V58" s="169">
        <v>5.3189999999999884</v>
      </c>
      <c r="W58" s="169">
        <v>4.284000000000006</v>
      </c>
      <c r="X58" s="169">
        <v>5.0330000000000013</v>
      </c>
      <c r="Y58" s="169">
        <v>5.4699999999999989</v>
      </c>
      <c r="Z58" s="169">
        <v>5.6919999999999931</v>
      </c>
      <c r="AA58" s="169">
        <v>5.1510000000000105</v>
      </c>
      <c r="AB58" s="169">
        <v>6.347999999999999</v>
      </c>
      <c r="AC58" s="169">
        <v>4.228999999999985</v>
      </c>
      <c r="AD58" s="169">
        <v>5.9830000000000041</v>
      </c>
      <c r="AE58" s="169">
        <v>4.4720000000000004</v>
      </c>
      <c r="AF58" s="169">
        <v>5.8489999999999993</v>
      </c>
      <c r="AG58" s="169">
        <v>6.5749999999999993</v>
      </c>
    </row>
    <row r="59" spans="1:33">
      <c r="T59" s="310"/>
      <c r="U59" s="311" t="s">
        <v>355</v>
      </c>
      <c r="V59" s="307">
        <v>2.6460000000000008</v>
      </c>
      <c r="W59" s="307">
        <v>2.0519999999999996</v>
      </c>
      <c r="X59" s="307">
        <v>2.5300000000000011</v>
      </c>
      <c r="Y59" s="307">
        <v>2.6849999999999952</v>
      </c>
      <c r="Z59" s="307">
        <v>2.9460000000000051</v>
      </c>
      <c r="AA59" s="307">
        <v>2.0640000000000001</v>
      </c>
      <c r="AB59" s="307">
        <v>2.8349999999999937</v>
      </c>
      <c r="AC59" s="307">
        <v>1.679000000000002</v>
      </c>
      <c r="AD59" s="307">
        <v>2.7379999999999995</v>
      </c>
      <c r="AE59" s="307">
        <v>2.258</v>
      </c>
      <c r="AF59" s="307">
        <v>3.1219999999999999</v>
      </c>
      <c r="AG59" s="307">
        <v>3.5380000000000011</v>
      </c>
    </row>
    <row r="60" spans="1:33">
      <c r="T60" s="308">
        <v>11</v>
      </c>
      <c r="U60" s="309" t="s">
        <v>358</v>
      </c>
      <c r="V60" s="169">
        <v>0.21400000000000041</v>
      </c>
      <c r="W60" s="169">
        <v>0.28500000000000014</v>
      </c>
      <c r="X60" s="169">
        <v>0.2889999999999997</v>
      </c>
      <c r="Y60" s="169">
        <v>0.22200000000000042</v>
      </c>
      <c r="Z60" s="169">
        <v>0.20699999999999985</v>
      </c>
      <c r="AA60" s="169">
        <v>0.24800000000000022</v>
      </c>
      <c r="AB60" s="169">
        <v>1.0779999999999994</v>
      </c>
      <c r="AC60" s="169">
        <v>0.7710000000000008</v>
      </c>
      <c r="AD60" s="169">
        <v>0.59499999999999886</v>
      </c>
      <c r="AE60" s="169">
        <v>0.64</v>
      </c>
      <c r="AF60" s="169">
        <v>0.52100000000000002</v>
      </c>
      <c r="AG60" s="169">
        <v>0.81400000000000006</v>
      </c>
    </row>
    <row r="61" spans="1:33">
      <c r="T61" s="310"/>
      <c r="U61" s="311" t="s">
        <v>355</v>
      </c>
      <c r="V61" s="307">
        <v>0.16500000000000004</v>
      </c>
      <c r="W61" s="307">
        <v>0.18900000000000006</v>
      </c>
      <c r="X61" s="307">
        <v>0.18599999999999994</v>
      </c>
      <c r="Y61" s="307">
        <v>0.14500000000000002</v>
      </c>
      <c r="Z61" s="307">
        <v>0.18099999999999961</v>
      </c>
      <c r="AA61" s="307">
        <v>0.11400000000000077</v>
      </c>
      <c r="AB61" s="307">
        <v>0.43099999999999916</v>
      </c>
      <c r="AC61" s="307">
        <v>0.39200000000000035</v>
      </c>
      <c r="AD61" s="307">
        <v>0.35899999999999999</v>
      </c>
      <c r="AE61" s="307">
        <v>0.443</v>
      </c>
      <c r="AF61" s="307">
        <v>0.35100000000000003</v>
      </c>
      <c r="AG61" s="307">
        <v>0.6319999999999999</v>
      </c>
    </row>
    <row r="62" spans="1:33">
      <c r="T62" s="308">
        <v>12</v>
      </c>
      <c r="U62" s="309" t="s">
        <v>358</v>
      </c>
      <c r="V62" s="169">
        <v>2.25</v>
      </c>
      <c r="W62" s="169">
        <v>1.8299999999999841</v>
      </c>
      <c r="X62" s="169">
        <v>2.0289999999999964</v>
      </c>
      <c r="Y62" s="169">
        <v>2.2940000000000111</v>
      </c>
      <c r="Z62" s="169">
        <v>2.1330000000000098</v>
      </c>
      <c r="AA62" s="169">
        <v>2.2039999999999793</v>
      </c>
      <c r="AB62" s="169">
        <v>2.2189999999999941</v>
      </c>
      <c r="AC62" s="169">
        <v>1.8100000000000023</v>
      </c>
      <c r="AD62" s="169">
        <v>2.4470000000000027</v>
      </c>
      <c r="AE62" s="169">
        <v>1.7949999999999999</v>
      </c>
      <c r="AF62" s="169">
        <v>1.8159999999999998</v>
      </c>
      <c r="AG62" s="169">
        <v>2.218</v>
      </c>
    </row>
    <row r="63" spans="1:33">
      <c r="T63" s="310"/>
      <c r="U63" s="311" t="s">
        <v>355</v>
      </c>
      <c r="V63" s="307">
        <v>2.5190000000000055</v>
      </c>
      <c r="W63" s="307">
        <v>1.7330000000000041</v>
      </c>
      <c r="X63" s="307">
        <v>1.813999999999993</v>
      </c>
      <c r="Y63" s="307">
        <v>2.0589999999999975</v>
      </c>
      <c r="Z63" s="307">
        <v>1.9850000000000136</v>
      </c>
      <c r="AA63" s="307">
        <v>1.2779999999999916</v>
      </c>
      <c r="AB63" s="307">
        <v>1.0679999999999836</v>
      </c>
      <c r="AC63" s="307">
        <v>0.98199999999999932</v>
      </c>
      <c r="AD63" s="307">
        <v>1.8120000000000118</v>
      </c>
      <c r="AE63" s="307">
        <v>1.357</v>
      </c>
      <c r="AF63" s="307">
        <v>1.593</v>
      </c>
      <c r="AG63" s="307">
        <v>1.7149999999999999</v>
      </c>
    </row>
  </sheetData>
  <sheetProtection selectLockedCells="1" selectUnlockedCells="1"/>
  <mergeCells count="20">
    <mergeCell ref="T54:T55"/>
    <mergeCell ref="T56:T57"/>
    <mergeCell ref="T58:T59"/>
    <mergeCell ref="T60:T61"/>
    <mergeCell ref="T62:T63"/>
    <mergeCell ref="A4:A5"/>
    <mergeCell ref="B4:B5"/>
    <mergeCell ref="B6:B7"/>
    <mergeCell ref="B8:B9"/>
    <mergeCell ref="A10:A11"/>
    <mergeCell ref="B10:B11"/>
    <mergeCell ref="A22:A23"/>
    <mergeCell ref="B22:B23"/>
    <mergeCell ref="B12:B13"/>
    <mergeCell ref="B14:B15"/>
    <mergeCell ref="A16:A17"/>
    <mergeCell ref="B16:B17"/>
    <mergeCell ref="B18:B19"/>
    <mergeCell ref="A20:A21"/>
    <mergeCell ref="B20:B21"/>
  </mergeCells>
  <conditionalFormatting sqref="I4">
    <cfRule type="cellIs" dxfId="607" priority="106" stopIfTrue="1" operator="lessThan">
      <formula>'1851'!$H$4</formula>
    </cfRule>
    <cfRule type="cellIs" dxfId="606" priority="107" stopIfTrue="1" operator="equal">
      <formula>'1851'!$H$4</formula>
    </cfRule>
  </conditionalFormatting>
  <conditionalFormatting sqref="H7">
    <cfRule type="cellIs" dxfId="605" priority="108" stopIfTrue="1" operator="equal">
      <formula>'1851'!$G$7</formula>
    </cfRule>
    <cfRule type="cellIs" dxfId="604" priority="109" stopIfTrue="1" operator="lessThan">
      <formula>'1851'!$G$7</formula>
    </cfRule>
  </conditionalFormatting>
  <conditionalFormatting sqref="I5">
    <cfRule type="cellIs" dxfId="603" priority="110" stopIfTrue="1" operator="equal">
      <formula>'1851'!$H$5</formula>
    </cfRule>
    <cfRule type="cellIs" dxfId="602" priority="111" stopIfTrue="1" operator="lessThan">
      <formula>'1851'!$H$5</formula>
    </cfRule>
  </conditionalFormatting>
  <conditionalFormatting sqref="J5">
    <cfRule type="cellIs" dxfId="601" priority="112" stopIfTrue="1" operator="equal">
      <formula>'1851'!$I$5</formula>
    </cfRule>
    <cfRule type="cellIs" dxfId="600" priority="113" stopIfTrue="1" operator="lessThan">
      <formula>'1851'!$I$5</formula>
    </cfRule>
  </conditionalFormatting>
  <conditionalFormatting sqref="K5">
    <cfRule type="cellIs" dxfId="599" priority="114" stopIfTrue="1" operator="equal">
      <formula>'1851'!$J$5</formula>
    </cfRule>
    <cfRule type="cellIs" dxfId="598" priority="115" stopIfTrue="1" operator="lessThan">
      <formula>'1851'!$J$5</formula>
    </cfRule>
  </conditionalFormatting>
  <conditionalFormatting sqref="G4">
    <cfRule type="cellIs" dxfId="597" priority="116" stopIfTrue="1" operator="equal">
      <formula>'1851'!$F$4</formula>
    </cfRule>
    <cfRule type="cellIs" dxfId="596" priority="117" stopIfTrue="1" operator="lessThan">
      <formula>'1851'!$F$4</formula>
    </cfRule>
  </conditionalFormatting>
  <conditionalFormatting sqref="E4">
    <cfRule type="cellIs" dxfId="595" priority="118" stopIfTrue="1" operator="lessThan">
      <formula>'1851'!$D$4</formula>
    </cfRule>
    <cfRule type="cellIs" dxfId="594" priority="119" stopIfTrue="1" operator="equal">
      <formula>'1851'!$D$4</formula>
    </cfRule>
  </conditionalFormatting>
  <conditionalFormatting sqref="F4">
    <cfRule type="cellIs" dxfId="593" priority="120" stopIfTrue="1" operator="equal">
      <formula>'1851'!$E$4</formula>
    </cfRule>
    <cfRule type="cellIs" dxfId="592" priority="121" stopIfTrue="1" operator="lessThan">
      <formula>'1851'!$E$4</formula>
    </cfRule>
  </conditionalFormatting>
  <conditionalFormatting sqref="E5">
    <cfRule type="cellIs" dxfId="591" priority="122" stopIfTrue="1" operator="equal">
      <formula>'1851'!$D$5</formula>
    </cfRule>
    <cfRule type="cellIs" dxfId="590" priority="123" stopIfTrue="1" operator="lessThan">
      <formula>'1851'!$D$5</formula>
    </cfRule>
  </conditionalFormatting>
  <conditionalFormatting sqref="G5">
    <cfRule type="cellIs" dxfId="589" priority="124" stopIfTrue="1" operator="equal">
      <formula>'1851'!$F$5</formula>
    </cfRule>
    <cfRule type="cellIs" dxfId="588" priority="125" stopIfTrue="1" operator="lessThan">
      <formula>'1851'!$F$5</formula>
    </cfRule>
  </conditionalFormatting>
  <conditionalFormatting sqref="J4">
    <cfRule type="cellIs" dxfId="587" priority="126" stopIfTrue="1" operator="equal">
      <formula>'1851'!$I$4</formula>
    </cfRule>
  </conditionalFormatting>
  <conditionalFormatting sqref="K4">
    <cfRule type="cellIs" dxfId="586" priority="127" stopIfTrue="1" operator="lessThan">
      <formula>'1851'!$J$4</formula>
    </cfRule>
    <cfRule type="cellIs" dxfId="585" priority="128" stopIfTrue="1" operator="equal">
      <formula>'1851'!$J$4</formula>
    </cfRule>
  </conditionalFormatting>
  <conditionalFormatting sqref="E6">
    <cfRule type="cellIs" dxfId="584" priority="129" stopIfTrue="1" operator="equal">
      <formula>'1851'!$D$6</formula>
    </cfRule>
    <cfRule type="cellIs" dxfId="583" priority="130" stopIfTrue="1" operator="lessThan">
      <formula>'1851'!$D$6</formula>
    </cfRule>
  </conditionalFormatting>
  <conditionalFormatting sqref="F6">
    <cfRule type="cellIs" dxfId="582" priority="131" stopIfTrue="1" operator="equal">
      <formula>'1851'!$E$6</formula>
    </cfRule>
    <cfRule type="cellIs" dxfId="581" priority="132" stopIfTrue="1" operator="lessThan">
      <formula>'1851'!$E$6</formula>
    </cfRule>
  </conditionalFormatting>
  <conditionalFormatting sqref="G6">
    <cfRule type="cellIs" dxfId="580" priority="133" stopIfTrue="1" operator="equal">
      <formula>'1851'!$F$6</formula>
    </cfRule>
    <cfRule type="cellIs" dxfId="579" priority="134" stopIfTrue="1" operator="lessThan">
      <formula>'1851'!$F$6</formula>
    </cfRule>
  </conditionalFormatting>
  <conditionalFormatting sqref="H6">
    <cfRule type="cellIs" dxfId="578" priority="135" stopIfTrue="1" operator="equal">
      <formula>'1851'!$G$6</formula>
    </cfRule>
    <cfRule type="cellIs" dxfId="577" priority="136" stopIfTrue="1" operator="lessThan">
      <formula>'1851'!$G$6</formula>
    </cfRule>
  </conditionalFormatting>
  <conditionalFormatting sqref="I6">
    <cfRule type="cellIs" dxfId="576" priority="137" stopIfTrue="1" operator="equal">
      <formula>'1851'!$H$6</formula>
    </cfRule>
    <cfRule type="cellIs" dxfId="575" priority="138" stopIfTrue="1" operator="lessThan">
      <formula>'1851'!$H$6</formula>
    </cfRule>
  </conditionalFormatting>
  <conditionalFormatting sqref="J6">
    <cfRule type="cellIs" dxfId="574" priority="139" stopIfTrue="1" operator="equal">
      <formula>'1851'!$I$6</formula>
    </cfRule>
    <cfRule type="cellIs" dxfId="573" priority="140" stopIfTrue="1" operator="lessThan">
      <formula>'1851'!$I$6</formula>
    </cfRule>
  </conditionalFormatting>
  <conditionalFormatting sqref="K6">
    <cfRule type="cellIs" dxfId="572" priority="141" stopIfTrue="1" operator="equal">
      <formula>'1851'!$J$6</formula>
    </cfRule>
    <cfRule type="cellIs" dxfId="571" priority="142" stopIfTrue="1" operator="lessThan">
      <formula>'1851'!$J$6</formula>
    </cfRule>
  </conditionalFormatting>
  <conditionalFormatting sqref="E7">
    <cfRule type="cellIs" dxfId="570" priority="143" stopIfTrue="1" operator="equal">
      <formula>'1851'!$D$7</formula>
    </cfRule>
    <cfRule type="cellIs" dxfId="569" priority="144" stopIfTrue="1" operator="lessThan">
      <formula>'1851'!$D$7</formula>
    </cfRule>
  </conditionalFormatting>
  <conditionalFormatting sqref="F7">
    <cfRule type="cellIs" dxfId="568" priority="145" stopIfTrue="1" operator="equal">
      <formula>'1851'!$E$7</formula>
    </cfRule>
    <cfRule type="cellIs" dxfId="567" priority="146" stopIfTrue="1" operator="lessThan">
      <formula>'1851'!$E$7</formula>
    </cfRule>
  </conditionalFormatting>
  <conditionalFormatting sqref="G7">
    <cfRule type="cellIs" dxfId="566" priority="147" stopIfTrue="1" operator="equal">
      <formula>'1851'!$F$7</formula>
    </cfRule>
    <cfRule type="cellIs" dxfId="565" priority="148" stopIfTrue="1" operator="lessThan">
      <formula>'1851'!$F$7</formula>
    </cfRule>
  </conditionalFormatting>
  <conditionalFormatting sqref="I7">
    <cfRule type="cellIs" dxfId="564" priority="149" stopIfTrue="1" operator="equal">
      <formula>'1851'!$H$7</formula>
    </cfRule>
    <cfRule type="cellIs" dxfId="563" priority="150" stopIfTrue="1" operator="lessThan">
      <formula>'1851'!$H$7</formula>
    </cfRule>
  </conditionalFormatting>
  <conditionalFormatting sqref="J7">
    <cfRule type="cellIs" dxfId="562" priority="151" stopIfTrue="1" operator="equal">
      <formula>'1851'!$I$7</formula>
    </cfRule>
    <cfRule type="cellIs" dxfId="561" priority="152" stopIfTrue="1" operator="lessThan">
      <formula>'1851'!$I$7</formula>
    </cfRule>
  </conditionalFormatting>
  <conditionalFormatting sqref="K7">
    <cfRule type="cellIs" dxfId="560" priority="153" stopIfTrue="1" operator="equal">
      <formula>'1851'!$J$7</formula>
    </cfRule>
    <cfRule type="cellIs" dxfId="559" priority="154" stopIfTrue="1" operator="lessThan">
      <formula>'1851'!$J$7</formula>
    </cfRule>
  </conditionalFormatting>
  <conditionalFormatting sqref="E8">
    <cfRule type="cellIs" dxfId="558" priority="155" stopIfTrue="1" operator="equal">
      <formula>'1851'!$D$8</formula>
    </cfRule>
    <cfRule type="cellIs" dxfId="557" priority="156" stopIfTrue="1" operator="lessThan">
      <formula>'1851'!$D$8</formula>
    </cfRule>
  </conditionalFormatting>
  <conditionalFormatting sqref="F8">
    <cfRule type="cellIs" dxfId="556" priority="157" stopIfTrue="1" operator="equal">
      <formula>'1851'!$E$8</formula>
    </cfRule>
    <cfRule type="cellIs" dxfId="555" priority="158" stopIfTrue="1" operator="lessThan">
      <formula>'1851'!$E$8</formula>
    </cfRule>
  </conditionalFormatting>
  <conditionalFormatting sqref="G8">
    <cfRule type="cellIs" dxfId="554" priority="159" stopIfTrue="1" operator="equal">
      <formula>'1851'!$F$8</formula>
    </cfRule>
    <cfRule type="cellIs" dxfId="553" priority="160" stopIfTrue="1" operator="lessThan">
      <formula>'1851'!$F$8</formula>
    </cfRule>
  </conditionalFormatting>
  <conditionalFormatting sqref="H8">
    <cfRule type="cellIs" dxfId="552" priority="161" stopIfTrue="1" operator="equal">
      <formula>'1851'!$G$8</formula>
    </cfRule>
    <cfRule type="cellIs" dxfId="551" priority="162" stopIfTrue="1" operator="lessThan">
      <formula>'1851'!$G$8</formula>
    </cfRule>
  </conditionalFormatting>
  <conditionalFormatting sqref="I8">
    <cfRule type="cellIs" dxfId="550" priority="163" stopIfTrue="1" operator="equal">
      <formula>'1851'!$H$8</formula>
    </cfRule>
    <cfRule type="cellIs" dxfId="549" priority="164" stopIfTrue="1" operator="lessThan">
      <formula>'1851'!$H$8</formula>
    </cfRule>
  </conditionalFormatting>
  <conditionalFormatting sqref="J8">
    <cfRule type="cellIs" dxfId="548" priority="165" stopIfTrue="1" operator="equal">
      <formula>'1851'!$I$8</formula>
    </cfRule>
    <cfRule type="cellIs" dxfId="547" priority="166" stopIfTrue="1" operator="lessThan">
      <formula>'1851'!$I$8</formula>
    </cfRule>
  </conditionalFormatting>
  <conditionalFormatting sqref="K8">
    <cfRule type="cellIs" dxfId="546" priority="167" stopIfTrue="1" operator="equal">
      <formula>'1851'!$J$8</formula>
    </cfRule>
    <cfRule type="cellIs" dxfId="545" priority="168" stopIfTrue="1" operator="lessThan">
      <formula>'1851'!$J$8</formula>
    </cfRule>
  </conditionalFormatting>
  <conditionalFormatting sqref="E9">
    <cfRule type="cellIs" dxfId="544" priority="169" stopIfTrue="1" operator="equal">
      <formula>'1851'!$D$9</formula>
    </cfRule>
    <cfRule type="cellIs" dxfId="543" priority="170" stopIfTrue="1" operator="lessThan">
      <formula>'1851'!$D$9</formula>
    </cfRule>
  </conditionalFormatting>
  <conditionalFormatting sqref="F9">
    <cfRule type="cellIs" dxfId="542" priority="171" stopIfTrue="1" operator="equal">
      <formula>'1851'!$E$9</formula>
    </cfRule>
    <cfRule type="cellIs" dxfId="541" priority="172" stopIfTrue="1" operator="lessThan">
      <formula>'1851'!$E$9</formula>
    </cfRule>
  </conditionalFormatting>
  <conditionalFormatting sqref="G9">
    <cfRule type="cellIs" dxfId="540" priority="173" stopIfTrue="1" operator="equal">
      <formula>'1851'!$F$9</formula>
    </cfRule>
    <cfRule type="cellIs" dxfId="539" priority="174" stopIfTrue="1" operator="lessThan">
      <formula>'1851'!$F$9</formula>
    </cfRule>
  </conditionalFormatting>
  <conditionalFormatting sqref="H9">
    <cfRule type="cellIs" dxfId="538" priority="175" stopIfTrue="1" operator="equal">
      <formula>'1851'!$G$9</formula>
    </cfRule>
    <cfRule type="cellIs" dxfId="537" priority="176" stopIfTrue="1" operator="lessThan">
      <formula>'1851'!$G$9</formula>
    </cfRule>
  </conditionalFormatting>
  <conditionalFormatting sqref="I9">
    <cfRule type="cellIs" dxfId="536" priority="177" stopIfTrue="1" operator="equal">
      <formula>'1851'!$H$9</formula>
    </cfRule>
    <cfRule type="cellIs" dxfId="535" priority="178" stopIfTrue="1" operator="lessThan">
      <formula>'1851'!$H$9</formula>
    </cfRule>
  </conditionalFormatting>
  <conditionalFormatting sqref="J9">
    <cfRule type="cellIs" dxfId="534" priority="179" stopIfTrue="1" operator="equal">
      <formula>'1851'!$I$9</formula>
    </cfRule>
    <cfRule type="cellIs" dxfId="533" priority="180" stopIfTrue="1" operator="lessThan">
      <formula>'1851'!$I$9</formula>
    </cfRule>
  </conditionalFormatting>
  <conditionalFormatting sqref="K9">
    <cfRule type="cellIs" dxfId="532" priority="181" stopIfTrue="1" operator="equal">
      <formula>'1851'!$J$9</formula>
    </cfRule>
    <cfRule type="cellIs" dxfId="531" priority="182" stopIfTrue="1" operator="lessThan">
      <formula>'1851'!$J$9</formula>
    </cfRule>
  </conditionalFormatting>
  <conditionalFormatting sqref="E10">
    <cfRule type="cellIs" dxfId="530" priority="183" stopIfTrue="1" operator="equal">
      <formula>'1851'!$D$10</formula>
    </cfRule>
    <cfRule type="cellIs" dxfId="529" priority="184" stopIfTrue="1" operator="lessThan">
      <formula>'1851'!$D$10</formula>
    </cfRule>
  </conditionalFormatting>
  <conditionalFormatting sqref="F10">
    <cfRule type="cellIs" dxfId="528" priority="185" stopIfTrue="1" operator="equal">
      <formula>'1851'!$E$10</formula>
    </cfRule>
    <cfRule type="cellIs" dxfId="527" priority="186" stopIfTrue="1" operator="lessThan">
      <formula>'1851'!$E$10</formula>
    </cfRule>
  </conditionalFormatting>
  <conditionalFormatting sqref="G10">
    <cfRule type="cellIs" dxfId="526" priority="187" stopIfTrue="1" operator="equal">
      <formula>'1851'!$F$10</formula>
    </cfRule>
    <cfRule type="cellIs" dxfId="525" priority="188" stopIfTrue="1" operator="lessThan">
      <formula>'1851'!$F$10</formula>
    </cfRule>
  </conditionalFormatting>
  <conditionalFormatting sqref="H10">
    <cfRule type="cellIs" dxfId="524" priority="189" stopIfTrue="1" operator="equal">
      <formula>'1851'!$G$10</formula>
    </cfRule>
    <cfRule type="cellIs" dxfId="523" priority="190" stopIfTrue="1" operator="lessThan">
      <formula>'1851'!$G$10</formula>
    </cfRule>
  </conditionalFormatting>
  <conditionalFormatting sqref="I10">
    <cfRule type="cellIs" dxfId="522" priority="191" stopIfTrue="1" operator="equal">
      <formula>'1851'!$H$10</formula>
    </cfRule>
    <cfRule type="cellIs" dxfId="521" priority="192" stopIfTrue="1" operator="lessThan">
      <formula>'1851'!$H$10</formula>
    </cfRule>
  </conditionalFormatting>
  <conditionalFormatting sqref="J10">
    <cfRule type="cellIs" dxfId="520" priority="193" stopIfTrue="1" operator="equal">
      <formula>'1851'!$I$10</formula>
    </cfRule>
    <cfRule type="cellIs" dxfId="519" priority="194" stopIfTrue="1" operator="lessThan">
      <formula>'1851'!$I$10</formula>
    </cfRule>
  </conditionalFormatting>
  <conditionalFormatting sqref="K10">
    <cfRule type="cellIs" dxfId="518" priority="195" stopIfTrue="1" operator="equal">
      <formula>'1851'!$J$10</formula>
    </cfRule>
    <cfRule type="cellIs" dxfId="517" priority="196" stopIfTrue="1" operator="lessThan">
      <formula>'1851'!$J$10</formula>
    </cfRule>
  </conditionalFormatting>
  <conditionalFormatting sqref="E11">
    <cfRule type="cellIs" dxfId="516" priority="197" stopIfTrue="1" operator="equal">
      <formula>'1851'!$D$11</formula>
    </cfRule>
    <cfRule type="cellIs" dxfId="515" priority="198" stopIfTrue="1" operator="lessThan">
      <formula>'1851'!$D$11</formula>
    </cfRule>
  </conditionalFormatting>
  <conditionalFormatting sqref="F11">
    <cfRule type="cellIs" dxfId="514" priority="199" stopIfTrue="1" operator="equal">
      <formula>'1851'!$E$11</formula>
    </cfRule>
    <cfRule type="cellIs" dxfId="513" priority="200" stopIfTrue="1" operator="lessThan">
      <formula>'1851'!$E$11</formula>
    </cfRule>
  </conditionalFormatting>
  <conditionalFormatting sqref="G11">
    <cfRule type="cellIs" dxfId="512" priority="201" stopIfTrue="1" operator="equal">
      <formula>'1851'!$F$11</formula>
    </cfRule>
    <cfRule type="cellIs" dxfId="511" priority="202" stopIfTrue="1" operator="lessThan">
      <formula>'1851'!$F$11</formula>
    </cfRule>
  </conditionalFormatting>
  <conditionalFormatting sqref="H11">
    <cfRule type="cellIs" dxfId="510" priority="203" stopIfTrue="1" operator="equal">
      <formula>'1851'!$G$11</formula>
    </cfRule>
    <cfRule type="cellIs" dxfId="509" priority="204" stopIfTrue="1" operator="lessThan">
      <formula>'1851'!$G$11</formula>
    </cfRule>
  </conditionalFormatting>
  <conditionalFormatting sqref="I11">
    <cfRule type="cellIs" dxfId="508" priority="205" stopIfTrue="1" operator="equal">
      <formula>'1851'!$H$11</formula>
    </cfRule>
    <cfRule type="cellIs" dxfId="507" priority="206" stopIfTrue="1" operator="lessThan">
      <formula>'1851'!$H$11</formula>
    </cfRule>
  </conditionalFormatting>
  <conditionalFormatting sqref="J11">
    <cfRule type="cellIs" dxfId="506" priority="207" stopIfTrue="1" operator="equal">
      <formula>'1851'!$I$11</formula>
    </cfRule>
    <cfRule type="cellIs" dxfId="505" priority="208" stopIfTrue="1" operator="lessThan">
      <formula>'1851'!$I$11</formula>
    </cfRule>
  </conditionalFormatting>
  <conditionalFormatting sqref="K11">
    <cfRule type="cellIs" dxfId="504" priority="209" stopIfTrue="1" operator="equal">
      <formula>'1851'!$J$11</formula>
    </cfRule>
    <cfRule type="cellIs" dxfId="503" priority="210" stopIfTrue="1" operator="lessThan">
      <formula>'1851'!$J$11</formula>
    </cfRule>
  </conditionalFormatting>
  <conditionalFormatting sqref="E12">
    <cfRule type="cellIs" dxfId="502" priority="211" stopIfTrue="1" operator="equal">
      <formula>'1851'!$D$12</formula>
    </cfRule>
    <cfRule type="cellIs" dxfId="501" priority="212" stopIfTrue="1" operator="lessThan">
      <formula>'1851'!$D$12</formula>
    </cfRule>
  </conditionalFormatting>
  <conditionalFormatting sqref="F12">
    <cfRule type="cellIs" dxfId="500" priority="213" stopIfTrue="1" operator="equal">
      <formula>'1851'!$E$12</formula>
    </cfRule>
    <cfRule type="cellIs" dxfId="499" priority="214" stopIfTrue="1" operator="lessThan">
      <formula>'1851'!$E$12</formula>
    </cfRule>
  </conditionalFormatting>
  <conditionalFormatting sqref="G12">
    <cfRule type="cellIs" dxfId="498" priority="215" stopIfTrue="1" operator="equal">
      <formula>'1851'!$F$12</formula>
    </cfRule>
    <cfRule type="cellIs" dxfId="497" priority="216" stopIfTrue="1" operator="lessThan">
      <formula>'1851'!$F$12</formula>
    </cfRule>
  </conditionalFormatting>
  <conditionalFormatting sqref="H12">
    <cfRule type="cellIs" dxfId="496" priority="217" stopIfTrue="1" operator="equal">
      <formula>'1851'!$G$12</formula>
    </cfRule>
    <cfRule type="cellIs" dxfId="495" priority="218" stopIfTrue="1" operator="lessThan">
      <formula>'1851'!$G$12</formula>
    </cfRule>
  </conditionalFormatting>
  <conditionalFormatting sqref="I12">
    <cfRule type="cellIs" dxfId="494" priority="219" stopIfTrue="1" operator="equal">
      <formula>'1851'!$H$12</formula>
    </cfRule>
    <cfRule type="cellIs" dxfId="493" priority="220" stopIfTrue="1" operator="lessThan">
      <formula>'1851'!$H$12</formula>
    </cfRule>
  </conditionalFormatting>
  <conditionalFormatting sqref="J12">
    <cfRule type="cellIs" dxfId="492" priority="221" stopIfTrue="1" operator="equal">
      <formula>'1851'!$I$12</formula>
    </cfRule>
    <cfRule type="cellIs" dxfId="491" priority="222" stopIfTrue="1" operator="lessThan">
      <formula>'1851'!$I$12</formula>
    </cfRule>
  </conditionalFormatting>
  <conditionalFormatting sqref="K12">
    <cfRule type="cellIs" dxfId="490" priority="223" stopIfTrue="1" operator="equal">
      <formula>'1851'!$J$12</formula>
    </cfRule>
    <cfRule type="cellIs" dxfId="489" priority="224" stopIfTrue="1" operator="lessThan">
      <formula>'1851'!$J$12</formula>
    </cfRule>
  </conditionalFormatting>
  <conditionalFormatting sqref="E14">
    <cfRule type="cellIs" dxfId="488" priority="225" stopIfTrue="1" operator="equal">
      <formula>'1851'!$D$14</formula>
    </cfRule>
    <cfRule type="cellIs" dxfId="487" priority="226" stopIfTrue="1" operator="lessThan">
      <formula>'1851'!$D$14</formula>
    </cfRule>
  </conditionalFormatting>
  <conditionalFormatting sqref="E15">
    <cfRule type="cellIs" dxfId="486" priority="227" stopIfTrue="1" operator="equal">
      <formula>'1851'!$D$15</formula>
    </cfRule>
    <cfRule type="cellIs" dxfId="485" priority="228" stopIfTrue="1" operator="lessThan">
      <formula>'1851'!$D$15</formula>
    </cfRule>
  </conditionalFormatting>
  <conditionalFormatting sqref="E16">
    <cfRule type="cellIs" dxfId="484" priority="229" stopIfTrue="1" operator="equal">
      <formula>'1851'!$D$16</formula>
    </cfRule>
    <cfRule type="cellIs" dxfId="483" priority="230" stopIfTrue="1" operator="lessThan">
      <formula>'1851'!$D$16</formula>
    </cfRule>
  </conditionalFormatting>
  <conditionalFormatting sqref="E17">
    <cfRule type="cellIs" dxfId="482" priority="231" stopIfTrue="1" operator="equal">
      <formula>'1851'!$D$17</formula>
    </cfRule>
    <cfRule type="cellIs" dxfId="481" priority="232" stopIfTrue="1" operator="lessThan">
      <formula>'1851'!$D$17</formula>
    </cfRule>
  </conditionalFormatting>
  <conditionalFormatting sqref="E18">
    <cfRule type="cellIs" dxfId="480" priority="233" stopIfTrue="1" operator="equal">
      <formula>'1851'!$D$18</formula>
    </cfRule>
    <cfRule type="cellIs" dxfId="479" priority="234" stopIfTrue="1" operator="lessThan">
      <formula>'1851'!$D$18</formula>
    </cfRule>
  </conditionalFormatting>
  <conditionalFormatting sqref="E19">
    <cfRule type="cellIs" dxfId="478" priority="235" stopIfTrue="1" operator="equal">
      <formula>'1851'!$D$19</formula>
    </cfRule>
    <cfRule type="cellIs" dxfId="477" priority="236" stopIfTrue="1" operator="lessThan">
      <formula>'1851'!$D$19</formula>
    </cfRule>
  </conditionalFormatting>
  <conditionalFormatting sqref="E20">
    <cfRule type="cellIs" dxfId="476" priority="237" stopIfTrue="1" operator="equal">
      <formula>'1851'!$D$20</formula>
    </cfRule>
    <cfRule type="cellIs" dxfId="475" priority="238" stopIfTrue="1" operator="lessThan">
      <formula>'1851'!$D$20</formula>
    </cfRule>
  </conditionalFormatting>
  <conditionalFormatting sqref="E21">
    <cfRule type="cellIs" dxfId="474" priority="239" stopIfTrue="1" operator="equal">
      <formula>'1851'!$D$21</formula>
    </cfRule>
    <cfRule type="cellIs" dxfId="473" priority="240" stopIfTrue="1" operator="lessThan">
      <formula>'1851'!$D$21</formula>
    </cfRule>
  </conditionalFormatting>
  <conditionalFormatting sqref="E22">
    <cfRule type="cellIs" dxfId="472" priority="241" stopIfTrue="1" operator="equal">
      <formula>'1851'!$D$22</formula>
    </cfRule>
    <cfRule type="cellIs" dxfId="471" priority="242" stopIfTrue="1" operator="lessThan">
      <formula>'1851'!$D$22</formula>
    </cfRule>
  </conditionalFormatting>
  <conditionalFormatting sqref="E23">
    <cfRule type="cellIs" dxfId="470" priority="243" stopIfTrue="1" operator="equal">
      <formula>'1851'!$D$23</formula>
    </cfRule>
    <cfRule type="cellIs" dxfId="469" priority="244" stopIfTrue="1" operator="lessThan">
      <formula>'1851'!$D$23</formula>
    </cfRule>
  </conditionalFormatting>
  <conditionalFormatting sqref="E25">
    <cfRule type="cellIs" dxfId="468" priority="245" stopIfTrue="1" operator="equal">
      <formula>'1851'!$D$25</formula>
    </cfRule>
    <cfRule type="cellIs" dxfId="467" priority="246" stopIfTrue="1" operator="lessThan">
      <formula>'1851'!$D$25</formula>
    </cfRule>
  </conditionalFormatting>
  <conditionalFormatting sqref="E26">
    <cfRule type="cellIs" dxfId="466" priority="247" stopIfTrue="1" operator="equal">
      <formula>'1851'!$D$26</formula>
    </cfRule>
    <cfRule type="cellIs" dxfId="465" priority="248" stopIfTrue="1" operator="lessThan">
      <formula>'1851'!$D$26</formula>
    </cfRule>
  </conditionalFormatting>
  <conditionalFormatting sqref="E27">
    <cfRule type="cellIs" dxfId="464" priority="249" stopIfTrue="1" operator="equal">
      <formula>'1851'!$D$27</formula>
    </cfRule>
    <cfRule type="cellIs" dxfId="463" priority="250" stopIfTrue="1" operator="lessThan">
      <formula>'1851'!$D$27</formula>
    </cfRule>
  </conditionalFormatting>
  <conditionalFormatting sqref="E28">
    <cfRule type="cellIs" dxfId="462" priority="251" stopIfTrue="1" operator="equal">
      <formula>'1851'!$D$28</formula>
    </cfRule>
    <cfRule type="cellIs" dxfId="461" priority="252" stopIfTrue="1" operator="lessThan">
      <formula>'1851'!$D$28</formula>
    </cfRule>
  </conditionalFormatting>
  <conditionalFormatting sqref="F13">
    <cfRule type="cellIs" dxfId="460" priority="253" stopIfTrue="1" operator="equal">
      <formula>'1851'!$E$13</formula>
    </cfRule>
    <cfRule type="cellIs" dxfId="459" priority="254" stopIfTrue="1" operator="lessThan">
      <formula>'1851'!$E$13</formula>
    </cfRule>
  </conditionalFormatting>
  <conditionalFormatting sqref="F14">
    <cfRule type="cellIs" dxfId="458" priority="255" stopIfTrue="1" operator="equal">
      <formula>'1851'!$E$14</formula>
    </cfRule>
    <cfRule type="cellIs" dxfId="457" priority="256" stopIfTrue="1" operator="lessThan">
      <formula>'1851'!$E$14</formula>
    </cfRule>
  </conditionalFormatting>
  <conditionalFormatting sqref="F15">
    <cfRule type="cellIs" dxfId="456" priority="257" stopIfTrue="1" operator="equal">
      <formula>'1851'!$E$15</formula>
    </cfRule>
    <cfRule type="cellIs" dxfId="455" priority="258" stopIfTrue="1" operator="lessThan">
      <formula>'1851'!$E$15</formula>
    </cfRule>
  </conditionalFormatting>
  <conditionalFormatting sqref="F16">
    <cfRule type="cellIs" dxfId="454" priority="259" stopIfTrue="1" operator="equal">
      <formula>'1851'!$E$16</formula>
    </cfRule>
    <cfRule type="cellIs" dxfId="453" priority="260" stopIfTrue="1" operator="lessThan">
      <formula>'1851'!$E$16</formula>
    </cfRule>
  </conditionalFormatting>
  <conditionalFormatting sqref="F17">
    <cfRule type="cellIs" dxfId="452" priority="261" stopIfTrue="1" operator="equal">
      <formula>'1851'!$E$17</formula>
    </cfRule>
    <cfRule type="cellIs" dxfId="451" priority="262" stopIfTrue="1" operator="lessThan">
      <formula>'1851'!$E$17</formula>
    </cfRule>
  </conditionalFormatting>
  <conditionalFormatting sqref="F18">
    <cfRule type="cellIs" dxfId="450" priority="263" stopIfTrue="1" operator="equal">
      <formula>'1851'!$E$18</formula>
    </cfRule>
    <cfRule type="cellIs" dxfId="449" priority="264" stopIfTrue="1" operator="lessThan">
      <formula>'1851'!$E$18</formula>
    </cfRule>
  </conditionalFormatting>
  <conditionalFormatting sqref="F19">
    <cfRule type="cellIs" dxfId="448" priority="265" stopIfTrue="1" operator="equal">
      <formula>'1851'!$E$19</formula>
    </cfRule>
    <cfRule type="cellIs" dxfId="447" priority="266" stopIfTrue="1" operator="lessThan">
      <formula>'1851'!$E$19</formula>
    </cfRule>
  </conditionalFormatting>
  <conditionalFormatting sqref="F20">
    <cfRule type="cellIs" dxfId="446" priority="267" stopIfTrue="1" operator="equal">
      <formula>'1851'!$E$20</formula>
    </cfRule>
    <cfRule type="cellIs" dxfId="445" priority="268" stopIfTrue="1" operator="lessThan">
      <formula>'1851'!$E$20</formula>
    </cfRule>
  </conditionalFormatting>
  <conditionalFormatting sqref="F21">
    <cfRule type="cellIs" dxfId="444" priority="269" stopIfTrue="1" operator="equal">
      <formula>'1851'!$E$21</formula>
    </cfRule>
    <cfRule type="cellIs" dxfId="443" priority="270" stopIfTrue="1" operator="lessThan">
      <formula>'1851'!$E$21</formula>
    </cfRule>
  </conditionalFormatting>
  <conditionalFormatting sqref="F22">
    <cfRule type="cellIs" dxfId="442" priority="271" stopIfTrue="1" operator="equal">
      <formula>'1851'!$E$22</formula>
    </cfRule>
    <cfRule type="cellIs" dxfId="441" priority="272" stopIfTrue="1" operator="lessThan">
      <formula>'1851'!$E$22</formula>
    </cfRule>
  </conditionalFormatting>
  <conditionalFormatting sqref="F23">
    <cfRule type="cellIs" dxfId="440" priority="273" stopIfTrue="1" operator="equal">
      <formula>'1851'!$E$23</formula>
    </cfRule>
    <cfRule type="cellIs" dxfId="439" priority="274" stopIfTrue="1" operator="lessThan">
      <formula>'1851'!$E$23</formula>
    </cfRule>
  </conditionalFormatting>
  <conditionalFormatting sqref="F25">
    <cfRule type="cellIs" dxfId="438" priority="275" stopIfTrue="1" operator="equal">
      <formula>'1851'!$E$25</formula>
    </cfRule>
    <cfRule type="cellIs" dxfId="437" priority="276" stopIfTrue="1" operator="lessThan">
      <formula>'1851'!$E$25</formula>
    </cfRule>
  </conditionalFormatting>
  <conditionalFormatting sqref="F26">
    <cfRule type="cellIs" dxfId="436" priority="277" stopIfTrue="1" operator="equal">
      <formula>'1851'!$E$26</formula>
    </cfRule>
    <cfRule type="cellIs" dxfId="435" priority="278" stopIfTrue="1" operator="lessThan">
      <formula>'1851'!$E$26</formula>
    </cfRule>
  </conditionalFormatting>
  <conditionalFormatting sqref="F27">
    <cfRule type="cellIs" dxfId="434" priority="279" stopIfTrue="1" operator="equal">
      <formula>'1851'!$E$27</formula>
    </cfRule>
    <cfRule type="cellIs" dxfId="433" priority="280" stopIfTrue="1" operator="lessThan">
      <formula>'1851'!$E$27</formula>
    </cfRule>
  </conditionalFormatting>
  <conditionalFormatting sqref="F28">
    <cfRule type="cellIs" dxfId="432" priority="281" stopIfTrue="1" operator="equal">
      <formula>'1851'!$E$28</formula>
    </cfRule>
    <cfRule type="cellIs" dxfId="431" priority="282" stopIfTrue="1" operator="lessThan">
      <formula>'1851'!$E$28</formula>
    </cfRule>
  </conditionalFormatting>
  <conditionalFormatting sqref="G13">
    <cfRule type="cellIs" dxfId="430" priority="283" stopIfTrue="1" operator="equal">
      <formula>'1851'!$F$13</formula>
    </cfRule>
    <cfRule type="cellIs" dxfId="429" priority="284" stopIfTrue="1" operator="lessThan">
      <formula>'1851'!$F$13</formula>
    </cfRule>
  </conditionalFormatting>
  <conditionalFormatting sqref="G14">
    <cfRule type="cellIs" dxfId="428" priority="285" stopIfTrue="1" operator="equal">
      <formula>'1851'!$F$14</formula>
    </cfRule>
    <cfRule type="cellIs" dxfId="427" priority="286" stopIfTrue="1" operator="lessThan">
      <formula>'1851'!$F$14</formula>
    </cfRule>
  </conditionalFormatting>
  <conditionalFormatting sqref="G15">
    <cfRule type="cellIs" dxfId="426" priority="287" stopIfTrue="1" operator="equal">
      <formula>'1851'!$F$15</formula>
    </cfRule>
    <cfRule type="cellIs" dxfId="425" priority="288" stopIfTrue="1" operator="lessThan">
      <formula>'1851'!$F$15</formula>
    </cfRule>
  </conditionalFormatting>
  <conditionalFormatting sqref="G16">
    <cfRule type="cellIs" dxfId="424" priority="289" stopIfTrue="1" operator="equal">
      <formula>'1851'!$F$16</formula>
    </cfRule>
    <cfRule type="cellIs" dxfId="423" priority="290" stopIfTrue="1" operator="lessThan">
      <formula>'1851'!$F$16</formula>
    </cfRule>
  </conditionalFormatting>
  <conditionalFormatting sqref="G17">
    <cfRule type="cellIs" dxfId="422" priority="291" stopIfTrue="1" operator="equal">
      <formula>'1851'!$F$17</formula>
    </cfRule>
    <cfRule type="cellIs" dxfId="421" priority="292" stopIfTrue="1" operator="lessThan">
      <formula>'1851'!$F$17</formula>
    </cfRule>
  </conditionalFormatting>
  <conditionalFormatting sqref="G18">
    <cfRule type="cellIs" dxfId="420" priority="293" stopIfTrue="1" operator="equal">
      <formula>'1851'!$F$18</formula>
    </cfRule>
    <cfRule type="cellIs" dxfId="419" priority="294" stopIfTrue="1" operator="lessThan">
      <formula>'1851'!$F$18</formula>
    </cfRule>
  </conditionalFormatting>
  <conditionalFormatting sqref="G19">
    <cfRule type="cellIs" dxfId="418" priority="295" stopIfTrue="1" operator="equal">
      <formula>'1851'!$F$19</formula>
    </cfRule>
    <cfRule type="cellIs" dxfId="417" priority="296" stopIfTrue="1" operator="lessThan">
      <formula>'1851'!$F$19</formula>
    </cfRule>
  </conditionalFormatting>
  <conditionalFormatting sqref="G20">
    <cfRule type="cellIs" dxfId="416" priority="297" stopIfTrue="1" operator="equal">
      <formula>'1851'!$F$20</formula>
    </cfRule>
    <cfRule type="cellIs" dxfId="415" priority="298" stopIfTrue="1" operator="lessThan">
      <formula>'1851'!$F$20</formula>
    </cfRule>
  </conditionalFormatting>
  <conditionalFormatting sqref="G21">
    <cfRule type="cellIs" dxfId="414" priority="299" stopIfTrue="1" operator="equal">
      <formula>'1851'!$F$21</formula>
    </cfRule>
    <cfRule type="cellIs" dxfId="413" priority="300" stopIfTrue="1" operator="lessThan">
      <formula>'1851'!$F$21</formula>
    </cfRule>
  </conditionalFormatting>
  <conditionalFormatting sqref="G22">
    <cfRule type="cellIs" dxfId="412" priority="301" stopIfTrue="1" operator="equal">
      <formula>'1851'!$F$22</formula>
    </cfRule>
    <cfRule type="cellIs" dxfId="411" priority="302" stopIfTrue="1" operator="lessThan">
      <formula>'1851'!$F$22</formula>
    </cfRule>
  </conditionalFormatting>
  <conditionalFormatting sqref="G23">
    <cfRule type="cellIs" dxfId="410" priority="303" stopIfTrue="1" operator="equal">
      <formula>'1851'!$F$23</formula>
    </cfRule>
    <cfRule type="cellIs" dxfId="409" priority="304" stopIfTrue="1" operator="lessThan">
      <formula>'1851'!$F$23</formula>
    </cfRule>
  </conditionalFormatting>
  <conditionalFormatting sqref="G25">
    <cfRule type="cellIs" dxfId="408" priority="305" stopIfTrue="1" operator="equal">
      <formula>'1851'!$F$25</formula>
    </cfRule>
    <cfRule type="cellIs" dxfId="407" priority="306" stopIfTrue="1" operator="lessThan">
      <formula>'1851'!$F$25</formula>
    </cfRule>
  </conditionalFormatting>
  <conditionalFormatting sqref="G26">
    <cfRule type="cellIs" dxfId="406" priority="307" stopIfTrue="1" operator="equal">
      <formula>'1851'!$F$26</formula>
    </cfRule>
    <cfRule type="cellIs" dxfId="405" priority="308" stopIfTrue="1" operator="lessThan">
      <formula>'1851'!$F$26</formula>
    </cfRule>
  </conditionalFormatting>
  <conditionalFormatting sqref="G27">
    <cfRule type="cellIs" dxfId="404" priority="309" stopIfTrue="1" operator="equal">
      <formula>'1851'!$F$27</formula>
    </cfRule>
    <cfRule type="cellIs" dxfId="403" priority="310" stopIfTrue="1" operator="lessThan">
      <formula>'1851'!$F$27</formula>
    </cfRule>
  </conditionalFormatting>
  <conditionalFormatting sqref="G28">
    <cfRule type="cellIs" dxfId="402" priority="311" stopIfTrue="1" operator="equal">
      <formula>'1851'!$F$28</formula>
    </cfRule>
    <cfRule type="cellIs" dxfId="401" priority="312" stopIfTrue="1" operator="lessThan">
      <formula>'1851'!$F$28</formula>
    </cfRule>
  </conditionalFormatting>
  <conditionalFormatting sqref="H13">
    <cfRule type="cellIs" dxfId="400" priority="313" stopIfTrue="1" operator="equal">
      <formula>'1851'!$G$13</formula>
    </cfRule>
    <cfRule type="cellIs" dxfId="399" priority="314" stopIfTrue="1" operator="lessThan">
      <formula>'1851'!$G$13</formula>
    </cfRule>
  </conditionalFormatting>
  <conditionalFormatting sqref="H14">
    <cfRule type="cellIs" dxfId="398" priority="315" stopIfTrue="1" operator="equal">
      <formula>'1851'!$G$14</formula>
    </cfRule>
    <cfRule type="cellIs" dxfId="397" priority="316" stopIfTrue="1" operator="lessThan">
      <formula>'1851'!$G$14</formula>
    </cfRule>
  </conditionalFormatting>
  <conditionalFormatting sqref="H15">
    <cfRule type="cellIs" dxfId="396" priority="317" stopIfTrue="1" operator="equal">
      <formula>'1851'!$G$15</formula>
    </cfRule>
    <cfRule type="cellIs" dxfId="395" priority="318" stopIfTrue="1" operator="lessThan">
      <formula>'1851'!$G$15</formula>
    </cfRule>
  </conditionalFormatting>
  <conditionalFormatting sqref="H16">
    <cfRule type="cellIs" dxfId="394" priority="319" stopIfTrue="1" operator="equal">
      <formula>'1851'!$G$16</formula>
    </cfRule>
    <cfRule type="cellIs" dxfId="393" priority="320" stopIfTrue="1" operator="lessThan">
      <formula>'1851'!$G$16</formula>
    </cfRule>
  </conditionalFormatting>
  <conditionalFormatting sqref="H17">
    <cfRule type="cellIs" dxfId="392" priority="321" stopIfTrue="1" operator="equal">
      <formula>'1851'!$G$17</formula>
    </cfRule>
    <cfRule type="cellIs" dxfId="391" priority="322" stopIfTrue="1" operator="lessThan">
      <formula>'1851'!$G$17</formula>
    </cfRule>
  </conditionalFormatting>
  <conditionalFormatting sqref="H18">
    <cfRule type="cellIs" dxfId="390" priority="323" stopIfTrue="1" operator="equal">
      <formula>'1851'!$G$18</formula>
    </cfRule>
    <cfRule type="cellIs" dxfId="389" priority="324" stopIfTrue="1" operator="lessThan">
      <formula>'1851'!$G$18</formula>
    </cfRule>
  </conditionalFormatting>
  <conditionalFormatting sqref="H19">
    <cfRule type="cellIs" dxfId="388" priority="325" stopIfTrue="1" operator="equal">
      <formula>'1851'!$G$19</formula>
    </cfRule>
    <cfRule type="cellIs" dxfId="387" priority="326" stopIfTrue="1" operator="lessThan">
      <formula>'1851'!$G$19</formula>
    </cfRule>
  </conditionalFormatting>
  <conditionalFormatting sqref="H20">
    <cfRule type="cellIs" dxfId="386" priority="327" stopIfTrue="1" operator="equal">
      <formula>'1851'!$G$20</formula>
    </cfRule>
    <cfRule type="cellIs" dxfId="385" priority="328" stopIfTrue="1" operator="lessThan">
      <formula>'1851'!$G$20</formula>
    </cfRule>
  </conditionalFormatting>
  <conditionalFormatting sqref="H21">
    <cfRule type="cellIs" dxfId="384" priority="329" stopIfTrue="1" operator="equal">
      <formula>'1851'!$G$21</formula>
    </cfRule>
    <cfRule type="cellIs" dxfId="383" priority="330" stopIfTrue="1" operator="lessThan">
      <formula>'1851'!$G$21</formula>
    </cfRule>
  </conditionalFormatting>
  <conditionalFormatting sqref="H22">
    <cfRule type="cellIs" dxfId="382" priority="331" stopIfTrue="1" operator="equal">
      <formula>'1851'!$G$22</formula>
    </cfRule>
    <cfRule type="cellIs" dxfId="381" priority="332" stopIfTrue="1" operator="lessThan">
      <formula>'1851'!$G$22</formula>
    </cfRule>
  </conditionalFormatting>
  <conditionalFormatting sqref="H23">
    <cfRule type="cellIs" dxfId="380" priority="333" stopIfTrue="1" operator="equal">
      <formula>'1851'!$G$23</formula>
    </cfRule>
    <cfRule type="cellIs" dxfId="379" priority="334" stopIfTrue="1" operator="lessThan">
      <formula>'1851'!$G$23</formula>
    </cfRule>
  </conditionalFormatting>
  <conditionalFormatting sqref="H25">
    <cfRule type="cellIs" dxfId="378" priority="335" stopIfTrue="1" operator="equal">
      <formula>'1851'!$G$25</formula>
    </cfRule>
    <cfRule type="cellIs" dxfId="377" priority="336" stopIfTrue="1" operator="lessThan">
      <formula>'1851'!$G$25</formula>
    </cfRule>
  </conditionalFormatting>
  <conditionalFormatting sqref="H26">
    <cfRule type="cellIs" dxfId="376" priority="337" stopIfTrue="1" operator="equal">
      <formula>'1851'!$G$26</formula>
    </cfRule>
    <cfRule type="cellIs" dxfId="375" priority="338" stopIfTrue="1" operator="lessThan">
      <formula>'1851'!$G$26</formula>
    </cfRule>
  </conditionalFormatting>
  <conditionalFormatting sqref="H27">
    <cfRule type="cellIs" dxfId="374" priority="339" stopIfTrue="1" operator="equal">
      <formula>'1851'!$G$27</formula>
    </cfRule>
    <cfRule type="cellIs" dxfId="373" priority="340" stopIfTrue="1" operator="lessThan">
      <formula>'1851'!$G$27</formula>
    </cfRule>
  </conditionalFormatting>
  <conditionalFormatting sqref="H28">
    <cfRule type="cellIs" dxfId="372" priority="341" stopIfTrue="1" operator="equal">
      <formula>'1851'!$G$28</formula>
    </cfRule>
    <cfRule type="cellIs" dxfId="371" priority="342" stopIfTrue="1" operator="lessThan">
      <formula>'1851'!$G$28</formula>
    </cfRule>
  </conditionalFormatting>
  <conditionalFormatting sqref="E13">
    <cfRule type="cellIs" dxfId="370" priority="343" stopIfTrue="1" operator="equal">
      <formula>'1851'!$D$13</formula>
    </cfRule>
    <cfRule type="cellIs" dxfId="369" priority="344" stopIfTrue="1" operator="lessThan">
      <formula>'1851'!$D$13</formula>
    </cfRule>
  </conditionalFormatting>
  <conditionalFormatting sqref="I13">
    <cfRule type="cellIs" dxfId="368" priority="345" stopIfTrue="1" operator="equal">
      <formula>'1851'!$H$13</formula>
    </cfRule>
    <cfRule type="cellIs" dxfId="367" priority="346" stopIfTrue="1" operator="lessThan">
      <formula>'1851'!$H$13</formula>
    </cfRule>
  </conditionalFormatting>
  <conditionalFormatting sqref="I14">
    <cfRule type="cellIs" dxfId="366" priority="347" stopIfTrue="1" operator="equal">
      <formula>'1851'!$H$14</formula>
    </cfRule>
    <cfRule type="cellIs" dxfId="365" priority="348" stopIfTrue="1" operator="lessThan">
      <formula>'1851'!$H$14</formula>
    </cfRule>
  </conditionalFormatting>
  <conditionalFormatting sqref="I15">
    <cfRule type="cellIs" dxfId="364" priority="349" stopIfTrue="1" operator="equal">
      <formula>'1851'!$H$15</formula>
    </cfRule>
    <cfRule type="cellIs" dxfId="363" priority="350" stopIfTrue="1" operator="lessThan">
      <formula>'1851'!$H$15</formula>
    </cfRule>
  </conditionalFormatting>
  <conditionalFormatting sqref="I16">
    <cfRule type="cellIs" dxfId="362" priority="351" stopIfTrue="1" operator="equal">
      <formula>'1851'!$H$16</formula>
    </cfRule>
    <cfRule type="cellIs" dxfId="361" priority="352" stopIfTrue="1" operator="lessThan">
      <formula>'1851'!$H$16</formula>
    </cfRule>
  </conditionalFormatting>
  <conditionalFormatting sqref="I17">
    <cfRule type="cellIs" dxfId="360" priority="353" stopIfTrue="1" operator="equal">
      <formula>'1851'!$H$17</formula>
    </cfRule>
    <cfRule type="cellIs" dxfId="359" priority="354" stopIfTrue="1" operator="lessThan">
      <formula>'1851'!$H$17</formula>
    </cfRule>
  </conditionalFormatting>
  <conditionalFormatting sqref="I18">
    <cfRule type="cellIs" dxfId="358" priority="355" stopIfTrue="1" operator="equal">
      <formula>'1851'!$H$18</formula>
    </cfRule>
    <cfRule type="cellIs" dxfId="357" priority="356" stopIfTrue="1" operator="lessThan">
      <formula>'1851'!$H$18</formula>
    </cfRule>
  </conditionalFormatting>
  <conditionalFormatting sqref="I19">
    <cfRule type="cellIs" dxfId="356" priority="357" stopIfTrue="1" operator="equal">
      <formula>'1851'!$H$19</formula>
    </cfRule>
    <cfRule type="cellIs" dxfId="355" priority="358" stopIfTrue="1" operator="lessThan">
      <formula>'1851'!$H$19</formula>
    </cfRule>
  </conditionalFormatting>
  <conditionalFormatting sqref="I20">
    <cfRule type="cellIs" dxfId="354" priority="359" stopIfTrue="1" operator="equal">
      <formula>'1851'!$H$20</formula>
    </cfRule>
    <cfRule type="cellIs" dxfId="353" priority="360" stopIfTrue="1" operator="lessThan">
      <formula>'1851'!$H$20</formula>
    </cfRule>
  </conditionalFormatting>
  <conditionalFormatting sqref="I21">
    <cfRule type="cellIs" dxfId="352" priority="361" stopIfTrue="1" operator="equal">
      <formula>'1851'!$H$21</formula>
    </cfRule>
    <cfRule type="cellIs" dxfId="351" priority="362" stopIfTrue="1" operator="lessThan">
      <formula>'1851'!$H$21</formula>
    </cfRule>
  </conditionalFormatting>
  <conditionalFormatting sqref="I22">
    <cfRule type="cellIs" dxfId="350" priority="363" stopIfTrue="1" operator="equal">
      <formula>'1851'!$H$22</formula>
    </cfRule>
    <cfRule type="cellIs" dxfId="349" priority="364" stopIfTrue="1" operator="lessThan">
      <formula>'1851'!$H$22</formula>
    </cfRule>
  </conditionalFormatting>
  <conditionalFormatting sqref="I23">
    <cfRule type="cellIs" dxfId="348" priority="365" stopIfTrue="1" operator="equal">
      <formula>'1851'!$H$23</formula>
    </cfRule>
    <cfRule type="cellIs" dxfId="347" priority="366" stopIfTrue="1" operator="lessThan">
      <formula>'1851'!$H$23</formula>
    </cfRule>
  </conditionalFormatting>
  <conditionalFormatting sqref="I25">
    <cfRule type="cellIs" dxfId="346" priority="367" stopIfTrue="1" operator="equal">
      <formula>'1851'!$H$25</formula>
    </cfRule>
    <cfRule type="cellIs" dxfId="345" priority="368" stopIfTrue="1" operator="lessThan">
      <formula>'1851'!$H$25</formula>
    </cfRule>
  </conditionalFormatting>
  <conditionalFormatting sqref="I26">
    <cfRule type="cellIs" dxfId="344" priority="369" stopIfTrue="1" operator="equal">
      <formula>'1851'!$H$26</formula>
    </cfRule>
    <cfRule type="cellIs" dxfId="343" priority="370" stopIfTrue="1" operator="lessThan">
      <formula>'1851'!$H$26</formula>
    </cfRule>
  </conditionalFormatting>
  <conditionalFormatting sqref="I27">
    <cfRule type="cellIs" dxfId="342" priority="371" stopIfTrue="1" operator="equal">
      <formula>'1851'!$H$27</formula>
    </cfRule>
    <cfRule type="cellIs" dxfId="341" priority="372" stopIfTrue="1" operator="lessThan">
      <formula>'1851'!$H$27</formula>
    </cfRule>
  </conditionalFormatting>
  <conditionalFormatting sqref="I28">
    <cfRule type="cellIs" dxfId="340" priority="373" stopIfTrue="1" operator="equal">
      <formula>'1851'!$H$28</formula>
    </cfRule>
    <cfRule type="cellIs" dxfId="339" priority="374" stopIfTrue="1" operator="lessThan">
      <formula>'1851'!$H$28</formula>
    </cfRule>
  </conditionalFormatting>
  <conditionalFormatting sqref="E24">
    <cfRule type="cellIs" dxfId="338" priority="375" stopIfTrue="1" operator="equal">
      <formula>'1851'!$D$24</formula>
    </cfRule>
    <cfRule type="cellIs" dxfId="337" priority="376" stopIfTrue="1" operator="lessThan">
      <formula>'1851'!$D$24</formula>
    </cfRule>
  </conditionalFormatting>
  <conditionalFormatting sqref="F24">
    <cfRule type="cellIs" dxfId="336" priority="377" stopIfTrue="1" operator="equal">
      <formula>'1851'!$E$24</formula>
    </cfRule>
    <cfRule type="cellIs" dxfId="335" priority="378" stopIfTrue="1" operator="lessThan">
      <formula>'1851'!$E$24</formula>
    </cfRule>
  </conditionalFormatting>
  <conditionalFormatting sqref="G24">
    <cfRule type="cellIs" dxfId="334" priority="379" stopIfTrue="1" operator="equal">
      <formula>'1851'!$F$24</formula>
    </cfRule>
    <cfRule type="cellIs" dxfId="333" priority="380" stopIfTrue="1" operator="lessThan">
      <formula>'1851'!$F$24</formula>
    </cfRule>
  </conditionalFormatting>
  <conditionalFormatting sqref="H24">
    <cfRule type="cellIs" dxfId="332" priority="381" stopIfTrue="1" operator="equal">
      <formula>'1851'!$G$24</formula>
    </cfRule>
    <cfRule type="cellIs" dxfId="331" priority="382" stopIfTrue="1" operator="lessThan">
      <formula>'1851'!$G$24</formula>
    </cfRule>
  </conditionalFormatting>
  <conditionalFormatting sqref="I24">
    <cfRule type="cellIs" dxfId="330" priority="383" stopIfTrue="1" operator="equal">
      <formula>'1851'!$H$24</formula>
    </cfRule>
    <cfRule type="cellIs" dxfId="329" priority="384" stopIfTrue="1" operator="lessThan">
      <formula>'1851'!$H$24</formula>
    </cfRule>
  </conditionalFormatting>
  <conditionalFormatting sqref="F5">
    <cfRule type="cellIs" dxfId="328" priority="385" stopIfTrue="1" operator="equal">
      <formula>'1851'!$E$5</formula>
    </cfRule>
    <cfRule type="cellIs" dxfId="327" priority="386" stopIfTrue="1" operator="lessThan">
      <formula>'1851'!$E$5</formula>
    </cfRule>
  </conditionalFormatting>
  <conditionalFormatting sqref="H5">
    <cfRule type="cellIs" dxfId="326" priority="387" stopIfTrue="1" operator="equal">
      <formula>'1851'!$G$5</formula>
    </cfRule>
    <cfRule type="cellIs" dxfId="325" priority="388" stopIfTrue="1" operator="lessThan">
      <formula>'1851'!$G$5</formula>
    </cfRule>
  </conditionalFormatting>
  <conditionalFormatting sqref="H4">
    <cfRule type="cellIs" dxfId="324" priority="389" stopIfTrue="1" operator="equal">
      <formula>'1851'!$G$4</formula>
    </cfRule>
  </conditionalFormatting>
  <conditionalFormatting sqref="D29:R29">
    <cfRule type="cellIs" dxfId="323" priority="390" stopIfTrue="1" operator="equal">
      <formula>0</formula>
    </cfRule>
  </conditionalFormatting>
  <conditionalFormatting sqref="J13">
    <cfRule type="cellIs" dxfId="322" priority="391" stopIfTrue="1" operator="equal">
      <formula>'1851'!$I$13</formula>
    </cfRule>
    <cfRule type="cellIs" dxfId="321" priority="392" stopIfTrue="1" operator="lessThan">
      <formula>'1851'!$I$13</formula>
    </cfRule>
  </conditionalFormatting>
  <conditionalFormatting sqref="J14">
    <cfRule type="cellIs" dxfId="320" priority="393" stopIfTrue="1" operator="equal">
      <formula>'1851'!$I$14</formula>
    </cfRule>
    <cfRule type="cellIs" dxfId="319" priority="394" stopIfTrue="1" operator="lessThan">
      <formula>'1851'!$I$14</formula>
    </cfRule>
  </conditionalFormatting>
  <conditionalFormatting sqref="J15">
    <cfRule type="cellIs" dxfId="318" priority="395" stopIfTrue="1" operator="equal">
      <formula>'1851'!$I$15</formula>
    </cfRule>
    <cfRule type="cellIs" dxfId="317" priority="396" stopIfTrue="1" operator="lessThan">
      <formula>'1851'!$I$15</formula>
    </cfRule>
  </conditionalFormatting>
  <conditionalFormatting sqref="J16">
    <cfRule type="cellIs" dxfId="316" priority="397" stopIfTrue="1" operator="equal">
      <formula>'1851'!$I$16</formula>
    </cfRule>
    <cfRule type="cellIs" dxfId="315" priority="398" stopIfTrue="1" operator="lessThan">
      <formula>'1851'!$I$16</formula>
    </cfRule>
  </conditionalFormatting>
  <conditionalFormatting sqref="J17">
    <cfRule type="cellIs" dxfId="314" priority="399" stopIfTrue="1" operator="equal">
      <formula>'1851'!$I$17</formula>
    </cfRule>
    <cfRule type="cellIs" dxfId="313" priority="400" stopIfTrue="1" operator="lessThan">
      <formula>'1851'!$I$17</formula>
    </cfRule>
  </conditionalFormatting>
  <conditionalFormatting sqref="J18">
    <cfRule type="cellIs" dxfId="312" priority="401" stopIfTrue="1" operator="equal">
      <formula>'1851'!$I$18</formula>
    </cfRule>
    <cfRule type="cellIs" dxfId="311" priority="402" stopIfTrue="1" operator="lessThan">
      <formula>'1851'!$I$18</formula>
    </cfRule>
  </conditionalFormatting>
  <conditionalFormatting sqref="J19">
    <cfRule type="cellIs" dxfId="310" priority="403" stopIfTrue="1" operator="equal">
      <formula>'1851'!$I$19</formula>
    </cfRule>
    <cfRule type="cellIs" dxfId="309" priority="404" stopIfTrue="1" operator="lessThan">
      <formula>'1851'!$I$19</formula>
    </cfRule>
  </conditionalFormatting>
  <conditionalFormatting sqref="J20">
    <cfRule type="cellIs" dxfId="308" priority="405" stopIfTrue="1" operator="equal">
      <formula>'1851'!$I$20</formula>
    </cfRule>
    <cfRule type="cellIs" dxfId="307" priority="406" stopIfTrue="1" operator="lessThan">
      <formula>'1851'!$I$20</formula>
    </cfRule>
  </conditionalFormatting>
  <conditionalFormatting sqref="J21">
    <cfRule type="cellIs" dxfId="306" priority="407" stopIfTrue="1" operator="equal">
      <formula>'1851'!$I$21</formula>
    </cfRule>
    <cfRule type="cellIs" dxfId="305" priority="408" stopIfTrue="1" operator="lessThan">
      <formula>'1851'!$I$21</formula>
    </cfRule>
  </conditionalFormatting>
  <conditionalFormatting sqref="J22">
    <cfRule type="cellIs" dxfId="304" priority="409" stopIfTrue="1" operator="equal">
      <formula>'1851'!$I$22</formula>
    </cfRule>
    <cfRule type="cellIs" dxfId="303" priority="410" stopIfTrue="1" operator="lessThan">
      <formula>'1851'!$I$22</formula>
    </cfRule>
  </conditionalFormatting>
  <conditionalFormatting sqref="J23">
    <cfRule type="cellIs" dxfId="302" priority="411" stopIfTrue="1" operator="equal">
      <formula>'1851'!$I$23</formula>
    </cfRule>
    <cfRule type="cellIs" dxfId="301" priority="412" stopIfTrue="1" operator="lessThan">
      <formula>'1851'!$I$23</formula>
    </cfRule>
  </conditionalFormatting>
  <conditionalFormatting sqref="J24">
    <cfRule type="cellIs" dxfId="300" priority="413" stopIfTrue="1" operator="equal">
      <formula>'1851'!$I$24</formula>
    </cfRule>
    <cfRule type="cellIs" dxfId="299" priority="414" stopIfTrue="1" operator="lessThan">
      <formula>'1851'!$I$24</formula>
    </cfRule>
  </conditionalFormatting>
  <conditionalFormatting sqref="J25">
    <cfRule type="cellIs" dxfId="298" priority="415" stopIfTrue="1" operator="equal">
      <formula>'1851'!$I$25</formula>
    </cfRule>
    <cfRule type="cellIs" dxfId="297" priority="416" stopIfTrue="1" operator="lessThan">
      <formula>'1851'!$I$25</formula>
    </cfRule>
  </conditionalFormatting>
  <conditionalFormatting sqref="J26">
    <cfRule type="cellIs" dxfId="296" priority="417" stopIfTrue="1" operator="equal">
      <formula>'1851'!$I$26</formula>
    </cfRule>
    <cfRule type="cellIs" dxfId="295" priority="418" stopIfTrue="1" operator="lessThan">
      <formula>'1851'!$I$26</formula>
    </cfRule>
  </conditionalFormatting>
  <conditionalFormatting sqref="J27">
    <cfRule type="cellIs" dxfId="294" priority="419" stopIfTrue="1" operator="equal">
      <formula>'1851'!$I$27</formula>
    </cfRule>
    <cfRule type="cellIs" dxfId="293" priority="420" stopIfTrue="1" operator="lessThan">
      <formula>'1851'!$I$27</formula>
    </cfRule>
    <cfRule type="cellIs" dxfId="292" priority="421" stopIfTrue="1" operator="lessThan">
      <formula>'1851'!$I$27</formula>
    </cfRule>
  </conditionalFormatting>
  <conditionalFormatting sqref="J28">
    <cfRule type="cellIs" dxfId="291" priority="422" stopIfTrue="1" operator="equal">
      <formula>'1851'!$I$28</formula>
    </cfRule>
    <cfRule type="cellIs" dxfId="290" priority="423" stopIfTrue="1" operator="lessThan">
      <formula>'1851'!$I$28</formula>
    </cfRule>
  </conditionalFormatting>
  <conditionalFormatting sqref="J29">
    <cfRule type="cellIs" dxfId="289" priority="424" stopIfTrue="1" operator="equal">
      <formula>'1851'!$I$29</formula>
    </cfRule>
    <cfRule type="cellIs" dxfId="288" priority="425" stopIfTrue="1" operator="lessThan">
      <formula>'1851'!$I$29</formula>
    </cfRule>
  </conditionalFormatting>
  <conditionalFormatting sqref="K13">
    <cfRule type="cellIs" dxfId="287" priority="426" stopIfTrue="1" operator="equal">
      <formula>'1851'!$J$13</formula>
    </cfRule>
    <cfRule type="cellIs" dxfId="286" priority="427" stopIfTrue="1" operator="lessThan">
      <formula>'1851'!$J$13</formula>
    </cfRule>
  </conditionalFormatting>
  <conditionalFormatting sqref="K14">
    <cfRule type="cellIs" dxfId="285" priority="428" stopIfTrue="1" operator="equal">
      <formula>'1851'!$J$14</formula>
    </cfRule>
    <cfRule type="cellIs" dxfId="284" priority="429" stopIfTrue="1" operator="lessThan">
      <formula>'1851'!$J$14</formula>
    </cfRule>
  </conditionalFormatting>
  <conditionalFormatting sqref="K15">
    <cfRule type="cellIs" dxfId="283" priority="430" stopIfTrue="1" operator="equal">
      <formula>'1851'!$J$15</formula>
    </cfRule>
    <cfRule type="cellIs" dxfId="282" priority="431" stopIfTrue="1" operator="lessThan">
      <formula>'1851'!$J$15</formula>
    </cfRule>
  </conditionalFormatting>
  <conditionalFormatting sqref="K16">
    <cfRule type="cellIs" dxfId="281" priority="432" stopIfTrue="1" operator="equal">
      <formula>'1851'!$J$16</formula>
    </cfRule>
    <cfRule type="cellIs" dxfId="280" priority="433" stopIfTrue="1" operator="lessThan">
      <formula>'1851'!$J$16</formula>
    </cfRule>
  </conditionalFormatting>
  <conditionalFormatting sqref="K17">
    <cfRule type="cellIs" dxfId="279" priority="434" stopIfTrue="1" operator="equal">
      <formula>'1851'!$J$17</formula>
    </cfRule>
    <cfRule type="cellIs" dxfId="278" priority="435" stopIfTrue="1" operator="lessThan">
      <formula>'1851'!$J$17</formula>
    </cfRule>
  </conditionalFormatting>
  <conditionalFormatting sqref="K18">
    <cfRule type="cellIs" dxfId="277" priority="436" stopIfTrue="1" operator="equal">
      <formula>'1851'!$J$18</formula>
    </cfRule>
    <cfRule type="cellIs" dxfId="276" priority="437" stopIfTrue="1" operator="lessThan">
      <formula>'1851'!$J$18</formula>
    </cfRule>
  </conditionalFormatting>
  <conditionalFormatting sqref="K19">
    <cfRule type="cellIs" dxfId="275" priority="438" stopIfTrue="1" operator="equal">
      <formula>'1851'!$J$19</formula>
    </cfRule>
    <cfRule type="cellIs" dxfId="274" priority="439" stopIfTrue="1" operator="lessThan">
      <formula>'1851'!$J$19</formula>
    </cfRule>
  </conditionalFormatting>
  <conditionalFormatting sqref="K20">
    <cfRule type="cellIs" dxfId="273" priority="440" stopIfTrue="1" operator="equal">
      <formula>'1851'!$J$20</formula>
    </cfRule>
    <cfRule type="cellIs" dxfId="272" priority="441" stopIfTrue="1" operator="lessThan">
      <formula>'1851'!$J$20</formula>
    </cfRule>
  </conditionalFormatting>
  <conditionalFormatting sqref="K21">
    <cfRule type="cellIs" dxfId="271" priority="442" stopIfTrue="1" operator="equal">
      <formula>'1851'!$J$21</formula>
    </cfRule>
    <cfRule type="cellIs" dxfId="270" priority="443" stopIfTrue="1" operator="lessThan">
      <formula>'1851'!$J$21</formula>
    </cfRule>
  </conditionalFormatting>
  <conditionalFormatting sqref="K22">
    <cfRule type="cellIs" dxfId="269" priority="444" stopIfTrue="1" operator="equal">
      <formula>'1851'!$J$22</formula>
    </cfRule>
    <cfRule type="cellIs" dxfId="268" priority="445" stopIfTrue="1" operator="lessThan">
      <formula>'1851'!$J$22</formula>
    </cfRule>
  </conditionalFormatting>
  <conditionalFormatting sqref="K23">
    <cfRule type="cellIs" dxfId="267" priority="446" stopIfTrue="1" operator="equal">
      <formula>'1851'!$J$23</formula>
    </cfRule>
    <cfRule type="cellIs" dxfId="266" priority="447" stopIfTrue="1" operator="lessThan">
      <formula>'1851'!$J$23</formula>
    </cfRule>
  </conditionalFormatting>
  <conditionalFormatting sqref="K24">
    <cfRule type="cellIs" dxfId="265" priority="448" stopIfTrue="1" operator="equal">
      <formula>'1851'!$J$24</formula>
    </cfRule>
    <cfRule type="cellIs" dxfId="264" priority="449" stopIfTrue="1" operator="lessThan">
      <formula>'1851'!$J$24</formula>
    </cfRule>
  </conditionalFormatting>
  <conditionalFormatting sqref="K25">
    <cfRule type="cellIs" dxfId="263" priority="450" stopIfTrue="1" operator="equal">
      <formula>'1851'!$J$25</formula>
    </cfRule>
    <cfRule type="cellIs" dxfId="262" priority="451" stopIfTrue="1" operator="lessThan">
      <formula>'1851'!$J$25</formula>
    </cfRule>
  </conditionalFormatting>
  <conditionalFormatting sqref="K26">
    <cfRule type="cellIs" dxfId="261" priority="452" stopIfTrue="1" operator="equal">
      <formula>'1851'!$J$26</formula>
    </cfRule>
    <cfRule type="cellIs" dxfId="260" priority="453" stopIfTrue="1" operator="lessThan">
      <formula>'1851'!$J$26</formula>
    </cfRule>
  </conditionalFormatting>
  <conditionalFormatting sqref="K27">
    <cfRule type="cellIs" dxfId="259" priority="454" stopIfTrue="1" operator="equal">
      <formula>'1851'!$J$27</formula>
    </cfRule>
    <cfRule type="cellIs" dxfId="258" priority="455" stopIfTrue="1" operator="lessThan">
      <formula>'1851'!$J$27</formula>
    </cfRule>
  </conditionalFormatting>
  <conditionalFormatting sqref="K28">
    <cfRule type="cellIs" dxfId="257" priority="456" stopIfTrue="1" operator="equal">
      <formula>'1851'!$J$28</formula>
    </cfRule>
    <cfRule type="cellIs" dxfId="256" priority="457" stopIfTrue="1" operator="lessThan">
      <formula>'1851'!$J$28</formula>
    </cfRule>
  </conditionalFormatting>
  <conditionalFormatting sqref="L4">
    <cfRule type="cellIs" dxfId="255" priority="458" stopIfTrue="1" operator="equal">
      <formula>'1851'!$K$4</formula>
    </cfRule>
    <cfRule type="cellIs" dxfId="254" priority="459" stopIfTrue="1" operator="lessThan">
      <formula>'1851'!$K$4</formula>
    </cfRule>
  </conditionalFormatting>
  <conditionalFormatting sqref="L5">
    <cfRule type="cellIs" dxfId="253" priority="460" stopIfTrue="1" operator="equal">
      <formula>'1851'!$K$5</formula>
    </cfRule>
    <cfRule type="cellIs" dxfId="252" priority="461" stopIfTrue="1" operator="lessThan">
      <formula>'1851'!$K$5</formula>
    </cfRule>
  </conditionalFormatting>
  <conditionalFormatting sqref="L6">
    <cfRule type="cellIs" dxfId="251" priority="462" stopIfTrue="1" operator="equal">
      <formula>'1851'!$K$6</formula>
    </cfRule>
    <cfRule type="cellIs" dxfId="250" priority="463" stopIfTrue="1" operator="lessThan">
      <formula>'1851'!$K$6</formula>
    </cfRule>
  </conditionalFormatting>
  <conditionalFormatting sqref="L7">
    <cfRule type="cellIs" dxfId="249" priority="464" stopIfTrue="1" operator="equal">
      <formula>'1851'!$K$7</formula>
    </cfRule>
    <cfRule type="cellIs" dxfId="248" priority="465" stopIfTrue="1" operator="lessThan">
      <formula>'1851'!$K$7</formula>
    </cfRule>
  </conditionalFormatting>
  <conditionalFormatting sqref="L8">
    <cfRule type="cellIs" dxfId="247" priority="466" stopIfTrue="1" operator="equal">
      <formula>'1851'!$K$8</formula>
    </cfRule>
    <cfRule type="cellIs" dxfId="246" priority="467" stopIfTrue="1" operator="lessThan">
      <formula>'1851'!$K$8</formula>
    </cfRule>
  </conditionalFormatting>
  <conditionalFormatting sqref="L9">
    <cfRule type="cellIs" dxfId="245" priority="468" stopIfTrue="1" operator="equal">
      <formula>'1851'!$K$9</formula>
    </cfRule>
    <cfRule type="cellIs" dxfId="244" priority="469" stopIfTrue="1" operator="lessThan">
      <formula>'1851'!$K$9</formula>
    </cfRule>
  </conditionalFormatting>
  <conditionalFormatting sqref="L10">
    <cfRule type="cellIs" dxfId="243" priority="470" stopIfTrue="1" operator="equal">
      <formula>'1851'!$K$10</formula>
    </cfRule>
    <cfRule type="cellIs" dxfId="242" priority="471" stopIfTrue="1" operator="lessThan">
      <formula>'1851'!$K$10</formula>
    </cfRule>
  </conditionalFormatting>
  <conditionalFormatting sqref="L11">
    <cfRule type="cellIs" dxfId="241" priority="472" stopIfTrue="1" operator="equal">
      <formula>'1851'!$K$11</formula>
    </cfRule>
    <cfRule type="cellIs" dxfId="240" priority="473" stopIfTrue="1" operator="lessThan">
      <formula>'1851'!$K$11</formula>
    </cfRule>
  </conditionalFormatting>
  <conditionalFormatting sqref="L12">
    <cfRule type="cellIs" dxfId="239" priority="474" stopIfTrue="1" operator="equal">
      <formula>'1851'!$K$12</formula>
    </cfRule>
    <cfRule type="cellIs" dxfId="238" priority="475" stopIfTrue="1" operator="lessThan">
      <formula>'1851'!$K$12</formula>
    </cfRule>
  </conditionalFormatting>
  <conditionalFormatting sqref="L13">
    <cfRule type="cellIs" dxfId="237" priority="476" stopIfTrue="1" operator="equal">
      <formula>'1851'!$K$13</formula>
    </cfRule>
    <cfRule type="cellIs" dxfId="236" priority="477" stopIfTrue="1" operator="lessThan">
      <formula>'1851'!$K$13</formula>
    </cfRule>
  </conditionalFormatting>
  <conditionalFormatting sqref="L14">
    <cfRule type="cellIs" dxfId="235" priority="478" stopIfTrue="1" operator="equal">
      <formula>'1851'!$K$14</formula>
    </cfRule>
    <cfRule type="cellIs" dxfId="234" priority="479" stopIfTrue="1" operator="lessThan">
      <formula>'1851'!$K$14</formula>
    </cfRule>
  </conditionalFormatting>
  <conditionalFormatting sqref="L15">
    <cfRule type="cellIs" dxfId="233" priority="480" stopIfTrue="1" operator="equal">
      <formula>'1851'!$K$15</formula>
    </cfRule>
    <cfRule type="cellIs" dxfId="232" priority="481" stopIfTrue="1" operator="lessThan">
      <formula>'1851'!$K$15</formula>
    </cfRule>
  </conditionalFormatting>
  <conditionalFormatting sqref="L16">
    <cfRule type="cellIs" dxfId="231" priority="482" stopIfTrue="1" operator="equal">
      <formula>'1851'!$K$16</formula>
    </cfRule>
    <cfRule type="cellIs" dxfId="230" priority="483" stopIfTrue="1" operator="lessThan">
      <formula>'1851'!$K$16</formula>
    </cfRule>
  </conditionalFormatting>
  <conditionalFormatting sqref="L17">
    <cfRule type="cellIs" dxfId="229" priority="484" stopIfTrue="1" operator="equal">
      <formula>'1851'!$K$17</formula>
    </cfRule>
    <cfRule type="cellIs" dxfId="228" priority="485" stopIfTrue="1" operator="lessThan">
      <formula>'1851'!$K$17</formula>
    </cfRule>
  </conditionalFormatting>
  <conditionalFormatting sqref="L18">
    <cfRule type="cellIs" dxfId="227" priority="486" stopIfTrue="1" operator="equal">
      <formula>'1851'!$K$18</formula>
    </cfRule>
    <cfRule type="cellIs" dxfId="226" priority="487" stopIfTrue="1" operator="lessThan">
      <formula>'1851'!$K$18</formula>
    </cfRule>
  </conditionalFormatting>
  <conditionalFormatting sqref="L19">
    <cfRule type="cellIs" dxfId="225" priority="488" stopIfTrue="1" operator="equal">
      <formula>'1851'!$K$19</formula>
    </cfRule>
    <cfRule type="cellIs" dxfId="224" priority="489" stopIfTrue="1" operator="lessThan">
      <formula>'1851'!$K$19</formula>
    </cfRule>
  </conditionalFormatting>
  <conditionalFormatting sqref="L20">
    <cfRule type="cellIs" dxfId="223" priority="490" stopIfTrue="1" operator="equal">
      <formula>'1851'!$K$20</formula>
    </cfRule>
    <cfRule type="cellIs" dxfId="222" priority="491" stopIfTrue="1" operator="lessThan">
      <formula>'1851'!$K$20</formula>
    </cfRule>
  </conditionalFormatting>
  <conditionalFormatting sqref="L21">
    <cfRule type="cellIs" dxfId="221" priority="492" stopIfTrue="1" operator="equal">
      <formula>'1851'!$K$21</formula>
    </cfRule>
    <cfRule type="cellIs" dxfId="220" priority="493" stopIfTrue="1" operator="lessThan">
      <formula>'1851'!$K$21</formula>
    </cfRule>
  </conditionalFormatting>
  <conditionalFormatting sqref="L22">
    <cfRule type="cellIs" dxfId="219" priority="494" stopIfTrue="1" operator="equal">
      <formula>'1851'!$K$22</formula>
    </cfRule>
    <cfRule type="cellIs" dxfId="218" priority="495" stopIfTrue="1" operator="lessThan">
      <formula>'1851'!$K$22</formula>
    </cfRule>
  </conditionalFormatting>
  <conditionalFormatting sqref="L23">
    <cfRule type="cellIs" dxfId="217" priority="496" stopIfTrue="1" operator="equal">
      <formula>'1851'!$K$23</formula>
    </cfRule>
    <cfRule type="cellIs" dxfId="216" priority="497" stopIfTrue="1" operator="lessThan">
      <formula>'1851'!$K$23</formula>
    </cfRule>
  </conditionalFormatting>
  <conditionalFormatting sqref="L24">
    <cfRule type="cellIs" dxfId="215" priority="498" stopIfTrue="1" operator="equal">
      <formula>'1851'!$K$24</formula>
    </cfRule>
    <cfRule type="cellIs" dxfId="214" priority="499" stopIfTrue="1" operator="lessThan">
      <formula>'1851'!$K$24</formula>
    </cfRule>
  </conditionalFormatting>
  <conditionalFormatting sqref="L25">
    <cfRule type="cellIs" dxfId="213" priority="500" stopIfTrue="1" operator="equal">
      <formula>'1851'!$K$25</formula>
    </cfRule>
    <cfRule type="cellIs" dxfId="212" priority="501" stopIfTrue="1" operator="lessThan">
      <formula>'1851'!$K$25</formula>
    </cfRule>
  </conditionalFormatting>
  <conditionalFormatting sqref="L26">
    <cfRule type="cellIs" dxfId="211" priority="502" stopIfTrue="1" operator="equal">
      <formula>'1851'!$K$26</formula>
    </cfRule>
    <cfRule type="cellIs" dxfId="210" priority="503" stopIfTrue="1" operator="lessThan">
      <formula>'1851'!$K$26</formula>
    </cfRule>
  </conditionalFormatting>
  <conditionalFormatting sqref="L27">
    <cfRule type="cellIs" dxfId="209" priority="504" stopIfTrue="1" operator="equal">
      <formula>'1851'!$K$27</formula>
    </cfRule>
    <cfRule type="cellIs" dxfId="208" priority="505" stopIfTrue="1" operator="lessThan">
      <formula>'1851'!$K$27</formula>
    </cfRule>
  </conditionalFormatting>
  <conditionalFormatting sqref="L28">
    <cfRule type="cellIs" dxfId="207" priority="506" stopIfTrue="1" operator="lessThan">
      <formula>'1851'!$K$28</formula>
    </cfRule>
    <cfRule type="cellIs" dxfId="206" priority="507" stopIfTrue="1" operator="equal">
      <formula>'1851'!$K$28</formula>
    </cfRule>
  </conditionalFormatting>
  <conditionalFormatting sqref="M4:N4">
    <cfRule type="cellIs" dxfId="205" priority="508" stopIfTrue="1" operator="equal">
      <formula>'1851'!$L$4</formula>
    </cfRule>
    <cfRule type="cellIs" dxfId="204" priority="509" stopIfTrue="1" operator="lessThan">
      <formula>'1851'!$L$4</formula>
    </cfRule>
  </conditionalFormatting>
  <conditionalFormatting sqref="M5:N5">
    <cfRule type="cellIs" dxfId="203" priority="510" stopIfTrue="1" operator="equal">
      <formula>'1851'!$L$5</formula>
    </cfRule>
    <cfRule type="cellIs" dxfId="202" priority="511" stopIfTrue="1" operator="lessThan">
      <formula>'1851'!$L$5</formula>
    </cfRule>
  </conditionalFormatting>
  <conditionalFormatting sqref="M6:N6">
    <cfRule type="cellIs" dxfId="201" priority="512" stopIfTrue="1" operator="equal">
      <formula>'1851'!$L$6</formula>
    </cfRule>
    <cfRule type="cellIs" dxfId="200" priority="513" stopIfTrue="1" operator="lessThan">
      <formula>'1851'!$L$6</formula>
    </cfRule>
  </conditionalFormatting>
  <conditionalFormatting sqref="M7:N7">
    <cfRule type="cellIs" dxfId="199" priority="514" stopIfTrue="1" operator="equal">
      <formula>'1851'!$L$7</formula>
    </cfRule>
    <cfRule type="cellIs" dxfId="198" priority="515" stopIfTrue="1" operator="lessThan">
      <formula>'1851'!$L$7</formula>
    </cfRule>
  </conditionalFormatting>
  <conditionalFormatting sqref="M8:N8">
    <cfRule type="cellIs" dxfId="197" priority="516" stopIfTrue="1" operator="equal">
      <formula>'1851'!$L$8</formula>
    </cfRule>
    <cfRule type="cellIs" dxfId="196" priority="517" stopIfTrue="1" operator="lessThan">
      <formula>'1851'!$L$8</formula>
    </cfRule>
  </conditionalFormatting>
  <conditionalFormatting sqref="M9:N9">
    <cfRule type="cellIs" dxfId="195" priority="518" stopIfTrue="1" operator="equal">
      <formula>'1851'!$L$9</formula>
    </cfRule>
    <cfRule type="cellIs" dxfId="194" priority="519" stopIfTrue="1" operator="lessThan">
      <formula>'1851'!$L$9</formula>
    </cfRule>
  </conditionalFormatting>
  <conditionalFormatting sqref="M10:N10">
    <cfRule type="cellIs" dxfId="193" priority="520" stopIfTrue="1" operator="equal">
      <formula>'1851'!$L$10</formula>
    </cfRule>
    <cfRule type="cellIs" dxfId="192" priority="521" stopIfTrue="1" operator="lessThan">
      <formula>'1851'!$L$10</formula>
    </cfRule>
  </conditionalFormatting>
  <conditionalFormatting sqref="M12:N12">
    <cfRule type="cellIs" dxfId="191" priority="522" stopIfTrue="1" operator="equal">
      <formula>'1851'!$L$12</formula>
    </cfRule>
    <cfRule type="cellIs" dxfId="190" priority="523" stopIfTrue="1" operator="lessThan">
      <formula>'1851'!$L$12</formula>
    </cfRule>
  </conditionalFormatting>
  <conditionalFormatting sqref="M13:N13">
    <cfRule type="cellIs" dxfId="189" priority="524" stopIfTrue="1" operator="equal">
      <formula>'1851'!$L$13</formula>
    </cfRule>
    <cfRule type="cellIs" dxfId="188" priority="525" stopIfTrue="1" operator="lessThan">
      <formula>'1851'!$L$13</formula>
    </cfRule>
  </conditionalFormatting>
  <conditionalFormatting sqref="M14:N14">
    <cfRule type="cellIs" dxfId="187" priority="526" stopIfTrue="1" operator="equal">
      <formula>'1851'!$L$14</formula>
    </cfRule>
    <cfRule type="cellIs" dxfId="186" priority="527" stopIfTrue="1" operator="lessThan">
      <formula>'1851'!$L$14</formula>
    </cfRule>
  </conditionalFormatting>
  <conditionalFormatting sqref="M15:N15">
    <cfRule type="cellIs" dxfId="185" priority="528" stopIfTrue="1" operator="equal">
      <formula>'1851'!$L$15</formula>
    </cfRule>
    <cfRule type="cellIs" dxfId="184" priority="529" stopIfTrue="1" operator="lessThan">
      <formula>'1851'!$L$15</formula>
    </cfRule>
  </conditionalFormatting>
  <conditionalFormatting sqref="M16:N16">
    <cfRule type="cellIs" dxfId="183" priority="530" stopIfTrue="1" operator="equal">
      <formula>'1851'!$L$16</formula>
    </cfRule>
    <cfRule type="cellIs" dxfId="182" priority="531" stopIfTrue="1" operator="lessThan">
      <formula>'1851'!$L$16</formula>
    </cfRule>
  </conditionalFormatting>
  <conditionalFormatting sqref="M17:N17">
    <cfRule type="cellIs" dxfId="181" priority="532" stopIfTrue="1" operator="equal">
      <formula>'1851'!$L$17</formula>
    </cfRule>
    <cfRule type="cellIs" dxfId="180" priority="533" stopIfTrue="1" operator="lessThan">
      <formula>'1851'!$L$17</formula>
    </cfRule>
  </conditionalFormatting>
  <conditionalFormatting sqref="M18:N18">
    <cfRule type="cellIs" dxfId="179" priority="534" stopIfTrue="1" operator="equal">
      <formula>'1851'!$L$18</formula>
    </cfRule>
    <cfRule type="cellIs" dxfId="178" priority="535" stopIfTrue="1" operator="lessThan">
      <formula>'1851'!$L$18</formula>
    </cfRule>
  </conditionalFormatting>
  <conditionalFormatting sqref="M19:N19">
    <cfRule type="cellIs" dxfId="177" priority="536" stopIfTrue="1" operator="equal">
      <formula>'1851'!$L$19</formula>
    </cfRule>
    <cfRule type="cellIs" dxfId="176" priority="537" stopIfTrue="1" operator="lessThan">
      <formula>'1851'!$L$19</formula>
    </cfRule>
  </conditionalFormatting>
  <conditionalFormatting sqref="M20:N20">
    <cfRule type="cellIs" dxfId="175" priority="538" stopIfTrue="1" operator="equal">
      <formula>'1851'!$L$20</formula>
    </cfRule>
    <cfRule type="cellIs" dxfId="174" priority="539" stopIfTrue="1" operator="lessThan">
      <formula>'1851'!$L$20</formula>
    </cfRule>
  </conditionalFormatting>
  <conditionalFormatting sqref="M21:N21">
    <cfRule type="cellIs" dxfId="173" priority="540" stopIfTrue="1" operator="equal">
      <formula>'1851'!$L$21</formula>
    </cfRule>
    <cfRule type="cellIs" dxfId="172" priority="541" stopIfTrue="1" operator="lessThan">
      <formula>'1851'!$L$21</formula>
    </cfRule>
  </conditionalFormatting>
  <conditionalFormatting sqref="M11:N11">
    <cfRule type="cellIs" dxfId="171" priority="542" stopIfTrue="1" operator="equal">
      <formula>'1851'!$L$11</formula>
    </cfRule>
    <cfRule type="cellIs" dxfId="170" priority="543" stopIfTrue="1" operator="lessThan">
      <formula>'1851'!$L$11</formula>
    </cfRule>
  </conditionalFormatting>
  <conditionalFormatting sqref="M22:N22">
    <cfRule type="cellIs" dxfId="169" priority="544" stopIfTrue="1" operator="equal">
      <formula>'1851'!$L$22</formula>
    </cfRule>
    <cfRule type="cellIs" dxfId="168" priority="545" stopIfTrue="1" operator="lessThan">
      <formula>'1851'!$L$22</formula>
    </cfRule>
  </conditionalFormatting>
  <conditionalFormatting sqref="M23:N23">
    <cfRule type="cellIs" dxfId="167" priority="546" stopIfTrue="1" operator="equal">
      <formula>'1851'!$L$23</formula>
    </cfRule>
    <cfRule type="cellIs" dxfId="166" priority="547" stopIfTrue="1" operator="lessThan">
      <formula>'1851'!$L$23</formula>
    </cfRule>
  </conditionalFormatting>
  <conditionalFormatting sqref="M24:N24">
    <cfRule type="cellIs" dxfId="165" priority="548" stopIfTrue="1" operator="equal">
      <formula>'1851'!$L$24</formula>
    </cfRule>
    <cfRule type="cellIs" dxfId="164" priority="549" stopIfTrue="1" operator="lessThan">
      <formula>'1851'!$L$24</formula>
    </cfRule>
  </conditionalFormatting>
  <conditionalFormatting sqref="M25:N25">
    <cfRule type="cellIs" dxfId="163" priority="550" stopIfTrue="1" operator="equal">
      <formula>'1851'!$L$25</formula>
    </cfRule>
    <cfRule type="cellIs" dxfId="162" priority="551" stopIfTrue="1" operator="lessThan">
      <formula>'1851'!$L$25</formula>
    </cfRule>
  </conditionalFormatting>
  <conditionalFormatting sqref="M26:N26">
    <cfRule type="cellIs" dxfId="161" priority="552" stopIfTrue="1" operator="equal">
      <formula>'1851'!$L$26</formula>
    </cfRule>
    <cfRule type="cellIs" dxfId="160" priority="553" stopIfTrue="1" operator="lessThan">
      <formula>'1851'!$L$26</formula>
    </cfRule>
  </conditionalFormatting>
  <conditionalFormatting sqref="M27:N27">
    <cfRule type="cellIs" dxfId="159" priority="554" stopIfTrue="1" operator="equal">
      <formula>'1851'!$L$27</formula>
    </cfRule>
    <cfRule type="cellIs" dxfId="158" priority="555" stopIfTrue="1" operator="lessThan">
      <formula>'1851'!$L$27</formula>
    </cfRule>
  </conditionalFormatting>
  <conditionalFormatting sqref="M28:N28">
    <cfRule type="cellIs" dxfId="157" priority="556" stopIfTrue="1" operator="equal">
      <formula>'1851'!$L$28</formula>
    </cfRule>
    <cfRule type="cellIs" dxfId="156" priority="557" stopIfTrue="1" operator="lessThan">
      <formula>'1851'!$L$28</formula>
    </cfRule>
  </conditionalFormatting>
  <conditionalFormatting sqref="O4">
    <cfRule type="cellIs" dxfId="155" priority="558" stopIfTrue="1" operator="lessThan">
      <formula>'1851'!$M$4</formula>
    </cfRule>
    <cfRule type="cellIs" dxfId="154" priority="559" stopIfTrue="1" operator="equal">
      <formula>'1851'!$M$4</formula>
    </cfRule>
  </conditionalFormatting>
  <conditionalFormatting sqref="O5">
    <cfRule type="cellIs" dxfId="153" priority="560" stopIfTrue="1" operator="equal">
      <formula>'1851'!$M$5</formula>
    </cfRule>
    <cfRule type="cellIs" dxfId="152" priority="561" stopIfTrue="1" operator="lessThan">
      <formula>'1851'!$M$5</formula>
    </cfRule>
  </conditionalFormatting>
  <conditionalFormatting sqref="O6">
    <cfRule type="cellIs" dxfId="151" priority="562" stopIfTrue="1" operator="equal">
      <formula>'1851'!$M$6</formula>
    </cfRule>
    <cfRule type="cellIs" dxfId="150" priority="563" stopIfTrue="1" operator="lessThan">
      <formula>'1851'!$M$6</formula>
    </cfRule>
  </conditionalFormatting>
  <conditionalFormatting sqref="O7">
    <cfRule type="cellIs" dxfId="149" priority="564" stopIfTrue="1" operator="equal">
      <formula>'1851'!$M$7</formula>
    </cfRule>
    <cfRule type="cellIs" dxfId="148" priority="565" stopIfTrue="1" operator="lessThan">
      <formula>'1851'!$M$7</formula>
    </cfRule>
  </conditionalFormatting>
  <conditionalFormatting sqref="O8">
    <cfRule type="cellIs" dxfId="147" priority="566" stopIfTrue="1" operator="equal">
      <formula>'1851'!$M$8</formula>
    </cfRule>
    <cfRule type="cellIs" dxfId="146" priority="567" stopIfTrue="1" operator="lessThan">
      <formula>'1851'!$M$8</formula>
    </cfRule>
  </conditionalFormatting>
  <conditionalFormatting sqref="O9">
    <cfRule type="cellIs" dxfId="145" priority="568" stopIfTrue="1" operator="equal">
      <formula>'1851'!$M$9</formula>
    </cfRule>
    <cfRule type="cellIs" dxfId="144" priority="569" stopIfTrue="1" operator="lessThan">
      <formula>'1851'!$M$9</formula>
    </cfRule>
  </conditionalFormatting>
  <conditionalFormatting sqref="O10">
    <cfRule type="cellIs" dxfId="143" priority="570" stopIfTrue="1" operator="equal">
      <formula>'1851'!$M$10</formula>
    </cfRule>
    <cfRule type="cellIs" dxfId="142" priority="571" stopIfTrue="1" operator="lessThan">
      <formula>'1851'!$M$10</formula>
    </cfRule>
  </conditionalFormatting>
  <conditionalFormatting sqref="O11">
    <cfRule type="cellIs" dxfId="141" priority="572" stopIfTrue="1" operator="equal">
      <formula>'1851'!$M$11</formula>
    </cfRule>
    <cfRule type="cellIs" dxfId="140" priority="573" stopIfTrue="1" operator="lessThan">
      <formula>'1851'!$M$11</formula>
    </cfRule>
  </conditionalFormatting>
  <conditionalFormatting sqref="O12">
    <cfRule type="cellIs" dxfId="139" priority="574" stopIfTrue="1" operator="equal">
      <formula>'1851'!$M$12</formula>
    </cfRule>
    <cfRule type="cellIs" dxfId="138" priority="575" stopIfTrue="1" operator="lessThan">
      <formula>'1851'!$M$12</formula>
    </cfRule>
  </conditionalFormatting>
  <conditionalFormatting sqref="O13">
    <cfRule type="cellIs" dxfId="137" priority="576" stopIfTrue="1" operator="equal">
      <formula>'1851'!$M$13</formula>
    </cfRule>
    <cfRule type="cellIs" dxfId="136" priority="577" stopIfTrue="1" operator="lessThan">
      <formula>'1851'!$M$13</formula>
    </cfRule>
  </conditionalFormatting>
  <conditionalFormatting sqref="O14">
    <cfRule type="cellIs" dxfId="135" priority="578" stopIfTrue="1" operator="equal">
      <formula>'1851'!$M$14</formula>
    </cfRule>
    <cfRule type="cellIs" dxfId="134" priority="579" stopIfTrue="1" operator="lessThan">
      <formula>'1851'!$M$14</formula>
    </cfRule>
  </conditionalFormatting>
  <conditionalFormatting sqref="O15">
    <cfRule type="cellIs" dxfId="133" priority="580" stopIfTrue="1" operator="equal">
      <formula>'1851'!$M$15</formula>
    </cfRule>
    <cfRule type="cellIs" dxfId="132" priority="581" stopIfTrue="1" operator="lessThan">
      <formula>'1851'!$M$15</formula>
    </cfRule>
  </conditionalFormatting>
  <conditionalFormatting sqref="O16">
    <cfRule type="cellIs" dxfId="131" priority="582" stopIfTrue="1" operator="equal">
      <formula>'1851'!$M$16</formula>
    </cfRule>
    <cfRule type="cellIs" dxfId="130" priority="583" stopIfTrue="1" operator="lessThan">
      <formula>'1851'!$M$16</formula>
    </cfRule>
  </conditionalFormatting>
  <conditionalFormatting sqref="O17">
    <cfRule type="cellIs" dxfId="129" priority="584" stopIfTrue="1" operator="equal">
      <formula>'1851'!$M$17</formula>
    </cfRule>
    <cfRule type="cellIs" dxfId="128" priority="585" stopIfTrue="1" operator="lessThan">
      <formula>'1851'!$M$17</formula>
    </cfRule>
  </conditionalFormatting>
  <conditionalFormatting sqref="O18">
    <cfRule type="cellIs" dxfId="127" priority="586" stopIfTrue="1" operator="equal">
      <formula>'1851'!$M$18</formula>
    </cfRule>
    <cfRule type="cellIs" dxfId="126" priority="587" stopIfTrue="1" operator="lessThan">
      <formula>'1851'!$M$18</formula>
    </cfRule>
  </conditionalFormatting>
  <conditionalFormatting sqref="O19">
    <cfRule type="cellIs" dxfId="125" priority="588" stopIfTrue="1" operator="equal">
      <formula>'1851'!$M$19</formula>
    </cfRule>
    <cfRule type="cellIs" dxfId="124" priority="589" stopIfTrue="1" operator="lessThan">
      <formula>'1851'!$M$19</formula>
    </cfRule>
  </conditionalFormatting>
  <conditionalFormatting sqref="O20">
    <cfRule type="cellIs" dxfId="123" priority="590" stopIfTrue="1" operator="equal">
      <formula>'1851'!$M$20</formula>
    </cfRule>
    <cfRule type="cellIs" dxfId="122" priority="591" stopIfTrue="1" operator="lessThan">
      <formula>'1851'!$M$20</formula>
    </cfRule>
  </conditionalFormatting>
  <conditionalFormatting sqref="O21">
    <cfRule type="cellIs" dxfId="121" priority="592" stopIfTrue="1" operator="equal">
      <formula>'1851'!$M$21</formula>
    </cfRule>
    <cfRule type="cellIs" dxfId="120" priority="593" stopIfTrue="1" operator="lessThan">
      <formula>'1851'!$M$21</formula>
    </cfRule>
  </conditionalFormatting>
  <conditionalFormatting sqref="O22">
    <cfRule type="cellIs" dxfId="119" priority="594" stopIfTrue="1" operator="equal">
      <formula>'1851'!$M$22</formula>
    </cfRule>
    <cfRule type="cellIs" dxfId="118" priority="595" stopIfTrue="1" operator="lessThan">
      <formula>'1851'!$M$22</formula>
    </cfRule>
  </conditionalFormatting>
  <conditionalFormatting sqref="O23">
    <cfRule type="cellIs" dxfId="117" priority="596" stopIfTrue="1" operator="equal">
      <formula>'1851'!$M$23</formula>
    </cfRule>
    <cfRule type="cellIs" dxfId="116" priority="597" stopIfTrue="1" operator="lessThan">
      <formula>'1851'!$M$23</formula>
    </cfRule>
  </conditionalFormatting>
  <conditionalFormatting sqref="O24">
    <cfRule type="cellIs" dxfId="115" priority="598" stopIfTrue="1" operator="equal">
      <formula>'1851'!$M$24</formula>
    </cfRule>
    <cfRule type="cellIs" dxfId="114" priority="599" stopIfTrue="1" operator="lessThan">
      <formula>'1851'!$M$24</formula>
    </cfRule>
  </conditionalFormatting>
  <conditionalFormatting sqref="O25">
    <cfRule type="cellIs" dxfId="113" priority="600" stopIfTrue="1" operator="equal">
      <formula>'1851'!$M$25</formula>
    </cfRule>
    <cfRule type="cellIs" dxfId="112" priority="601" stopIfTrue="1" operator="lessThan">
      <formula>'1851'!$M$25</formula>
    </cfRule>
  </conditionalFormatting>
  <conditionalFormatting sqref="O26">
    <cfRule type="cellIs" dxfId="111" priority="602" stopIfTrue="1" operator="equal">
      <formula>'1851'!$M$26</formula>
    </cfRule>
    <cfRule type="cellIs" dxfId="110" priority="603" stopIfTrue="1" operator="lessThan">
      <formula>'1851'!$M$26</formula>
    </cfRule>
  </conditionalFormatting>
  <conditionalFormatting sqref="O27">
    <cfRule type="cellIs" dxfId="109" priority="604" stopIfTrue="1" operator="equal">
      <formula>'1851'!$M$27</formula>
    </cfRule>
    <cfRule type="cellIs" dxfId="108" priority="605" stopIfTrue="1" operator="lessThan">
      <formula>'1851'!$M$27</formula>
    </cfRule>
  </conditionalFormatting>
  <conditionalFormatting sqref="O28">
    <cfRule type="cellIs" dxfId="107" priority="606" stopIfTrue="1" operator="equal">
      <formula>'1851'!$M$28</formula>
    </cfRule>
    <cfRule type="cellIs" dxfId="106" priority="607" stopIfTrue="1" operator="lessThan">
      <formula>'1851'!$M$28</formula>
    </cfRule>
  </conditionalFormatting>
  <conditionalFormatting sqref="P4">
    <cfRule type="cellIs" dxfId="105" priority="608" stopIfTrue="1" operator="equal">
      <formula>'1851'!$N$4</formula>
    </cfRule>
    <cfRule type="cellIs" dxfId="104" priority="609" stopIfTrue="1" operator="lessThan">
      <formula>'1851'!$N$4</formula>
    </cfRule>
  </conditionalFormatting>
  <conditionalFormatting sqref="P5">
    <cfRule type="cellIs" dxfId="103" priority="610" stopIfTrue="1" operator="equal">
      <formula>'1851'!$N$5</formula>
    </cfRule>
    <cfRule type="cellIs" dxfId="102" priority="611" stopIfTrue="1" operator="lessThan">
      <formula>'1851'!$N$5</formula>
    </cfRule>
  </conditionalFormatting>
  <conditionalFormatting sqref="P6">
    <cfRule type="cellIs" dxfId="101" priority="612" stopIfTrue="1" operator="equal">
      <formula>'1851'!$N$6</formula>
    </cfRule>
    <cfRule type="cellIs" dxfId="100" priority="613" stopIfTrue="1" operator="lessThan">
      <formula>'1851'!$N$6</formula>
    </cfRule>
  </conditionalFormatting>
  <conditionalFormatting sqref="P7">
    <cfRule type="cellIs" dxfId="99" priority="614" stopIfTrue="1" operator="equal">
      <formula>'1851'!$N$7</formula>
    </cfRule>
    <cfRule type="cellIs" dxfId="98" priority="615" stopIfTrue="1" operator="lessThan">
      <formula>'1851'!$N$7</formula>
    </cfRule>
  </conditionalFormatting>
  <conditionalFormatting sqref="P8">
    <cfRule type="cellIs" dxfId="97" priority="616" stopIfTrue="1" operator="equal">
      <formula>'1851'!$N$8</formula>
    </cfRule>
    <cfRule type="cellIs" dxfId="96" priority="617" stopIfTrue="1" operator="lessThan">
      <formula>'1851'!$N$8</formula>
    </cfRule>
  </conditionalFormatting>
  <conditionalFormatting sqref="P9">
    <cfRule type="cellIs" dxfId="95" priority="618" stopIfTrue="1" operator="equal">
      <formula>'1851'!$N$9</formula>
    </cfRule>
    <cfRule type="cellIs" dxfId="94" priority="619" stopIfTrue="1" operator="lessThan">
      <formula>'1851'!$N$9</formula>
    </cfRule>
  </conditionalFormatting>
  <conditionalFormatting sqref="P10">
    <cfRule type="cellIs" dxfId="93" priority="620" stopIfTrue="1" operator="equal">
      <formula>'1851'!$N$10</formula>
    </cfRule>
    <cfRule type="cellIs" dxfId="92" priority="621" stopIfTrue="1" operator="lessThan">
      <formula>'1851'!$N$10</formula>
    </cfRule>
  </conditionalFormatting>
  <conditionalFormatting sqref="P11">
    <cfRule type="cellIs" dxfId="91" priority="622" stopIfTrue="1" operator="equal">
      <formula>'1851'!$N$11</formula>
    </cfRule>
    <cfRule type="cellIs" dxfId="90" priority="623" stopIfTrue="1" operator="lessThan">
      <formula>'1851'!$N$11</formula>
    </cfRule>
  </conditionalFormatting>
  <conditionalFormatting sqref="P12">
    <cfRule type="cellIs" dxfId="89" priority="624" stopIfTrue="1" operator="equal">
      <formula>'1851'!$N$12</formula>
    </cfRule>
    <cfRule type="cellIs" dxfId="88" priority="625" stopIfTrue="1" operator="lessThan">
      <formula>'1851'!$N$12</formula>
    </cfRule>
  </conditionalFormatting>
  <conditionalFormatting sqref="P13">
    <cfRule type="cellIs" dxfId="87" priority="626" stopIfTrue="1" operator="equal">
      <formula>'1851'!$N$13</formula>
    </cfRule>
    <cfRule type="cellIs" dxfId="86" priority="627" stopIfTrue="1" operator="lessThan">
      <formula>'1851'!$N$13</formula>
    </cfRule>
  </conditionalFormatting>
  <conditionalFormatting sqref="P14">
    <cfRule type="cellIs" dxfId="85" priority="628" stopIfTrue="1" operator="equal">
      <formula>'1851'!$N$14</formula>
    </cfRule>
    <cfRule type="cellIs" dxfId="84" priority="629" stopIfTrue="1" operator="lessThan">
      <formula>'1851'!$N$14</formula>
    </cfRule>
  </conditionalFormatting>
  <conditionalFormatting sqref="P15">
    <cfRule type="cellIs" dxfId="83" priority="630" stopIfTrue="1" operator="equal">
      <formula>'1851'!$N$15</formula>
    </cfRule>
    <cfRule type="cellIs" dxfId="82" priority="631" stopIfTrue="1" operator="lessThan">
      <formula>'1851'!$N$15</formula>
    </cfRule>
  </conditionalFormatting>
  <conditionalFormatting sqref="P16">
    <cfRule type="cellIs" dxfId="81" priority="632" stopIfTrue="1" operator="equal">
      <formula>'1851'!$N$16</formula>
    </cfRule>
    <cfRule type="cellIs" dxfId="80" priority="633" stopIfTrue="1" operator="lessThan">
      <formula>'1851'!$N$16</formula>
    </cfRule>
  </conditionalFormatting>
  <conditionalFormatting sqref="P17">
    <cfRule type="cellIs" dxfId="79" priority="634" stopIfTrue="1" operator="equal">
      <formula>'1851'!$N$17</formula>
    </cfRule>
    <cfRule type="cellIs" dxfId="78" priority="635" stopIfTrue="1" operator="lessThan">
      <formula>'1851'!$N$17</formula>
    </cfRule>
  </conditionalFormatting>
  <conditionalFormatting sqref="P18">
    <cfRule type="cellIs" dxfId="77" priority="636" stopIfTrue="1" operator="equal">
      <formula>'1851'!$N$18</formula>
    </cfRule>
    <cfRule type="cellIs" dxfId="76" priority="637" stopIfTrue="1" operator="lessThan">
      <formula>'1851'!$N$18</formula>
    </cfRule>
  </conditionalFormatting>
  <conditionalFormatting sqref="P19">
    <cfRule type="cellIs" dxfId="75" priority="638" stopIfTrue="1" operator="equal">
      <formula>'1851'!$N$19</formula>
    </cfRule>
    <cfRule type="cellIs" dxfId="74" priority="639" stopIfTrue="1" operator="lessThan">
      <formula>'1851'!$N$19</formula>
    </cfRule>
  </conditionalFormatting>
  <conditionalFormatting sqref="P20">
    <cfRule type="cellIs" dxfId="73" priority="640" stopIfTrue="1" operator="equal">
      <formula>'1851'!$N$20</formula>
    </cfRule>
    <cfRule type="cellIs" dxfId="72" priority="641" stopIfTrue="1" operator="lessThan">
      <formula>'1851'!$N$20</formula>
    </cfRule>
  </conditionalFormatting>
  <conditionalFormatting sqref="P21">
    <cfRule type="cellIs" dxfId="71" priority="642" stopIfTrue="1" operator="equal">
      <formula>'1851'!$N$21</formula>
    </cfRule>
    <cfRule type="cellIs" dxfId="70" priority="643" stopIfTrue="1" operator="lessThan">
      <formula>'1851'!$N$21</formula>
    </cfRule>
  </conditionalFormatting>
  <conditionalFormatting sqref="P22">
    <cfRule type="cellIs" dxfId="69" priority="644" stopIfTrue="1" operator="equal">
      <formula>'1851'!$N$22</formula>
    </cfRule>
    <cfRule type="cellIs" dxfId="68" priority="645" stopIfTrue="1" operator="lessThan">
      <formula>'1851'!$N$22</formula>
    </cfRule>
  </conditionalFormatting>
  <conditionalFormatting sqref="P23">
    <cfRule type="cellIs" dxfId="67" priority="646" stopIfTrue="1" operator="equal">
      <formula>'1851'!$N$23</formula>
    </cfRule>
    <cfRule type="cellIs" dxfId="66" priority="647" stopIfTrue="1" operator="lessThan">
      <formula>'1851'!$N$23</formula>
    </cfRule>
  </conditionalFormatting>
  <conditionalFormatting sqref="P24">
    <cfRule type="cellIs" dxfId="65" priority="648" stopIfTrue="1" operator="equal">
      <formula>'1851'!$N$24</formula>
    </cfRule>
    <cfRule type="cellIs" dxfId="64" priority="649" stopIfTrue="1" operator="lessThan">
      <formula>'1851'!$N$24</formula>
    </cfRule>
  </conditionalFormatting>
  <conditionalFormatting sqref="P25">
    <cfRule type="cellIs" dxfId="63" priority="650" stopIfTrue="1" operator="equal">
      <formula>'1851'!$N$25</formula>
    </cfRule>
    <cfRule type="cellIs" dxfId="62" priority="651" stopIfTrue="1" operator="lessThan">
      <formula>'1851'!$N$25</formula>
    </cfRule>
  </conditionalFormatting>
  <conditionalFormatting sqref="P26">
    <cfRule type="cellIs" dxfId="61" priority="652" stopIfTrue="1" operator="equal">
      <formula>'1851'!$N$26</formula>
    </cfRule>
    <cfRule type="cellIs" dxfId="60" priority="653" stopIfTrue="1" operator="lessThan">
      <formula>'1851'!$N$26</formula>
    </cfRule>
  </conditionalFormatting>
  <conditionalFormatting sqref="P27">
    <cfRule type="cellIs" dxfId="59" priority="654" stopIfTrue="1" operator="equal">
      <formula>'1851'!$N$27</formula>
    </cfRule>
    <cfRule type="cellIs" dxfId="58" priority="655" stopIfTrue="1" operator="lessThan">
      <formula>'1851'!$N$27</formula>
    </cfRule>
  </conditionalFormatting>
  <conditionalFormatting sqref="P28">
    <cfRule type="cellIs" dxfId="57" priority="656" stopIfTrue="1" operator="equal">
      <formula>'1851'!$N$28</formula>
    </cfRule>
    <cfRule type="cellIs" dxfId="56" priority="657" stopIfTrue="1" operator="lessThan">
      <formula>'1851'!$N$28</formula>
    </cfRule>
  </conditionalFormatting>
  <conditionalFormatting sqref="Q4">
    <cfRule type="cellIs" dxfId="55" priority="658" stopIfTrue="1" operator="equal">
      <formula>'1851'!$O$4</formula>
    </cfRule>
    <cfRule type="cellIs" dxfId="54" priority="659" stopIfTrue="1" operator="lessThan">
      <formula>'1851'!$O$4</formula>
    </cfRule>
  </conditionalFormatting>
  <conditionalFormatting sqref="Q5">
    <cfRule type="cellIs" dxfId="53" priority="660" stopIfTrue="1" operator="equal">
      <formula>'1851'!$O$5</formula>
    </cfRule>
    <cfRule type="cellIs" dxfId="52" priority="661" stopIfTrue="1" operator="lessThan">
      <formula>'1851'!$O$5</formula>
    </cfRule>
  </conditionalFormatting>
  <conditionalFormatting sqref="Q6">
    <cfRule type="cellIs" dxfId="51" priority="662" stopIfTrue="1" operator="equal">
      <formula>'1851'!$O$6</formula>
    </cfRule>
    <cfRule type="cellIs" dxfId="50" priority="663" stopIfTrue="1" operator="lessThan">
      <formula>'1851'!$O$6</formula>
    </cfRule>
  </conditionalFormatting>
  <conditionalFormatting sqref="Q7">
    <cfRule type="cellIs" dxfId="49" priority="664" stopIfTrue="1" operator="equal">
      <formula>'1851'!$O$7</formula>
    </cfRule>
    <cfRule type="cellIs" dxfId="48" priority="665" stopIfTrue="1" operator="lessThan">
      <formula>'1851'!$O$7</formula>
    </cfRule>
  </conditionalFormatting>
  <conditionalFormatting sqref="Q8">
    <cfRule type="cellIs" dxfId="47" priority="666" stopIfTrue="1" operator="equal">
      <formula>'1851'!$O$8</formula>
    </cfRule>
    <cfRule type="cellIs" dxfId="46" priority="667" stopIfTrue="1" operator="lessThan">
      <formula>'1851'!$O$8</formula>
    </cfRule>
  </conditionalFormatting>
  <conditionalFormatting sqref="Q9">
    <cfRule type="cellIs" dxfId="45" priority="668" stopIfTrue="1" operator="equal">
      <formula>'1851'!$O$9</formula>
    </cfRule>
    <cfRule type="cellIs" dxfId="44" priority="669" stopIfTrue="1" operator="lessThan">
      <formula>'1851'!$O$9</formula>
    </cfRule>
  </conditionalFormatting>
  <conditionalFormatting sqref="Q10">
    <cfRule type="cellIs" dxfId="43" priority="670" stopIfTrue="1" operator="equal">
      <formula>'1851'!$O$10</formula>
    </cfRule>
    <cfRule type="cellIs" dxfId="42" priority="671" stopIfTrue="1" operator="lessThan">
      <formula>'1851'!$O$10</formula>
    </cfRule>
  </conditionalFormatting>
  <conditionalFormatting sqref="Q11">
    <cfRule type="cellIs" dxfId="41" priority="672" stopIfTrue="1" operator="equal">
      <formula>'1851'!$O$11</formula>
    </cfRule>
    <cfRule type="cellIs" dxfId="40" priority="673" stopIfTrue="1" operator="lessThan">
      <formula>'1851'!$O$11</formula>
    </cfRule>
  </conditionalFormatting>
  <conditionalFormatting sqref="Q12">
    <cfRule type="cellIs" dxfId="39" priority="674" stopIfTrue="1" operator="equal">
      <formula>'1851'!$O$12</formula>
    </cfRule>
    <cfRule type="cellIs" dxfId="38" priority="675" stopIfTrue="1" operator="lessThan">
      <formula>'1851'!$O$12</formula>
    </cfRule>
  </conditionalFormatting>
  <conditionalFormatting sqref="Q13">
    <cfRule type="cellIs" dxfId="37" priority="676" stopIfTrue="1" operator="equal">
      <formula>'1851'!$O$13</formula>
    </cfRule>
    <cfRule type="cellIs" dxfId="36" priority="677" stopIfTrue="1" operator="lessThan">
      <formula>'1851'!$O$13</formula>
    </cfRule>
  </conditionalFormatting>
  <conditionalFormatting sqref="Q14">
    <cfRule type="cellIs" dxfId="35" priority="678" stopIfTrue="1" operator="equal">
      <formula>'1851'!$O$14</formula>
    </cfRule>
    <cfRule type="cellIs" dxfId="34" priority="679" stopIfTrue="1" operator="lessThan">
      <formula>'1851'!$O$14</formula>
    </cfRule>
  </conditionalFormatting>
  <conditionalFormatting sqref="Q15">
    <cfRule type="cellIs" dxfId="33" priority="680" stopIfTrue="1" operator="equal">
      <formula>'1851'!$O$15</formula>
    </cfRule>
    <cfRule type="cellIs" dxfId="32" priority="681" stopIfTrue="1" operator="lessThan">
      <formula>'1851'!$O$15</formula>
    </cfRule>
  </conditionalFormatting>
  <conditionalFormatting sqref="Q16">
    <cfRule type="cellIs" dxfId="31" priority="682" stopIfTrue="1" operator="equal">
      <formula>'1851'!$O$16</formula>
    </cfRule>
    <cfRule type="cellIs" dxfId="30" priority="683" stopIfTrue="1" operator="lessThan">
      <formula>'1851'!$O$16</formula>
    </cfRule>
  </conditionalFormatting>
  <conditionalFormatting sqref="Q17">
    <cfRule type="cellIs" dxfId="29" priority="684" stopIfTrue="1" operator="equal">
      <formula>'1851'!$O$17</formula>
    </cfRule>
    <cfRule type="cellIs" dxfId="28" priority="685" stopIfTrue="1" operator="lessThan">
      <formula>'1851'!$O$17</formula>
    </cfRule>
  </conditionalFormatting>
  <conditionalFormatting sqref="Q18">
    <cfRule type="cellIs" dxfId="27" priority="686" stopIfTrue="1" operator="equal">
      <formula>'1851'!$O$18</formula>
    </cfRule>
    <cfRule type="cellIs" dxfId="26" priority="687" stopIfTrue="1" operator="lessThan">
      <formula>'1851'!$O$18</formula>
    </cfRule>
  </conditionalFormatting>
  <conditionalFormatting sqref="Q19">
    <cfRule type="cellIs" dxfId="25" priority="688" stopIfTrue="1" operator="equal">
      <formula>'1851'!$O$19</formula>
    </cfRule>
    <cfRule type="cellIs" dxfId="24" priority="689" stopIfTrue="1" operator="lessThan">
      <formula>'1851'!$O$19</formula>
    </cfRule>
  </conditionalFormatting>
  <conditionalFormatting sqref="Q20">
    <cfRule type="cellIs" dxfId="23" priority="690" stopIfTrue="1" operator="equal">
      <formula>'1851'!$O$20</formula>
    </cfRule>
    <cfRule type="cellIs" dxfId="22" priority="691" stopIfTrue="1" operator="lessThan">
      <formula>'1851'!$O$20</formula>
    </cfRule>
  </conditionalFormatting>
  <conditionalFormatting sqref="Q21">
    <cfRule type="cellIs" dxfId="21" priority="692" stopIfTrue="1" operator="equal">
      <formula>'1851'!$O$21</formula>
    </cfRule>
    <cfRule type="cellIs" dxfId="20" priority="693" stopIfTrue="1" operator="lessThan">
      <formula>'1851'!$O$21</formula>
    </cfRule>
  </conditionalFormatting>
  <conditionalFormatting sqref="Q22">
    <cfRule type="cellIs" dxfId="19" priority="694" stopIfTrue="1" operator="equal">
      <formula>'1851'!$O$22</formula>
    </cfRule>
    <cfRule type="cellIs" dxfId="18" priority="695" stopIfTrue="1" operator="lessThan">
      <formula>'1851'!$O$22</formula>
    </cfRule>
  </conditionalFormatting>
  <conditionalFormatting sqref="Q23">
    <cfRule type="cellIs" dxfId="17" priority="696" stopIfTrue="1" operator="equal">
      <formula>'1851'!$O$23</formula>
    </cfRule>
    <cfRule type="cellIs" dxfId="16" priority="697" stopIfTrue="1" operator="lessThan">
      <formula>'1851'!$O$23</formula>
    </cfRule>
  </conditionalFormatting>
  <conditionalFormatting sqref="Q24">
    <cfRule type="cellIs" dxfId="15" priority="698" stopIfTrue="1" operator="equal">
      <formula>'1851'!$O$24</formula>
    </cfRule>
    <cfRule type="cellIs" dxfId="14" priority="699" stopIfTrue="1" operator="lessThan">
      <formula>'1851'!$O$24</formula>
    </cfRule>
  </conditionalFormatting>
  <conditionalFormatting sqref="Q25">
    <cfRule type="cellIs" dxfId="13" priority="700" stopIfTrue="1" operator="equal">
      <formula>'1851'!$O$25</formula>
    </cfRule>
    <cfRule type="cellIs" dxfId="12" priority="701" stopIfTrue="1" operator="lessThan">
      <formula>'1851'!$O$25</formula>
    </cfRule>
  </conditionalFormatting>
  <conditionalFormatting sqref="Q26">
    <cfRule type="cellIs" dxfId="11" priority="702" stopIfTrue="1" operator="equal">
      <formula>'1851'!$O$26</formula>
    </cfRule>
    <cfRule type="cellIs" dxfId="10" priority="703" stopIfTrue="1" operator="lessThan">
      <formula>'1851'!$O$26</formula>
    </cfRule>
  </conditionalFormatting>
  <conditionalFormatting sqref="Q27">
    <cfRule type="cellIs" dxfId="9" priority="704" stopIfTrue="1" operator="equal">
      <formula>'1851'!$O$27</formula>
    </cfRule>
    <cfRule type="cellIs" dxfId="8" priority="705" stopIfTrue="1" operator="lessThan">
      <formula>'1851'!$O$27</formula>
    </cfRule>
  </conditionalFormatting>
  <conditionalFormatting sqref="Q28">
    <cfRule type="cellIs" dxfId="7" priority="706" stopIfTrue="1" operator="equal">
      <formula>'1851'!$O$28</formula>
    </cfRule>
    <cfRule type="cellIs" dxfId="6" priority="707" stopIfTrue="1" operator="lessThan">
      <formula>'1851'!$O$28</formula>
    </cfRule>
  </conditionalFormatting>
  <conditionalFormatting sqref="E40:N49 E33:N37">
    <cfRule type="expression" dxfId="5" priority="3">
      <formula>E33=D33</formula>
    </cfRule>
    <cfRule type="expression" dxfId="4" priority="4">
      <formula>E33&lt;D33</formula>
    </cfRule>
  </conditionalFormatting>
  <conditionalFormatting sqref="O40:Q49 O33:Q37">
    <cfRule type="expression" dxfId="3" priority="762">
      <formula>O33=M33</formula>
    </cfRule>
    <cfRule type="expression" dxfId="2" priority="763">
      <formula>O33&lt;M33</formula>
    </cfRule>
  </conditionalFormatting>
  <pageMargins left="0.44" right="0.28000000000000003" top="0.27569444444444446" bottom="0.39374999999999999" header="0.51180555555555551" footer="0.51180555555555551"/>
  <pageSetup paperSize="9" scale="99" firstPageNumber="0" orientation="landscape" r:id="rId1"/>
  <headerFooter alignWithMargins="0"/>
  <colBreaks count="1" manualBreakCount="1">
    <brk id="1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AF34"/>
  <sheetViews>
    <sheetView topLeftCell="A9" zoomScaleSheetLayoutView="100" workbookViewId="0">
      <selection activeCell="AF24" sqref="AF24"/>
    </sheetView>
  </sheetViews>
  <sheetFormatPr defaultRowHeight="15"/>
  <cols>
    <col min="1" max="1" width="8.5703125" style="177" customWidth="1"/>
    <col min="2" max="2" width="26.140625" customWidth="1"/>
    <col min="3" max="15" width="10.140625" customWidth="1"/>
    <col min="16" max="16" width="10.140625" bestFit="1" customWidth="1"/>
  </cols>
  <sheetData>
    <row r="1" spans="1:32" ht="15.75" thickBot="1"/>
    <row r="2" spans="1:32" s="1" customFormat="1" ht="21" customHeight="1" thickBot="1">
      <c r="A2" s="172">
        <v>1852</v>
      </c>
      <c r="B2" s="2"/>
      <c r="C2" s="3">
        <f>'1850'!C2</f>
        <v>43466</v>
      </c>
      <c r="D2" s="3">
        <f>'1850'!D2</f>
        <v>43497</v>
      </c>
      <c r="E2" s="3">
        <f>'1850'!E2</f>
        <v>43526</v>
      </c>
      <c r="F2" s="3">
        <f>'1850'!F2</f>
        <v>43556</v>
      </c>
      <c r="G2" s="3">
        <f>'1850'!G2</f>
        <v>43588</v>
      </c>
      <c r="H2" s="3">
        <f>'1850'!H2</f>
        <v>43620</v>
      </c>
      <c r="I2" s="3">
        <f>'1850'!I2</f>
        <v>43647</v>
      </c>
      <c r="J2" s="3">
        <f>'1850'!J2</f>
        <v>43678</v>
      </c>
      <c r="K2" s="3">
        <f>'1850'!K2</f>
        <v>43679</v>
      </c>
      <c r="L2" s="3">
        <f>'1850'!L2</f>
        <v>43739</v>
      </c>
      <c r="M2" s="221">
        <f>'1850'!M2</f>
        <v>43742</v>
      </c>
      <c r="N2" s="4">
        <f>'1850'!N2</f>
        <v>43770</v>
      </c>
      <c r="O2" s="4">
        <f>'1850'!O2</f>
        <v>43798</v>
      </c>
      <c r="P2" s="4">
        <f>'1850'!R2</f>
        <v>43831</v>
      </c>
      <c r="Q2" s="1" t="s">
        <v>0</v>
      </c>
      <c r="R2" s="1" t="s">
        <v>1</v>
      </c>
      <c r="U2" s="234"/>
      <c r="V2" s="235"/>
      <c r="W2" s="235"/>
      <c r="X2" s="235"/>
      <c r="Y2" s="235" t="s">
        <v>320</v>
      </c>
      <c r="Z2" s="235"/>
      <c r="AA2" s="235"/>
      <c r="AB2" s="235"/>
      <c r="AC2" s="238"/>
      <c r="AD2" s="236"/>
      <c r="AE2" s="236" t="s">
        <v>319</v>
      </c>
      <c r="AF2" s="237"/>
    </row>
    <row r="3" spans="1:32" s="1" customFormat="1" ht="15.75" thickBot="1">
      <c r="A3" s="173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222" t="s">
        <v>228</v>
      </c>
      <c r="N3" s="5" t="s">
        <v>13</v>
      </c>
      <c r="O3" s="5" t="s">
        <v>14</v>
      </c>
      <c r="P3" s="5" t="s">
        <v>3</v>
      </c>
      <c r="Q3" s="1" t="s">
        <v>178</v>
      </c>
      <c r="R3" s="1" t="s">
        <v>177</v>
      </c>
      <c r="T3" s="1" t="s">
        <v>321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227" t="s">
        <v>13</v>
      </c>
      <c r="AE3" s="227" t="s">
        <v>14</v>
      </c>
      <c r="AF3" s="227" t="s">
        <v>3</v>
      </c>
    </row>
    <row r="4" spans="1:32" ht="15.75" thickBot="1">
      <c r="A4" s="276">
        <v>1</v>
      </c>
      <c r="B4" s="223" t="s">
        <v>266</v>
      </c>
      <c r="C4" s="100">
        <v>150.12200000000001</v>
      </c>
      <c r="D4" s="7">
        <v>161.988</v>
      </c>
      <c r="E4" s="7">
        <v>174.72200000000001</v>
      </c>
      <c r="F4" s="7">
        <v>184.196</v>
      </c>
      <c r="G4" s="7">
        <v>195.42400000000001</v>
      </c>
      <c r="H4" s="7">
        <v>204.124</v>
      </c>
      <c r="I4" s="7">
        <v>211.184</v>
      </c>
      <c r="J4" s="7">
        <v>215.703</v>
      </c>
      <c r="K4" s="7">
        <v>220.13200000000001</v>
      </c>
      <c r="L4" s="8">
        <v>221.61699999999999</v>
      </c>
      <c r="M4" s="7">
        <v>0.04</v>
      </c>
      <c r="N4" s="7">
        <v>11.192</v>
      </c>
      <c r="O4" s="7">
        <v>22.303999999999998</v>
      </c>
      <c r="P4" s="7">
        <v>35.466000000000001</v>
      </c>
      <c r="Q4" s="9">
        <f>P4-M4+L4-C4</f>
        <v>106.92099999999999</v>
      </c>
      <c r="T4" s="1">
        <v>1</v>
      </c>
      <c r="U4" s="228">
        <f>D4-C4</f>
        <v>11.865999999999985</v>
      </c>
      <c r="V4" s="228">
        <f t="shared" ref="V4:AC4" si="0">E4-D4</f>
        <v>12.734000000000009</v>
      </c>
      <c r="W4" s="228">
        <f t="shared" si="0"/>
        <v>9.4739999999999895</v>
      </c>
      <c r="X4" s="228">
        <f t="shared" si="0"/>
        <v>11.228000000000009</v>
      </c>
      <c r="Y4" s="228">
        <f t="shared" si="0"/>
        <v>8.6999999999999886</v>
      </c>
      <c r="Z4" s="228">
        <f t="shared" si="0"/>
        <v>7.0600000000000023</v>
      </c>
      <c r="AA4" s="228">
        <f t="shared" si="0"/>
        <v>4.5190000000000055</v>
      </c>
      <c r="AB4" s="228">
        <f t="shared" si="0"/>
        <v>4.429000000000002</v>
      </c>
      <c r="AC4" s="228">
        <f t="shared" si="0"/>
        <v>1.4849999999999852</v>
      </c>
      <c r="AD4" s="228">
        <f>N4-M4</f>
        <v>11.152000000000001</v>
      </c>
      <c r="AE4" s="228">
        <f t="shared" ref="AE4:AF4" si="1">O4-N4</f>
        <v>11.111999999999998</v>
      </c>
      <c r="AF4" s="228">
        <f t="shared" si="1"/>
        <v>13.162000000000003</v>
      </c>
    </row>
    <row r="5" spans="1:32">
      <c r="A5" s="276"/>
      <c r="B5" s="10" t="s">
        <v>50</v>
      </c>
      <c r="C5" s="104">
        <v>23.478000000000002</v>
      </c>
      <c r="D5" s="11">
        <v>27.992999999999999</v>
      </c>
      <c r="E5" s="11">
        <v>31.939</v>
      </c>
      <c r="F5" s="11">
        <v>34.978999999999999</v>
      </c>
      <c r="G5" s="11">
        <v>36.96</v>
      </c>
      <c r="H5" s="11">
        <v>38.265999999999998</v>
      </c>
      <c r="I5" s="11">
        <v>38.959000000000003</v>
      </c>
      <c r="J5" s="11">
        <v>39.652999999999999</v>
      </c>
      <c r="K5" s="11">
        <v>40.395000000000003</v>
      </c>
      <c r="L5" s="12">
        <v>41.152000000000001</v>
      </c>
      <c r="M5" s="12"/>
      <c r="N5" s="11">
        <v>43.061999999999998</v>
      </c>
      <c r="O5" s="11">
        <v>46.131</v>
      </c>
      <c r="P5" s="11">
        <v>51.01</v>
      </c>
      <c r="Q5" s="9"/>
      <c r="R5" s="9">
        <f>P5-C5</f>
        <v>27.531999999999996</v>
      </c>
      <c r="T5" s="1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</row>
    <row r="6" spans="1:32">
      <c r="A6" s="275">
        <v>2</v>
      </c>
      <c r="B6" s="224" t="s">
        <v>267</v>
      </c>
      <c r="C6" s="104">
        <v>303.40800000000002</v>
      </c>
      <c r="D6" s="11">
        <v>310.54300000000001</v>
      </c>
      <c r="E6" s="11">
        <v>317.56900000000002</v>
      </c>
      <c r="F6" s="11">
        <v>324.96699999999998</v>
      </c>
      <c r="G6" s="11">
        <v>332.30799999999999</v>
      </c>
      <c r="H6" s="11">
        <v>338.601</v>
      </c>
      <c r="I6" s="11">
        <v>345.262</v>
      </c>
      <c r="J6" s="11">
        <v>345.70299999999997</v>
      </c>
      <c r="K6" s="11">
        <v>347.351</v>
      </c>
      <c r="L6" s="11">
        <v>349.32</v>
      </c>
      <c r="M6" s="11">
        <v>0.03</v>
      </c>
      <c r="N6" s="11">
        <v>0.90600000000000003</v>
      </c>
      <c r="O6" s="11">
        <v>2.2410000000000001</v>
      </c>
      <c r="P6" s="11">
        <v>4.3609999999999998</v>
      </c>
      <c r="Q6" s="9">
        <f t="shared" ref="Q6" si="2">P6-M6+L6-C6</f>
        <v>50.242999999999995</v>
      </c>
      <c r="T6" s="1">
        <v>2</v>
      </c>
      <c r="U6" s="230">
        <f t="shared" ref="U6:AC6" si="3">D6-C6</f>
        <v>7.1349999999999909</v>
      </c>
      <c r="V6" s="230">
        <f t="shared" si="3"/>
        <v>7.0260000000000105</v>
      </c>
      <c r="W6" s="230">
        <f t="shared" si="3"/>
        <v>7.3979999999999677</v>
      </c>
      <c r="X6" s="230">
        <f t="shared" si="3"/>
        <v>7.3410000000000082</v>
      </c>
      <c r="Y6" s="230">
        <f t="shared" si="3"/>
        <v>6.2930000000000064</v>
      </c>
      <c r="Z6" s="230">
        <f t="shared" si="3"/>
        <v>6.6610000000000014</v>
      </c>
      <c r="AA6" s="230">
        <f t="shared" si="3"/>
        <v>0.44099999999997408</v>
      </c>
      <c r="AB6" s="230">
        <f t="shared" si="3"/>
        <v>1.6480000000000246</v>
      </c>
      <c r="AC6" s="230">
        <f t="shared" si="3"/>
        <v>1.9689999999999941</v>
      </c>
      <c r="AD6" s="232">
        <f t="shared" ref="AD6:AF6" si="4">N6-M6</f>
        <v>0.876</v>
      </c>
      <c r="AE6" s="232">
        <f t="shared" si="4"/>
        <v>1.335</v>
      </c>
      <c r="AF6" s="232">
        <f t="shared" si="4"/>
        <v>2.1199999999999997</v>
      </c>
    </row>
    <row r="7" spans="1:32">
      <c r="A7" s="275"/>
      <c r="B7" s="10" t="s">
        <v>51</v>
      </c>
      <c r="C7" s="104">
        <v>29.867000000000001</v>
      </c>
      <c r="D7" s="11">
        <v>33.271999999999998</v>
      </c>
      <c r="E7" s="11">
        <v>35.973999999999997</v>
      </c>
      <c r="F7" s="11">
        <v>37.677</v>
      </c>
      <c r="G7" s="11">
        <v>38.912999999999997</v>
      </c>
      <c r="H7" s="11">
        <v>40.048999999999999</v>
      </c>
      <c r="I7" s="11">
        <v>40.444000000000003</v>
      </c>
      <c r="J7" s="11">
        <v>40.765999999999998</v>
      </c>
      <c r="K7" s="11">
        <v>41.015999999999998</v>
      </c>
      <c r="L7" s="11">
        <v>41.273000000000003</v>
      </c>
      <c r="M7" s="11"/>
      <c r="N7" s="11">
        <v>41.594999999999999</v>
      </c>
      <c r="O7" s="11">
        <v>43.19</v>
      </c>
      <c r="P7" s="11">
        <v>45.521000000000001</v>
      </c>
      <c r="Q7" s="9"/>
      <c r="R7" s="9">
        <f>P7-C7</f>
        <v>15.654</v>
      </c>
      <c r="T7" s="1"/>
      <c r="U7" s="229"/>
      <c r="V7" s="229"/>
      <c r="W7" s="229"/>
      <c r="X7" s="229"/>
      <c r="Y7" s="229"/>
      <c r="Z7" s="229"/>
      <c r="AA7" s="229"/>
      <c r="AB7" s="229"/>
      <c r="AC7" s="229"/>
      <c r="AD7" s="233"/>
      <c r="AE7" s="233"/>
      <c r="AF7" s="233"/>
    </row>
    <row r="8" spans="1:32">
      <c r="A8" s="280">
        <v>3</v>
      </c>
      <c r="B8" s="224" t="s">
        <v>268</v>
      </c>
      <c r="C8" s="104">
        <v>425.87700000000001</v>
      </c>
      <c r="D8" s="11">
        <v>433.536</v>
      </c>
      <c r="E8" s="11">
        <v>440.637</v>
      </c>
      <c r="F8" s="11">
        <v>450.44200000000001</v>
      </c>
      <c r="G8" s="11">
        <v>459.74599999999998</v>
      </c>
      <c r="H8" s="11">
        <v>469.98700000000002</v>
      </c>
      <c r="I8" s="11">
        <v>478.44099999999997</v>
      </c>
      <c r="J8" s="11">
        <v>491.68400000000003</v>
      </c>
      <c r="K8" s="11">
        <v>499.91500000000002</v>
      </c>
      <c r="L8" s="11">
        <v>510.36599999999999</v>
      </c>
      <c r="M8" s="11">
        <v>0.03</v>
      </c>
      <c r="N8" s="11">
        <v>5.6150000000000002</v>
      </c>
      <c r="O8" s="11">
        <v>10.707000000000001</v>
      </c>
      <c r="P8" s="11">
        <v>16.535</v>
      </c>
      <c r="Q8" s="9">
        <f t="shared" ref="Q8" si="5">P8-M8+L8-C8</f>
        <v>100.99399999999997</v>
      </c>
      <c r="T8" s="1">
        <v>3</v>
      </c>
      <c r="U8" s="230">
        <f t="shared" ref="U8:AC8" si="6">D8-C8</f>
        <v>7.6589999999999918</v>
      </c>
      <c r="V8" s="230">
        <f t="shared" si="6"/>
        <v>7.1009999999999991</v>
      </c>
      <c r="W8" s="230">
        <f t="shared" si="6"/>
        <v>9.8050000000000068</v>
      </c>
      <c r="X8" s="230">
        <f t="shared" si="6"/>
        <v>9.3039999999999736</v>
      </c>
      <c r="Y8" s="230">
        <f t="shared" si="6"/>
        <v>10.241000000000042</v>
      </c>
      <c r="Z8" s="230">
        <f t="shared" si="6"/>
        <v>8.4539999999999509</v>
      </c>
      <c r="AA8" s="230">
        <f t="shared" si="6"/>
        <v>13.243000000000052</v>
      </c>
      <c r="AB8" s="230">
        <f t="shared" si="6"/>
        <v>8.2309999999999945</v>
      </c>
      <c r="AC8" s="230">
        <f t="shared" si="6"/>
        <v>10.450999999999965</v>
      </c>
      <c r="AD8" s="232">
        <f t="shared" ref="AD8:AF8" si="7">N8-M8</f>
        <v>5.585</v>
      </c>
      <c r="AE8" s="232">
        <f t="shared" si="7"/>
        <v>5.0920000000000005</v>
      </c>
      <c r="AF8" s="232">
        <f t="shared" si="7"/>
        <v>5.8279999999999994</v>
      </c>
    </row>
    <row r="9" spans="1:32">
      <c r="A9" s="280"/>
      <c r="B9" s="10" t="s">
        <v>52</v>
      </c>
      <c r="C9" s="104">
        <v>35.463999999999999</v>
      </c>
      <c r="D9" s="11">
        <v>40.722000000000001</v>
      </c>
      <c r="E9" s="11">
        <v>44.924999999999997</v>
      </c>
      <c r="F9" s="11">
        <v>48.267000000000003</v>
      </c>
      <c r="G9" s="11">
        <v>50.368000000000002</v>
      </c>
      <c r="H9" s="11">
        <v>51.232999999999997</v>
      </c>
      <c r="I9" s="11">
        <v>51.646999999999998</v>
      </c>
      <c r="J9" s="11">
        <v>52.201000000000001</v>
      </c>
      <c r="K9" s="11">
        <v>52.597000000000001</v>
      </c>
      <c r="L9" s="11">
        <v>53.481999999999999</v>
      </c>
      <c r="M9" s="11"/>
      <c r="N9" s="11">
        <v>55.128</v>
      </c>
      <c r="O9" s="11">
        <v>58.238</v>
      </c>
      <c r="P9" s="11">
        <v>63.801000000000002</v>
      </c>
      <c r="Q9" s="9"/>
      <c r="R9" s="9">
        <f>P9-C9</f>
        <v>28.337000000000003</v>
      </c>
      <c r="T9" s="1"/>
      <c r="U9" s="229"/>
      <c r="V9" s="229"/>
      <c r="W9" s="229"/>
      <c r="X9" s="229"/>
      <c r="Y9" s="229"/>
      <c r="Z9" s="229"/>
      <c r="AA9" s="229"/>
      <c r="AB9" s="229"/>
      <c r="AC9" s="229"/>
      <c r="AD9" s="233"/>
      <c r="AE9" s="233"/>
      <c r="AF9" s="233"/>
    </row>
    <row r="10" spans="1:32">
      <c r="A10" s="280">
        <v>4</v>
      </c>
      <c r="B10" s="224" t="s">
        <v>269</v>
      </c>
      <c r="C10" s="104">
        <v>270.27699999999999</v>
      </c>
      <c r="D10" s="11">
        <v>282.06599999999997</v>
      </c>
      <c r="E10" s="11">
        <v>294.31599999999997</v>
      </c>
      <c r="F10" s="11">
        <v>306.34100000000001</v>
      </c>
      <c r="G10" s="11">
        <v>317.99299999999999</v>
      </c>
      <c r="H10" s="11">
        <v>329.428</v>
      </c>
      <c r="I10" s="11">
        <v>338.48099999999999</v>
      </c>
      <c r="J10" s="11">
        <v>342.834</v>
      </c>
      <c r="K10" s="11">
        <v>345.44099999999997</v>
      </c>
      <c r="L10" s="11">
        <v>358.565</v>
      </c>
      <c r="M10" s="11">
        <v>0.01</v>
      </c>
      <c r="N10" s="11">
        <v>12.567</v>
      </c>
      <c r="O10" s="11">
        <v>24.829000000000001</v>
      </c>
      <c r="P10" s="11">
        <v>40.107999999999997</v>
      </c>
      <c r="Q10" s="9">
        <f t="shared" ref="Q10" si="8">P10-M10+L10-C10</f>
        <v>128.38600000000002</v>
      </c>
      <c r="T10" s="1">
        <v>4</v>
      </c>
      <c r="U10" s="230">
        <f t="shared" ref="U10:AC10" si="9">D10-C10</f>
        <v>11.788999999999987</v>
      </c>
      <c r="V10" s="230">
        <f t="shared" si="9"/>
        <v>12.25</v>
      </c>
      <c r="W10" s="230">
        <f t="shared" si="9"/>
        <v>12.025000000000034</v>
      </c>
      <c r="X10" s="230">
        <f t="shared" si="9"/>
        <v>11.651999999999987</v>
      </c>
      <c r="Y10" s="230">
        <f t="shared" si="9"/>
        <v>11.435000000000002</v>
      </c>
      <c r="Z10" s="230">
        <f t="shared" si="9"/>
        <v>9.0529999999999973</v>
      </c>
      <c r="AA10" s="230">
        <f t="shared" si="9"/>
        <v>4.3530000000000086</v>
      </c>
      <c r="AB10" s="230">
        <f t="shared" si="9"/>
        <v>2.6069999999999709</v>
      </c>
      <c r="AC10" s="230">
        <f t="shared" si="9"/>
        <v>13.124000000000024</v>
      </c>
      <c r="AD10" s="232">
        <f t="shared" ref="AD10:AF10" si="10">N10-M10</f>
        <v>12.557</v>
      </c>
      <c r="AE10" s="232">
        <f t="shared" si="10"/>
        <v>12.262</v>
      </c>
      <c r="AF10" s="232">
        <f t="shared" si="10"/>
        <v>15.278999999999996</v>
      </c>
    </row>
    <row r="11" spans="1:32">
      <c r="A11" s="280"/>
      <c r="B11" s="10" t="s">
        <v>53</v>
      </c>
      <c r="C11" s="104">
        <v>49.414999999999999</v>
      </c>
      <c r="D11" s="11">
        <v>55.182000000000002</v>
      </c>
      <c r="E11" s="11">
        <v>59.448999999999998</v>
      </c>
      <c r="F11" s="11">
        <v>62.281999999999996</v>
      </c>
      <c r="G11" s="11">
        <v>63.7</v>
      </c>
      <c r="H11" s="11">
        <v>65.408000000000001</v>
      </c>
      <c r="I11" s="11">
        <v>65.971000000000004</v>
      </c>
      <c r="J11" s="11">
        <v>66.278000000000006</v>
      </c>
      <c r="K11" s="11">
        <v>66.540000000000006</v>
      </c>
      <c r="L11" s="11">
        <v>67.44</v>
      </c>
      <c r="M11" s="11"/>
      <c r="N11" s="11">
        <v>69.55</v>
      </c>
      <c r="O11" s="11">
        <v>73.129000000000005</v>
      </c>
      <c r="P11" s="11">
        <v>77.768000000000001</v>
      </c>
      <c r="Q11" s="9"/>
      <c r="R11" s="9">
        <f>P11-C11</f>
        <v>28.353000000000002</v>
      </c>
      <c r="T11" s="1"/>
      <c r="U11" s="229"/>
      <c r="V11" s="229"/>
      <c r="W11" s="229"/>
      <c r="X11" s="229"/>
      <c r="Y11" s="229"/>
      <c r="Z11" s="229"/>
      <c r="AA11" s="229"/>
      <c r="AB11" s="229"/>
      <c r="AC11" s="229"/>
      <c r="AD11" s="233"/>
      <c r="AE11" s="233"/>
      <c r="AF11" s="233"/>
    </row>
    <row r="12" spans="1:32">
      <c r="A12" s="275">
        <v>5</v>
      </c>
      <c r="B12" s="224" t="s">
        <v>270</v>
      </c>
      <c r="C12" s="104">
        <v>362.584</v>
      </c>
      <c r="D12" s="11">
        <v>362.85500000000002</v>
      </c>
      <c r="E12" s="11">
        <v>363.44200000000001</v>
      </c>
      <c r="F12" s="11">
        <v>364.01900000000001</v>
      </c>
      <c r="G12" s="11">
        <v>365.09100000000001</v>
      </c>
      <c r="H12" s="11">
        <v>365.36</v>
      </c>
      <c r="I12" s="11">
        <v>365.43900000000002</v>
      </c>
      <c r="J12" s="11">
        <v>365.45</v>
      </c>
      <c r="K12" s="11">
        <v>365.53899999999999</v>
      </c>
      <c r="L12" s="11">
        <v>365.61</v>
      </c>
      <c r="M12" s="11">
        <v>0.01</v>
      </c>
      <c r="N12" s="11">
        <v>2.5999999999999999E-2</v>
      </c>
      <c r="O12" s="11">
        <v>3.5000000000000003E-2</v>
      </c>
      <c r="P12" s="11">
        <v>0.247</v>
      </c>
      <c r="Q12" s="9">
        <f t="shared" ref="Q12" si="11">P12-M12+L12-C12</f>
        <v>3.2630000000000337</v>
      </c>
      <c r="T12" s="1">
        <v>5</v>
      </c>
      <c r="U12" s="230">
        <f t="shared" ref="U12:AC12" si="12">D12-C12</f>
        <v>0.27100000000001501</v>
      </c>
      <c r="V12" s="230">
        <f t="shared" si="12"/>
        <v>0.58699999999998909</v>
      </c>
      <c r="W12" s="230">
        <f t="shared" si="12"/>
        <v>0.57699999999999818</v>
      </c>
      <c r="X12" s="230">
        <f t="shared" si="12"/>
        <v>1.0720000000000027</v>
      </c>
      <c r="Y12" s="230">
        <f t="shared" si="12"/>
        <v>0.26900000000000546</v>
      </c>
      <c r="Z12" s="230">
        <f t="shared" si="12"/>
        <v>7.9000000000007731E-2</v>
      </c>
      <c r="AA12" s="230">
        <f t="shared" si="12"/>
        <v>1.0999999999967258E-2</v>
      </c>
      <c r="AB12" s="230">
        <f t="shared" si="12"/>
        <v>8.8999999999998636E-2</v>
      </c>
      <c r="AC12" s="230">
        <f t="shared" si="12"/>
        <v>7.1000000000026375E-2</v>
      </c>
      <c r="AD12" s="232">
        <f t="shared" ref="AD12:AF12" si="13">N12-M12</f>
        <v>1.6E-2</v>
      </c>
      <c r="AE12" s="232">
        <f t="shared" si="13"/>
        <v>9.0000000000000045E-3</v>
      </c>
      <c r="AF12" s="232">
        <f t="shared" si="13"/>
        <v>0.21199999999999999</v>
      </c>
    </row>
    <row r="13" spans="1:32">
      <c r="A13" s="275"/>
      <c r="B13" s="10" t="s">
        <v>54</v>
      </c>
      <c r="C13" s="104">
        <v>13.955</v>
      </c>
      <c r="D13" s="11">
        <v>14.129</v>
      </c>
      <c r="E13" s="11">
        <v>14.319000000000001</v>
      </c>
      <c r="F13" s="11">
        <v>14.465999999999999</v>
      </c>
      <c r="G13" s="11">
        <v>14.657999999999999</v>
      </c>
      <c r="H13" s="11">
        <v>14.837999999999999</v>
      </c>
      <c r="I13" s="11">
        <v>14.965999999999999</v>
      </c>
      <c r="J13" s="11">
        <v>15.114000000000001</v>
      </c>
      <c r="K13" s="11">
        <v>15.276</v>
      </c>
      <c r="L13" s="11">
        <v>15.446</v>
      </c>
      <c r="M13" s="11"/>
      <c r="N13" s="11">
        <v>15.619</v>
      </c>
      <c r="O13" s="11">
        <v>15.776999999999999</v>
      </c>
      <c r="P13" s="11">
        <v>15.984</v>
      </c>
      <c r="Q13" s="9"/>
      <c r="R13" s="9">
        <f>P13-C13</f>
        <v>2.0289999999999999</v>
      </c>
      <c r="T13" s="1"/>
      <c r="U13" s="229"/>
      <c r="V13" s="229"/>
      <c r="W13" s="229"/>
      <c r="X13" s="229"/>
      <c r="Y13" s="229"/>
      <c r="Z13" s="229"/>
      <c r="AA13" s="229"/>
      <c r="AB13" s="229"/>
      <c r="AC13" s="229"/>
      <c r="AD13" s="233"/>
      <c r="AE13" s="233"/>
      <c r="AF13" s="233"/>
    </row>
    <row r="14" spans="1:32">
      <c r="A14" s="275">
        <v>6</v>
      </c>
      <c r="B14" s="224" t="s">
        <v>271</v>
      </c>
      <c r="C14" s="104">
        <v>186.03800000000001</v>
      </c>
      <c r="D14" s="11">
        <v>194.16200000000001</v>
      </c>
      <c r="E14" s="11">
        <v>201.71</v>
      </c>
      <c r="F14" s="11">
        <v>210.23</v>
      </c>
      <c r="G14" s="11">
        <v>221.46700000000001</v>
      </c>
      <c r="H14" s="11">
        <v>229.35900000000001</v>
      </c>
      <c r="I14" s="11">
        <v>236.596</v>
      </c>
      <c r="J14" s="11">
        <v>243.08500000000001</v>
      </c>
      <c r="K14" s="11">
        <v>249.649</v>
      </c>
      <c r="L14" s="11">
        <v>259.685</v>
      </c>
      <c r="M14" s="11">
        <v>0.04</v>
      </c>
      <c r="N14" s="11">
        <v>7.17</v>
      </c>
      <c r="O14" s="11">
        <v>12.179</v>
      </c>
      <c r="P14" s="11">
        <v>21.617000000000001</v>
      </c>
      <c r="Q14" s="9">
        <f t="shared" ref="Q14" si="14">P14-M14+L14-C14</f>
        <v>95.22399999999999</v>
      </c>
      <c r="T14" s="1">
        <v>6</v>
      </c>
      <c r="U14" s="230">
        <f t="shared" ref="U14:AC14" si="15">D14-C14</f>
        <v>8.1239999999999952</v>
      </c>
      <c r="V14" s="230">
        <f t="shared" si="15"/>
        <v>7.5480000000000018</v>
      </c>
      <c r="W14" s="230">
        <f t="shared" si="15"/>
        <v>8.5199999999999818</v>
      </c>
      <c r="X14" s="230">
        <f t="shared" si="15"/>
        <v>11.237000000000023</v>
      </c>
      <c r="Y14" s="230">
        <f t="shared" si="15"/>
        <v>7.8919999999999959</v>
      </c>
      <c r="Z14" s="230">
        <f t="shared" si="15"/>
        <v>7.2369999999999948</v>
      </c>
      <c r="AA14" s="230">
        <f t="shared" si="15"/>
        <v>6.4890000000000043</v>
      </c>
      <c r="AB14" s="230">
        <f t="shared" si="15"/>
        <v>6.563999999999993</v>
      </c>
      <c r="AC14" s="230">
        <f t="shared" si="15"/>
        <v>10.036000000000001</v>
      </c>
      <c r="AD14" s="232">
        <f t="shared" ref="AD14:AF14" si="16">N14-M14</f>
        <v>7.13</v>
      </c>
      <c r="AE14" s="232">
        <f t="shared" si="16"/>
        <v>5.0090000000000003</v>
      </c>
      <c r="AF14" s="232">
        <f t="shared" si="16"/>
        <v>9.4380000000000006</v>
      </c>
    </row>
    <row r="15" spans="1:32">
      <c r="A15" s="275"/>
      <c r="B15" s="10" t="s">
        <v>55</v>
      </c>
      <c r="C15" s="104">
        <v>70.872</v>
      </c>
      <c r="D15" s="34">
        <v>76.12</v>
      </c>
      <c r="E15" s="11">
        <v>81.016000000000005</v>
      </c>
      <c r="F15" s="11">
        <v>84.796999999999997</v>
      </c>
      <c r="G15" s="11">
        <v>87.608999999999995</v>
      </c>
      <c r="H15" s="11">
        <v>89.695999999999998</v>
      </c>
      <c r="I15" s="11">
        <v>90.442999999999998</v>
      </c>
      <c r="J15" s="11">
        <v>91.176000000000002</v>
      </c>
      <c r="K15" s="11">
        <v>92.003</v>
      </c>
      <c r="L15" s="11">
        <v>93.423000000000002</v>
      </c>
      <c r="M15" s="11"/>
      <c r="N15" s="11">
        <v>95.924999999999997</v>
      </c>
      <c r="O15" s="11">
        <v>100.227</v>
      </c>
      <c r="P15" s="34">
        <v>105.191</v>
      </c>
      <c r="Q15" s="9"/>
      <c r="R15" s="9">
        <f>P15-C15</f>
        <v>34.319000000000003</v>
      </c>
      <c r="T15" s="1"/>
      <c r="U15" s="229"/>
      <c r="V15" s="229"/>
      <c r="W15" s="229"/>
      <c r="X15" s="229"/>
      <c r="Y15" s="229"/>
      <c r="Z15" s="229"/>
      <c r="AA15" s="229"/>
      <c r="AB15" s="229"/>
      <c r="AC15" s="229"/>
      <c r="AD15" s="233"/>
      <c r="AE15" s="233"/>
      <c r="AF15" s="233"/>
    </row>
    <row r="16" spans="1:32">
      <c r="A16" s="275">
        <v>7</v>
      </c>
      <c r="B16" s="224" t="s">
        <v>272</v>
      </c>
      <c r="C16" s="104">
        <v>70.861000000000004</v>
      </c>
      <c r="D16" s="11">
        <v>71.552000000000007</v>
      </c>
      <c r="E16" s="11">
        <v>72.382000000000005</v>
      </c>
      <c r="F16" s="11">
        <v>73.019000000000005</v>
      </c>
      <c r="G16" s="11">
        <v>75.209000000000003</v>
      </c>
      <c r="H16" s="11">
        <v>75.891999999999996</v>
      </c>
      <c r="I16" s="11">
        <v>76.314999999999998</v>
      </c>
      <c r="J16" s="11">
        <v>79.423000000000002</v>
      </c>
      <c r="K16" s="11">
        <v>82.856999999999999</v>
      </c>
      <c r="L16" s="11">
        <v>83.686999999999998</v>
      </c>
      <c r="M16" s="11">
        <v>0.03</v>
      </c>
      <c r="N16" s="11">
        <v>1.091</v>
      </c>
      <c r="O16" s="11">
        <v>1.9159999999999999</v>
      </c>
      <c r="P16" s="11">
        <v>2.3679999999999999</v>
      </c>
      <c r="Q16" s="9">
        <f t="shared" ref="Q16" si="17">P16-M16+L16-C16</f>
        <v>15.163999999999987</v>
      </c>
      <c r="T16" s="1">
        <v>7</v>
      </c>
      <c r="U16" s="230">
        <f t="shared" ref="U16:AC16" si="18">D16-C16</f>
        <v>0.6910000000000025</v>
      </c>
      <c r="V16" s="230">
        <f t="shared" si="18"/>
        <v>0.82999999999999829</v>
      </c>
      <c r="W16" s="230">
        <f t="shared" si="18"/>
        <v>0.63700000000000045</v>
      </c>
      <c r="X16" s="230">
        <f t="shared" si="18"/>
        <v>2.1899999999999977</v>
      </c>
      <c r="Y16" s="230">
        <f t="shared" si="18"/>
        <v>0.68299999999999272</v>
      </c>
      <c r="Z16" s="230">
        <f t="shared" si="18"/>
        <v>0.42300000000000182</v>
      </c>
      <c r="AA16" s="230">
        <f t="shared" si="18"/>
        <v>3.1080000000000041</v>
      </c>
      <c r="AB16" s="230">
        <f t="shared" si="18"/>
        <v>3.4339999999999975</v>
      </c>
      <c r="AC16" s="230">
        <f t="shared" si="18"/>
        <v>0.82999999999999829</v>
      </c>
      <c r="AD16" s="232">
        <f t="shared" ref="AD16:AF16" si="19">N16-M16</f>
        <v>1.0609999999999999</v>
      </c>
      <c r="AE16" s="232">
        <f t="shared" si="19"/>
        <v>0.82499999999999996</v>
      </c>
      <c r="AF16" s="232">
        <f t="shared" si="19"/>
        <v>0.45199999999999996</v>
      </c>
    </row>
    <row r="17" spans="1:32">
      <c r="A17" s="275"/>
      <c r="B17" s="10" t="s">
        <v>56</v>
      </c>
      <c r="C17" s="104">
        <v>18.161000000000001</v>
      </c>
      <c r="D17" s="11">
        <v>21.532</v>
      </c>
      <c r="E17" s="11">
        <v>22.74</v>
      </c>
      <c r="F17" s="11">
        <v>23.56</v>
      </c>
      <c r="G17" s="11">
        <v>23.739000000000001</v>
      </c>
      <c r="H17" s="11">
        <v>23.882999999999999</v>
      </c>
      <c r="I17" s="11">
        <v>23.887</v>
      </c>
      <c r="J17" s="11">
        <v>23.940999999999999</v>
      </c>
      <c r="K17" s="11">
        <v>24.004999999999999</v>
      </c>
      <c r="L17" s="11">
        <v>24.027000000000001</v>
      </c>
      <c r="M17" s="11"/>
      <c r="N17" s="11">
        <v>24.582000000000001</v>
      </c>
      <c r="O17" s="11">
        <v>26.215</v>
      </c>
      <c r="P17" s="11">
        <v>29.122</v>
      </c>
      <c r="Q17" s="9"/>
      <c r="R17" s="9">
        <f>P17-C17</f>
        <v>10.960999999999999</v>
      </c>
      <c r="T17" s="1"/>
      <c r="U17" s="229"/>
      <c r="V17" s="229"/>
      <c r="W17" s="229"/>
      <c r="X17" s="229"/>
      <c r="Y17" s="229"/>
      <c r="Z17" s="229"/>
      <c r="AA17" s="229"/>
      <c r="AB17" s="229"/>
      <c r="AC17" s="229"/>
      <c r="AD17" s="229"/>
      <c r="AE17" s="229"/>
      <c r="AF17" s="229"/>
    </row>
    <row r="18" spans="1:32">
      <c r="A18" s="275">
        <v>8</v>
      </c>
      <c r="B18" s="224" t="s">
        <v>273</v>
      </c>
      <c r="C18" s="104">
        <v>73.238</v>
      </c>
      <c r="D18" s="11">
        <v>81.477000000000004</v>
      </c>
      <c r="E18" s="11">
        <v>88.046999999999997</v>
      </c>
      <c r="F18" s="11">
        <v>97.629000000000005</v>
      </c>
      <c r="G18" s="11">
        <v>104.911</v>
      </c>
      <c r="H18" s="11">
        <v>112.354</v>
      </c>
      <c r="I18" s="11">
        <v>118.181</v>
      </c>
      <c r="J18" s="11">
        <v>127.15900000000001</v>
      </c>
      <c r="K18" s="11">
        <v>133.30000000000001</v>
      </c>
      <c r="L18" s="11">
        <v>138.28100000000001</v>
      </c>
      <c r="M18" s="11">
        <v>0.02</v>
      </c>
      <c r="N18" s="11">
        <v>7.2370000000000001</v>
      </c>
      <c r="O18" s="11">
        <v>14.352</v>
      </c>
      <c r="P18" s="11">
        <v>21.515999999999998</v>
      </c>
      <c r="Q18" s="9">
        <f t="shared" ref="Q18" si="20">P18-M18+L18-C18</f>
        <v>86.539000000000016</v>
      </c>
      <c r="T18" s="1">
        <v>8</v>
      </c>
      <c r="U18" s="230">
        <f t="shared" ref="U18:AC18" si="21">D18-C18</f>
        <v>8.2390000000000043</v>
      </c>
      <c r="V18" s="230">
        <f t="shared" si="21"/>
        <v>6.5699999999999932</v>
      </c>
      <c r="W18" s="230">
        <f t="shared" si="21"/>
        <v>9.5820000000000078</v>
      </c>
      <c r="X18" s="230">
        <f t="shared" si="21"/>
        <v>7.2819999999999965</v>
      </c>
      <c r="Y18" s="230">
        <f t="shared" si="21"/>
        <v>7.4429999999999978</v>
      </c>
      <c r="Z18" s="230">
        <f t="shared" si="21"/>
        <v>5.8269999999999982</v>
      </c>
      <c r="AA18" s="230">
        <f t="shared" si="21"/>
        <v>8.9780000000000086</v>
      </c>
      <c r="AB18" s="230">
        <f t="shared" si="21"/>
        <v>6.1410000000000053</v>
      </c>
      <c r="AC18" s="230">
        <f t="shared" si="21"/>
        <v>4.9809999999999945</v>
      </c>
      <c r="AD18" s="230">
        <f t="shared" ref="AD18:AF18" si="22">N18-M18</f>
        <v>7.2170000000000005</v>
      </c>
      <c r="AE18" s="230">
        <f t="shared" si="22"/>
        <v>7.1150000000000002</v>
      </c>
      <c r="AF18" s="230">
        <f t="shared" si="22"/>
        <v>7.1639999999999979</v>
      </c>
    </row>
    <row r="19" spans="1:32">
      <c r="A19" s="275"/>
      <c r="B19" s="10" t="s">
        <v>57</v>
      </c>
      <c r="C19" s="104">
        <v>12.081</v>
      </c>
      <c r="D19" s="11">
        <v>17.082000000000001</v>
      </c>
      <c r="E19" s="11">
        <v>20.425000000000001</v>
      </c>
      <c r="F19" s="11">
        <v>22.184000000000001</v>
      </c>
      <c r="G19" s="11">
        <v>23.077000000000002</v>
      </c>
      <c r="H19" s="11">
        <v>23.940999999999999</v>
      </c>
      <c r="I19" s="11">
        <v>24.292999999999999</v>
      </c>
      <c r="J19" s="11">
        <v>24.803999999999998</v>
      </c>
      <c r="K19" s="11">
        <v>25.207999999999998</v>
      </c>
      <c r="L19" s="11">
        <v>25.545000000000002</v>
      </c>
      <c r="M19" s="11"/>
      <c r="N19" s="11">
        <v>26.263000000000002</v>
      </c>
      <c r="O19" s="11">
        <v>29.256</v>
      </c>
      <c r="P19" s="11">
        <v>32.915999999999997</v>
      </c>
      <c r="Q19" s="9"/>
      <c r="R19" s="9">
        <f>P19-C19</f>
        <v>20.834999999999997</v>
      </c>
      <c r="T19" s="1"/>
      <c r="U19" s="229"/>
      <c r="V19" s="229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</row>
    <row r="20" spans="1:32">
      <c r="A20" s="275">
        <v>9</v>
      </c>
      <c r="B20" s="224" t="s">
        <v>274</v>
      </c>
      <c r="C20" s="104">
        <v>402.99900000000002</v>
      </c>
      <c r="D20" s="11">
        <v>413.76900000000001</v>
      </c>
      <c r="E20" s="11">
        <v>424.91300000000001</v>
      </c>
      <c r="F20" s="11">
        <v>434.923</v>
      </c>
      <c r="G20" s="11">
        <v>443.84199999999998</v>
      </c>
      <c r="H20" s="11">
        <v>452.95600000000002</v>
      </c>
      <c r="I20" s="11">
        <v>459.25799999999998</v>
      </c>
      <c r="J20" s="11">
        <v>465.19</v>
      </c>
      <c r="K20" s="11">
        <v>472.358</v>
      </c>
      <c r="L20" s="11">
        <v>476.65</v>
      </c>
      <c r="M20" s="11">
        <v>0.01</v>
      </c>
      <c r="N20" s="11">
        <v>6.3319999999999999</v>
      </c>
      <c r="O20" s="11">
        <v>14.502000000000001</v>
      </c>
      <c r="P20" s="11">
        <v>23.265000000000001</v>
      </c>
      <c r="Q20" s="9">
        <f t="shared" ref="Q20" si="23">P20-M20+L20-C20</f>
        <v>96.905999999999949</v>
      </c>
      <c r="T20" s="1">
        <v>9</v>
      </c>
      <c r="U20" s="230">
        <f t="shared" ref="U20:AC20" si="24">D20-C20</f>
        <v>10.769999999999982</v>
      </c>
      <c r="V20" s="230">
        <f t="shared" si="24"/>
        <v>11.144000000000005</v>
      </c>
      <c r="W20" s="230">
        <f t="shared" si="24"/>
        <v>10.009999999999991</v>
      </c>
      <c r="X20" s="230">
        <f t="shared" si="24"/>
        <v>8.9189999999999827</v>
      </c>
      <c r="Y20" s="230">
        <f t="shared" si="24"/>
        <v>9.1140000000000327</v>
      </c>
      <c r="Z20" s="230">
        <f t="shared" si="24"/>
        <v>6.3019999999999641</v>
      </c>
      <c r="AA20" s="230">
        <f t="shared" si="24"/>
        <v>5.9320000000000164</v>
      </c>
      <c r="AB20" s="230">
        <f t="shared" si="24"/>
        <v>7.1680000000000064</v>
      </c>
      <c r="AC20" s="230">
        <f t="shared" si="24"/>
        <v>4.2919999999999732</v>
      </c>
      <c r="AD20" s="230">
        <f t="shared" ref="AD20:AF20" si="25">N20-M20</f>
        <v>6.3220000000000001</v>
      </c>
      <c r="AE20" s="230">
        <f t="shared" si="25"/>
        <v>8.1700000000000017</v>
      </c>
      <c r="AF20" s="230">
        <f t="shared" si="25"/>
        <v>8.7629999999999999</v>
      </c>
    </row>
    <row r="21" spans="1:32">
      <c r="A21" s="275"/>
      <c r="B21" s="10" t="s">
        <v>58</v>
      </c>
      <c r="C21" s="104">
        <v>42.543999999999997</v>
      </c>
      <c r="D21" s="11">
        <v>48.625999999999998</v>
      </c>
      <c r="E21" s="11">
        <v>52.829000000000001</v>
      </c>
      <c r="F21" s="11">
        <v>55.862000000000002</v>
      </c>
      <c r="G21" s="11">
        <v>57.476999999999997</v>
      </c>
      <c r="H21" s="11">
        <v>59.137999999999998</v>
      </c>
      <c r="I21" s="11">
        <v>59.542000000000002</v>
      </c>
      <c r="J21" s="11">
        <v>59.936</v>
      </c>
      <c r="K21" s="11">
        <v>60.41</v>
      </c>
      <c r="L21" s="11">
        <v>62.094999999999999</v>
      </c>
      <c r="M21" s="11"/>
      <c r="N21" s="11">
        <v>63.82</v>
      </c>
      <c r="O21" s="11">
        <v>67.8</v>
      </c>
      <c r="P21" s="11">
        <v>74.263000000000005</v>
      </c>
      <c r="Q21" s="9"/>
      <c r="R21" s="9">
        <f>P21-C21</f>
        <v>31.719000000000008</v>
      </c>
      <c r="T21" s="1"/>
      <c r="U21" s="229"/>
      <c r="V21" s="229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</row>
    <row r="22" spans="1:32">
      <c r="A22" s="275">
        <v>10</v>
      </c>
      <c r="B22" s="224" t="s">
        <v>275</v>
      </c>
      <c r="C22" s="104">
        <v>121.04300000000001</v>
      </c>
      <c r="D22" s="11">
        <v>126.056</v>
      </c>
      <c r="E22" s="11">
        <v>129.65199999999999</v>
      </c>
      <c r="F22" s="11">
        <v>135.184</v>
      </c>
      <c r="G22" s="11">
        <v>141.327</v>
      </c>
      <c r="H22" s="11">
        <v>147.36199999999999</v>
      </c>
      <c r="I22" s="11">
        <v>152.70400000000001</v>
      </c>
      <c r="J22" s="11">
        <v>158.529</v>
      </c>
      <c r="K22" s="11">
        <v>163.983</v>
      </c>
      <c r="L22" s="11">
        <v>170.751</v>
      </c>
      <c r="M22" s="11">
        <v>0.01</v>
      </c>
      <c r="N22" s="11">
        <v>6.2670000000000003</v>
      </c>
      <c r="O22" s="11">
        <v>12.955</v>
      </c>
      <c r="P22" s="11">
        <v>19.413</v>
      </c>
      <c r="Q22" s="9">
        <f t="shared" ref="Q22" si="26">P22-M22+L22-C22</f>
        <v>69.11099999999999</v>
      </c>
      <c r="T22" s="1">
        <v>10</v>
      </c>
      <c r="U22" s="230">
        <f t="shared" ref="U22:AC22" si="27">D22-C22</f>
        <v>5.012999999999991</v>
      </c>
      <c r="V22" s="230">
        <f t="shared" si="27"/>
        <v>3.5959999999999894</v>
      </c>
      <c r="W22" s="230">
        <f t="shared" si="27"/>
        <v>5.5320000000000107</v>
      </c>
      <c r="X22" s="230">
        <f t="shared" si="27"/>
        <v>6.1430000000000007</v>
      </c>
      <c r="Y22" s="230">
        <f t="shared" si="27"/>
        <v>6.0349999999999966</v>
      </c>
      <c r="Z22" s="230">
        <f t="shared" si="27"/>
        <v>5.342000000000013</v>
      </c>
      <c r="AA22" s="230">
        <f t="shared" si="27"/>
        <v>5.8249999999999886</v>
      </c>
      <c r="AB22" s="230">
        <f t="shared" si="27"/>
        <v>5.4540000000000077</v>
      </c>
      <c r="AC22" s="230">
        <f t="shared" si="27"/>
        <v>6.7680000000000007</v>
      </c>
      <c r="AD22" s="230">
        <f t="shared" ref="AD22:AF22" si="28">N22-M22</f>
        <v>6.2570000000000006</v>
      </c>
      <c r="AE22" s="230">
        <f t="shared" si="28"/>
        <v>6.6879999999999997</v>
      </c>
      <c r="AF22" s="230">
        <f t="shared" si="28"/>
        <v>6.4580000000000002</v>
      </c>
    </row>
    <row r="23" spans="1:32">
      <c r="A23" s="275"/>
      <c r="B23" s="10" t="s">
        <v>59</v>
      </c>
      <c r="C23" s="104">
        <v>18.303999999999998</v>
      </c>
      <c r="D23" s="11">
        <v>20.658000000000001</v>
      </c>
      <c r="E23" s="11">
        <v>22.128</v>
      </c>
      <c r="F23" s="11">
        <v>23.471</v>
      </c>
      <c r="G23" s="11">
        <v>24.155999999999999</v>
      </c>
      <c r="H23" s="11">
        <v>24.648</v>
      </c>
      <c r="I23" s="11">
        <v>24.986999999999998</v>
      </c>
      <c r="J23" s="11">
        <v>25.352</v>
      </c>
      <c r="K23" s="11">
        <v>25.81</v>
      </c>
      <c r="L23" s="11">
        <v>26.265999999999998</v>
      </c>
      <c r="M23" s="11"/>
      <c r="N23" s="11">
        <v>27.151</v>
      </c>
      <c r="O23" s="11">
        <v>29.248000000000001</v>
      </c>
      <c r="P23" s="11">
        <v>32.152000000000001</v>
      </c>
      <c r="Q23" s="13"/>
      <c r="R23" s="146">
        <f>P23-C23</f>
        <v>13.848000000000003</v>
      </c>
      <c r="U23" s="229"/>
      <c r="V23" s="229"/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</row>
    <row r="24" spans="1:32">
      <c r="A24" s="174"/>
      <c r="B24" s="10"/>
      <c r="C24" s="10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9">
        <f>SUM(Q4:Q23)</f>
        <v>752.75099999999998</v>
      </c>
      <c r="R24" s="9">
        <f>SUM(R4:R23)</f>
        <v>213.58700000000005</v>
      </c>
    </row>
    <row r="25" spans="1:32">
      <c r="A25" s="174" t="s">
        <v>25</v>
      </c>
      <c r="B25" s="10" t="s">
        <v>60</v>
      </c>
      <c r="C25" s="105">
        <v>59017</v>
      </c>
      <c r="D25" s="15">
        <v>59288</v>
      </c>
      <c r="E25" s="15">
        <v>59509</v>
      </c>
      <c r="F25" s="15">
        <v>59730</v>
      </c>
      <c r="G25" s="15">
        <v>59975</v>
      </c>
      <c r="H25" s="15">
        <v>60202</v>
      </c>
      <c r="I25" s="15">
        <v>60430</v>
      </c>
      <c r="J25" s="15">
        <v>60650</v>
      </c>
      <c r="K25" s="15">
        <v>60886</v>
      </c>
      <c r="L25" s="15">
        <v>61108</v>
      </c>
      <c r="M25" s="15"/>
      <c r="N25" s="15">
        <v>61350</v>
      </c>
      <c r="O25" s="15">
        <v>61566</v>
      </c>
      <c r="P25" s="15">
        <v>61952</v>
      </c>
      <c r="Q25" s="9"/>
      <c r="S25" s="18">
        <f>P25-C25</f>
        <v>2935</v>
      </c>
    </row>
    <row r="26" spans="1:32">
      <c r="A26" s="174"/>
      <c r="B26" s="224" t="s">
        <v>265</v>
      </c>
      <c r="C26" s="106">
        <v>2584.9</v>
      </c>
      <c r="D26" s="20">
        <v>2664.1</v>
      </c>
      <c r="E26" s="20">
        <v>2739.7</v>
      </c>
      <c r="F26" s="20">
        <v>2824.7</v>
      </c>
      <c r="G26" s="20">
        <v>2911.9</v>
      </c>
      <c r="H26" s="20">
        <v>2991.5</v>
      </c>
      <c r="I26" s="20">
        <v>3059.6</v>
      </c>
      <c r="J26" s="20">
        <v>3125</v>
      </c>
      <c r="K26" s="20">
        <v>3187.6</v>
      </c>
      <c r="L26" s="20">
        <v>3259.2</v>
      </c>
      <c r="M26" s="20">
        <v>0</v>
      </c>
      <c r="N26" s="20">
        <v>67</v>
      </c>
      <c r="O26" s="20">
        <v>135.80000000000001</v>
      </c>
      <c r="P26" s="20">
        <v>218.7</v>
      </c>
      <c r="Q26" s="9">
        <f t="shared" ref="Q26" si="29">P26-M26+L26-C26</f>
        <v>892.99999999999955</v>
      </c>
    </row>
    <row r="27" spans="1:32">
      <c r="A27" s="174"/>
      <c r="B27" s="10" t="s">
        <v>27</v>
      </c>
      <c r="C27" s="107">
        <v>216.39</v>
      </c>
      <c r="D27" s="21">
        <v>228.75</v>
      </c>
      <c r="E27" s="21">
        <v>238.01</v>
      </c>
      <c r="F27" s="21">
        <v>244.88</v>
      </c>
      <c r="G27" s="21">
        <v>249.13</v>
      </c>
      <c r="H27" s="21">
        <v>252.85</v>
      </c>
      <c r="I27" s="21">
        <v>0.75</v>
      </c>
      <c r="J27" s="22">
        <v>2.73</v>
      </c>
      <c r="K27" s="22">
        <v>4.74</v>
      </c>
      <c r="L27" s="21">
        <v>7.5</v>
      </c>
      <c r="M27" s="21"/>
      <c r="N27" s="21">
        <v>11.69</v>
      </c>
      <c r="O27" s="21">
        <v>19.399999999999999</v>
      </c>
      <c r="P27" s="21">
        <v>30.68</v>
      </c>
      <c r="Q27" s="9"/>
      <c r="R27" s="9">
        <f>(P27-M32+M31-C27)*3.6</f>
        <v>245.05199999999999</v>
      </c>
      <c r="S27" t="s">
        <v>177</v>
      </c>
    </row>
    <row r="28" spans="1:32" ht="15.75" thickBot="1">
      <c r="A28" s="173"/>
      <c r="B28" s="31" t="s">
        <v>28</v>
      </c>
      <c r="C28" s="108">
        <v>13941</v>
      </c>
      <c r="D28" s="24">
        <v>14909</v>
      </c>
      <c r="E28" s="24">
        <v>15538</v>
      </c>
      <c r="F28" s="24">
        <v>16064</v>
      </c>
      <c r="G28" s="24">
        <v>16392</v>
      </c>
      <c r="H28" s="24">
        <v>16879</v>
      </c>
      <c r="I28" s="24">
        <v>181</v>
      </c>
      <c r="J28" s="24">
        <v>670</v>
      </c>
      <c r="K28" s="24">
        <v>1168</v>
      </c>
      <c r="L28" s="24">
        <v>1654</v>
      </c>
      <c r="M28" s="24"/>
      <c r="N28" s="24">
        <v>1989</v>
      </c>
      <c r="O28" s="24">
        <v>2319</v>
      </c>
      <c r="P28" s="24">
        <v>2747</v>
      </c>
      <c r="Q28" s="9"/>
    </row>
    <row r="29" spans="1:32" ht="15.75" thickBot="1">
      <c r="A29" s="175" t="str">
        <f>'1850'!A29</f>
        <v>fakturační vodoměr č.         110109308</v>
      </c>
      <c r="B29" s="25"/>
      <c r="C29" s="109">
        <f>'1850'!C29</f>
        <v>12400</v>
      </c>
      <c r="D29" s="109">
        <f>'1850'!D29</f>
        <v>12741.6</v>
      </c>
      <c r="E29" s="109">
        <f>'1850'!E29</f>
        <v>4358.2</v>
      </c>
      <c r="F29" s="109">
        <f>'1850'!F29</f>
        <v>4677.5</v>
      </c>
      <c r="G29" s="109">
        <f>'1850'!G29</f>
        <v>5038.2</v>
      </c>
      <c r="H29" s="109">
        <f>'1850'!H29</f>
        <v>5389.7</v>
      </c>
      <c r="I29" s="109">
        <f>'1850'!I29</f>
        <v>5691.3</v>
      </c>
      <c r="J29" s="109">
        <f>'1850'!J29</f>
        <v>6012.6</v>
      </c>
      <c r="K29" s="109">
        <f>'1850'!K29</f>
        <v>6313.8</v>
      </c>
      <c r="L29" s="109">
        <f>'1850'!L29</f>
        <v>6605.1</v>
      </c>
      <c r="M29" s="109"/>
      <c r="N29" s="109">
        <f>'1850'!N29</f>
        <v>6922.5</v>
      </c>
      <c r="O29" s="109">
        <f>'1850'!O29</f>
        <v>7232.3</v>
      </c>
      <c r="P29" s="109">
        <f>'1850'!R29</f>
        <v>7593.2</v>
      </c>
      <c r="Q29" s="9">
        <f>'1850'!S29</f>
        <v>3894.2000000000007</v>
      </c>
    </row>
    <row r="31" spans="1:32">
      <c r="A31" s="176"/>
      <c r="D31" s="28" t="s">
        <v>29</v>
      </c>
      <c r="F31" s="29"/>
      <c r="H31" s="208" t="s">
        <v>221</v>
      </c>
      <c r="I31" s="209"/>
      <c r="J31" s="209"/>
      <c r="K31" s="208"/>
      <c r="L31" s="210" t="s">
        <v>219</v>
      </c>
      <c r="M31" s="211">
        <v>253.78</v>
      </c>
      <c r="N31" s="208" t="s">
        <v>220</v>
      </c>
      <c r="O31" s="90"/>
    </row>
    <row r="32" spans="1:32">
      <c r="B32" t="s">
        <v>205</v>
      </c>
      <c r="C32">
        <v>110109308</v>
      </c>
      <c r="D32" s="177" t="s">
        <v>203</v>
      </c>
      <c r="E32">
        <v>12875</v>
      </c>
      <c r="H32" s="213" t="s">
        <v>222</v>
      </c>
      <c r="I32" s="209"/>
      <c r="J32" s="209"/>
      <c r="K32" s="208"/>
      <c r="L32" s="210" t="s">
        <v>219</v>
      </c>
      <c r="M32" s="211">
        <v>0</v>
      </c>
      <c r="N32" s="208" t="s">
        <v>220</v>
      </c>
    </row>
    <row r="33" spans="2:11">
      <c r="B33" s="159" t="s">
        <v>206</v>
      </c>
      <c r="C33" s="159">
        <v>63796</v>
      </c>
      <c r="D33" s="205" t="s">
        <v>204</v>
      </c>
      <c r="E33" s="159">
        <v>4174</v>
      </c>
      <c r="H33" s="217" t="s">
        <v>227</v>
      </c>
      <c r="I33" s="218"/>
      <c r="J33" s="219"/>
      <c r="K33" s="218"/>
    </row>
    <row r="34" spans="2:11">
      <c r="H34" t="s">
        <v>318</v>
      </c>
    </row>
  </sheetData>
  <sheetProtection selectLockedCells="1" selectUnlockedCells="1"/>
  <mergeCells count="10"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H4">
    <cfRule type="cellIs" dxfId="4279" priority="1" stopIfTrue="1" operator="lessThan">
      <formula>'1852'!$G$4</formula>
    </cfRule>
    <cfRule type="cellIs" dxfId="4278" priority="2" stopIfTrue="1" operator="equal">
      <formula>'1852'!$G$4</formula>
    </cfRule>
  </conditionalFormatting>
  <conditionalFormatting sqref="G7">
    <cfRule type="cellIs" dxfId="4277" priority="3" stopIfTrue="1" operator="equal">
      <formula>'1852'!$F$7</formula>
    </cfRule>
    <cfRule type="cellIs" dxfId="4276" priority="4" stopIfTrue="1" operator="lessThan">
      <formula>'1852'!$F$7</formula>
    </cfRule>
  </conditionalFormatting>
  <conditionalFormatting sqref="H5">
    <cfRule type="cellIs" dxfId="4275" priority="5" stopIfTrue="1" operator="equal">
      <formula>'1852'!$G$5</formula>
    </cfRule>
    <cfRule type="cellIs" dxfId="4274" priority="6" stopIfTrue="1" operator="lessThan">
      <formula>'1852'!$G$5</formula>
    </cfRule>
  </conditionalFormatting>
  <conditionalFormatting sqref="I5">
    <cfRule type="cellIs" dxfId="4273" priority="7" stopIfTrue="1" operator="equal">
      <formula>'1852'!$H$5</formula>
    </cfRule>
    <cfRule type="cellIs" dxfId="4272" priority="8" stopIfTrue="1" operator="lessThan">
      <formula>'1852'!$H$5</formula>
    </cfRule>
  </conditionalFormatting>
  <conditionalFormatting sqref="J5">
    <cfRule type="cellIs" dxfId="4271" priority="9" stopIfTrue="1" operator="equal">
      <formula>'1852'!$I$5</formula>
    </cfRule>
    <cfRule type="cellIs" dxfId="4270" priority="10" stopIfTrue="1" operator="lessThan">
      <formula>'1852'!$I$5</formula>
    </cfRule>
  </conditionalFormatting>
  <conditionalFormatting sqref="F4">
    <cfRule type="cellIs" dxfId="4269" priority="11" stopIfTrue="1" operator="equal">
      <formula>'1852'!$E$4</formula>
    </cfRule>
    <cfRule type="cellIs" dxfId="4268" priority="12" stopIfTrue="1" operator="lessThan">
      <formula>'1852'!$E$4</formula>
    </cfRule>
  </conditionalFormatting>
  <conditionalFormatting sqref="D4">
    <cfRule type="cellIs" dxfId="4267" priority="13" stopIfTrue="1" operator="lessThan">
      <formula>'1852'!$C$4</formula>
    </cfRule>
    <cfRule type="cellIs" dxfId="4266" priority="14" stopIfTrue="1" operator="equal">
      <formula>'1852'!$C$4</formula>
    </cfRule>
  </conditionalFormatting>
  <conditionalFormatting sqref="E4">
    <cfRule type="cellIs" dxfId="4265" priority="15" stopIfTrue="1" operator="equal">
      <formula>'1852'!$D$4</formula>
    </cfRule>
    <cfRule type="cellIs" dxfId="4264" priority="16" stopIfTrue="1" operator="lessThan">
      <formula>'1852'!$D$4</formula>
    </cfRule>
  </conditionalFormatting>
  <conditionalFormatting sqref="D5">
    <cfRule type="cellIs" dxfId="4263" priority="17" stopIfTrue="1" operator="equal">
      <formula>'1852'!$C$5</formula>
    </cfRule>
    <cfRule type="cellIs" dxfId="4262" priority="18" stopIfTrue="1" operator="lessThan">
      <formula>'1852'!$C$5</formula>
    </cfRule>
  </conditionalFormatting>
  <conditionalFormatting sqref="F5">
    <cfRule type="cellIs" dxfId="4261" priority="19" stopIfTrue="1" operator="equal">
      <formula>'1852'!$E$5</formula>
    </cfRule>
    <cfRule type="cellIs" dxfId="4260" priority="20" stopIfTrue="1" operator="lessThan">
      <formula>'1852'!$E$5</formula>
    </cfRule>
  </conditionalFormatting>
  <conditionalFormatting sqref="I4">
    <cfRule type="cellIs" dxfId="4259" priority="21" stopIfTrue="1" operator="equal">
      <formula>'1852'!$H$4</formula>
    </cfRule>
  </conditionalFormatting>
  <conditionalFormatting sqref="J4">
    <cfRule type="cellIs" dxfId="4258" priority="22" stopIfTrue="1" operator="lessThan">
      <formula>'1852'!$I$4</formula>
    </cfRule>
    <cfRule type="cellIs" dxfId="4257" priority="23" stopIfTrue="1" operator="equal">
      <formula>'1852'!$I$4</formula>
    </cfRule>
  </conditionalFormatting>
  <conditionalFormatting sqref="D6">
    <cfRule type="cellIs" dxfId="4256" priority="24" stopIfTrue="1" operator="equal">
      <formula>'1852'!$C$6</formula>
    </cfRule>
    <cfRule type="cellIs" dxfId="4255" priority="25" stopIfTrue="1" operator="lessThan">
      <formula>'1852'!$C$6</formula>
    </cfRule>
  </conditionalFormatting>
  <conditionalFormatting sqref="E6">
    <cfRule type="cellIs" dxfId="4254" priority="26" stopIfTrue="1" operator="equal">
      <formula>'1852'!$D$6</formula>
    </cfRule>
    <cfRule type="cellIs" dxfId="4253" priority="27" stopIfTrue="1" operator="lessThan">
      <formula>'1852'!$D$6</formula>
    </cfRule>
  </conditionalFormatting>
  <conditionalFormatting sqref="F6">
    <cfRule type="cellIs" dxfId="4252" priority="28" stopIfTrue="1" operator="equal">
      <formula>'1852'!$E$6</formula>
    </cfRule>
    <cfRule type="cellIs" dxfId="4251" priority="29" stopIfTrue="1" operator="lessThan">
      <formula>'1852'!$E$6</formula>
    </cfRule>
  </conditionalFormatting>
  <conditionalFormatting sqref="G6">
    <cfRule type="cellIs" dxfId="4250" priority="30" stopIfTrue="1" operator="equal">
      <formula>'1852'!$F$6</formula>
    </cfRule>
    <cfRule type="cellIs" dxfId="4249" priority="31" stopIfTrue="1" operator="lessThan">
      <formula>'1852'!$F$6</formula>
    </cfRule>
  </conditionalFormatting>
  <conditionalFormatting sqref="H6">
    <cfRule type="cellIs" dxfId="4248" priority="32" stopIfTrue="1" operator="equal">
      <formula>'1852'!$G$6</formula>
    </cfRule>
    <cfRule type="cellIs" dxfId="4247" priority="33" stopIfTrue="1" operator="lessThan">
      <formula>'1852'!$G$6</formula>
    </cfRule>
  </conditionalFormatting>
  <conditionalFormatting sqref="I6">
    <cfRule type="cellIs" dxfId="4246" priority="34" stopIfTrue="1" operator="equal">
      <formula>'1852'!$H$6</formula>
    </cfRule>
    <cfRule type="cellIs" dxfId="4245" priority="35" stopIfTrue="1" operator="lessThan">
      <formula>'1852'!$H$6</formula>
    </cfRule>
  </conditionalFormatting>
  <conditionalFormatting sqref="J6">
    <cfRule type="cellIs" dxfId="4244" priority="36" stopIfTrue="1" operator="equal">
      <formula>'1852'!$I$6</formula>
    </cfRule>
    <cfRule type="cellIs" dxfId="4243" priority="37" stopIfTrue="1" operator="lessThan">
      <formula>'1852'!$I$6</formula>
    </cfRule>
  </conditionalFormatting>
  <conditionalFormatting sqref="D7">
    <cfRule type="cellIs" dxfId="4242" priority="38" stopIfTrue="1" operator="equal">
      <formula>'1852'!$C$7</formula>
    </cfRule>
    <cfRule type="cellIs" dxfId="4241" priority="39" stopIfTrue="1" operator="lessThan">
      <formula>'1852'!$C$7</formula>
    </cfRule>
  </conditionalFormatting>
  <conditionalFormatting sqref="E7">
    <cfRule type="cellIs" dxfId="4240" priority="40" stopIfTrue="1" operator="equal">
      <formula>'1852'!$D$7</formula>
    </cfRule>
    <cfRule type="cellIs" dxfId="4239" priority="41" stopIfTrue="1" operator="lessThan">
      <formula>'1852'!$D$7</formula>
    </cfRule>
  </conditionalFormatting>
  <conditionalFormatting sqref="F7">
    <cfRule type="cellIs" dxfId="4238" priority="42" stopIfTrue="1" operator="equal">
      <formula>'1852'!$E$7</formula>
    </cfRule>
    <cfRule type="cellIs" dxfId="4237" priority="43" stopIfTrue="1" operator="lessThan">
      <formula>'1852'!$E$7</formula>
    </cfRule>
  </conditionalFormatting>
  <conditionalFormatting sqref="H7">
    <cfRule type="cellIs" dxfId="4236" priority="44" stopIfTrue="1" operator="equal">
      <formula>'1852'!$G$7</formula>
    </cfRule>
    <cfRule type="cellIs" dxfId="4235" priority="45" stopIfTrue="1" operator="lessThan">
      <formula>'1852'!$G$7</formula>
    </cfRule>
  </conditionalFormatting>
  <conditionalFormatting sqref="I7">
    <cfRule type="cellIs" dxfId="4234" priority="46" stopIfTrue="1" operator="equal">
      <formula>'1852'!$H$7</formula>
    </cfRule>
    <cfRule type="cellIs" dxfId="4233" priority="47" stopIfTrue="1" operator="lessThan">
      <formula>'1852'!$H$7</formula>
    </cfRule>
  </conditionalFormatting>
  <conditionalFormatting sqref="J7">
    <cfRule type="cellIs" dxfId="4232" priority="48" stopIfTrue="1" operator="equal">
      <formula>'1852'!$I$7</formula>
    </cfRule>
    <cfRule type="cellIs" dxfId="4231" priority="49" stopIfTrue="1" operator="lessThan">
      <formula>'1852'!$I$7</formula>
    </cfRule>
  </conditionalFormatting>
  <conditionalFormatting sqref="D8">
    <cfRule type="cellIs" dxfId="4230" priority="50" stopIfTrue="1" operator="equal">
      <formula>'1852'!$C$8</formula>
    </cfRule>
    <cfRule type="cellIs" dxfId="4229" priority="51" stopIfTrue="1" operator="lessThan">
      <formula>'1852'!$C$8</formula>
    </cfRule>
  </conditionalFormatting>
  <conditionalFormatting sqref="E8">
    <cfRule type="cellIs" dxfId="4228" priority="52" stopIfTrue="1" operator="equal">
      <formula>'1852'!$D$8</formula>
    </cfRule>
    <cfRule type="cellIs" dxfId="4227" priority="53" stopIfTrue="1" operator="lessThan">
      <formula>'1852'!$D$8</formula>
    </cfRule>
  </conditionalFormatting>
  <conditionalFormatting sqref="F8">
    <cfRule type="cellIs" dxfId="4226" priority="54" stopIfTrue="1" operator="equal">
      <formula>'1852'!$E$8</formula>
    </cfRule>
    <cfRule type="cellIs" dxfId="4225" priority="55" stopIfTrue="1" operator="lessThan">
      <formula>'1852'!$E$8</formula>
    </cfRule>
  </conditionalFormatting>
  <conditionalFormatting sqref="G8">
    <cfRule type="cellIs" dxfId="4224" priority="56" stopIfTrue="1" operator="equal">
      <formula>'1852'!$F$8</formula>
    </cfRule>
    <cfRule type="cellIs" dxfId="4223" priority="57" stopIfTrue="1" operator="lessThan">
      <formula>'1852'!$F$8</formula>
    </cfRule>
  </conditionalFormatting>
  <conditionalFormatting sqref="H8">
    <cfRule type="cellIs" dxfId="4222" priority="58" stopIfTrue="1" operator="equal">
      <formula>'1852'!$G$8</formula>
    </cfRule>
    <cfRule type="cellIs" dxfId="4221" priority="59" stopIfTrue="1" operator="lessThan">
      <formula>'1852'!$G$8</formula>
    </cfRule>
  </conditionalFormatting>
  <conditionalFormatting sqref="I8">
    <cfRule type="cellIs" dxfId="4220" priority="60" stopIfTrue="1" operator="equal">
      <formula>'1852'!$H$8</formula>
    </cfRule>
    <cfRule type="cellIs" dxfId="4219" priority="61" stopIfTrue="1" operator="lessThan">
      <formula>'1852'!$H$8</formula>
    </cfRule>
  </conditionalFormatting>
  <conditionalFormatting sqref="J8">
    <cfRule type="cellIs" dxfId="4218" priority="62" stopIfTrue="1" operator="equal">
      <formula>'1852'!$I$8</formula>
    </cfRule>
    <cfRule type="cellIs" dxfId="4217" priority="63" stopIfTrue="1" operator="lessThan">
      <formula>'1852'!$I$8</formula>
    </cfRule>
  </conditionalFormatting>
  <conditionalFormatting sqref="D9">
    <cfRule type="cellIs" dxfId="4216" priority="64" stopIfTrue="1" operator="equal">
      <formula>'1852'!$C$9</formula>
    </cfRule>
    <cfRule type="cellIs" dxfId="4215" priority="65" stopIfTrue="1" operator="lessThan">
      <formula>'1852'!$C$9</formula>
    </cfRule>
  </conditionalFormatting>
  <conditionalFormatting sqref="E9">
    <cfRule type="cellIs" dxfId="4214" priority="66" stopIfTrue="1" operator="equal">
      <formula>'1852'!$D$9</formula>
    </cfRule>
    <cfRule type="cellIs" dxfId="4213" priority="67" stopIfTrue="1" operator="lessThan">
      <formula>'1852'!$D$9</formula>
    </cfRule>
  </conditionalFormatting>
  <conditionalFormatting sqref="F9">
    <cfRule type="cellIs" dxfId="4212" priority="68" stopIfTrue="1" operator="equal">
      <formula>'1852'!$E$9</formula>
    </cfRule>
    <cfRule type="cellIs" dxfId="4211" priority="69" stopIfTrue="1" operator="lessThan">
      <formula>'1852'!$E$9</formula>
    </cfRule>
  </conditionalFormatting>
  <conditionalFormatting sqref="G9">
    <cfRule type="cellIs" dxfId="4210" priority="70" stopIfTrue="1" operator="equal">
      <formula>'1852'!$F$9</formula>
    </cfRule>
    <cfRule type="cellIs" dxfId="4209" priority="71" stopIfTrue="1" operator="lessThan">
      <formula>'1852'!$F$9</formula>
    </cfRule>
  </conditionalFormatting>
  <conditionalFormatting sqref="H9">
    <cfRule type="cellIs" dxfId="4208" priority="72" stopIfTrue="1" operator="equal">
      <formula>'1852'!$G$9</formula>
    </cfRule>
    <cfRule type="cellIs" dxfId="4207" priority="73" stopIfTrue="1" operator="lessThan">
      <formula>'1852'!$G$9</formula>
    </cfRule>
  </conditionalFormatting>
  <conditionalFormatting sqref="I9">
    <cfRule type="cellIs" dxfId="4206" priority="74" stopIfTrue="1" operator="equal">
      <formula>'1852'!$H$9</formula>
    </cfRule>
    <cfRule type="cellIs" dxfId="4205" priority="75" stopIfTrue="1" operator="lessThan">
      <formula>'1852'!$H$9</formula>
    </cfRule>
  </conditionalFormatting>
  <conditionalFormatting sqref="J9">
    <cfRule type="cellIs" dxfId="4204" priority="76" stopIfTrue="1" operator="equal">
      <formula>'1852'!$I$9</formula>
    </cfRule>
    <cfRule type="cellIs" dxfId="4203" priority="77" stopIfTrue="1" operator="lessThan">
      <formula>'1852'!$I$9</formula>
    </cfRule>
  </conditionalFormatting>
  <conditionalFormatting sqref="D10">
    <cfRule type="cellIs" dxfId="4202" priority="78" stopIfTrue="1" operator="equal">
      <formula>'1852'!$C$10</formula>
    </cfRule>
    <cfRule type="cellIs" dxfId="4201" priority="79" stopIfTrue="1" operator="lessThan">
      <formula>'1852'!$C$10</formula>
    </cfRule>
  </conditionalFormatting>
  <conditionalFormatting sqref="E10">
    <cfRule type="cellIs" dxfId="4200" priority="80" stopIfTrue="1" operator="equal">
      <formula>'1852'!$D$10</formula>
    </cfRule>
    <cfRule type="cellIs" dxfId="4199" priority="81" stopIfTrue="1" operator="lessThan">
      <formula>'1852'!$D$10</formula>
    </cfRule>
  </conditionalFormatting>
  <conditionalFormatting sqref="F10">
    <cfRule type="cellIs" dxfId="4198" priority="82" stopIfTrue="1" operator="equal">
      <formula>'1852'!$E$10</formula>
    </cfRule>
    <cfRule type="cellIs" dxfId="4197" priority="83" stopIfTrue="1" operator="lessThan">
      <formula>'1852'!$E$10</formula>
    </cfRule>
  </conditionalFormatting>
  <conditionalFormatting sqref="G10">
    <cfRule type="cellIs" dxfId="4196" priority="84" stopIfTrue="1" operator="equal">
      <formula>'1852'!$F$10</formula>
    </cfRule>
    <cfRule type="cellIs" dxfId="4195" priority="85" stopIfTrue="1" operator="lessThan">
      <formula>'1852'!$F$10</formula>
    </cfRule>
  </conditionalFormatting>
  <conditionalFormatting sqref="H10">
    <cfRule type="cellIs" dxfId="4194" priority="86" stopIfTrue="1" operator="equal">
      <formula>'1852'!$G$10</formula>
    </cfRule>
    <cfRule type="cellIs" dxfId="4193" priority="87" stopIfTrue="1" operator="lessThan">
      <formula>'1852'!$G$10</formula>
    </cfRule>
  </conditionalFormatting>
  <conditionalFormatting sqref="I10">
    <cfRule type="cellIs" dxfId="4192" priority="88" stopIfTrue="1" operator="equal">
      <formula>'1852'!$H$10</formula>
    </cfRule>
    <cfRule type="cellIs" dxfId="4191" priority="89" stopIfTrue="1" operator="lessThan">
      <formula>'1852'!$H$10</formula>
    </cfRule>
  </conditionalFormatting>
  <conditionalFormatting sqref="J10">
    <cfRule type="cellIs" dxfId="4190" priority="90" stopIfTrue="1" operator="equal">
      <formula>'1852'!$I$10</formula>
    </cfRule>
    <cfRule type="cellIs" dxfId="4189" priority="91" stopIfTrue="1" operator="lessThan">
      <formula>'1852'!$I$10</formula>
    </cfRule>
  </conditionalFormatting>
  <conditionalFormatting sqref="D11">
    <cfRule type="cellIs" dxfId="4188" priority="92" stopIfTrue="1" operator="equal">
      <formula>'1852'!$C$11</formula>
    </cfRule>
    <cfRule type="cellIs" dxfId="4187" priority="93" stopIfTrue="1" operator="lessThan">
      <formula>'1852'!$C$11</formula>
    </cfRule>
  </conditionalFormatting>
  <conditionalFormatting sqref="E11">
    <cfRule type="cellIs" dxfId="4186" priority="94" stopIfTrue="1" operator="equal">
      <formula>'1852'!$D$11</formula>
    </cfRule>
    <cfRule type="cellIs" dxfId="4185" priority="95" stopIfTrue="1" operator="lessThan">
      <formula>'1852'!$D$11</formula>
    </cfRule>
  </conditionalFormatting>
  <conditionalFormatting sqref="F11">
    <cfRule type="cellIs" dxfId="4184" priority="96" stopIfTrue="1" operator="equal">
      <formula>'1852'!$E$11</formula>
    </cfRule>
    <cfRule type="cellIs" dxfId="4183" priority="97" stopIfTrue="1" operator="lessThan">
      <formula>'1852'!$E$11</formula>
    </cfRule>
  </conditionalFormatting>
  <conditionalFormatting sqref="G11">
    <cfRule type="cellIs" dxfId="4182" priority="98" stopIfTrue="1" operator="equal">
      <formula>'1852'!$F$11</formula>
    </cfRule>
    <cfRule type="cellIs" dxfId="4181" priority="99" stopIfTrue="1" operator="lessThan">
      <formula>'1852'!$F$11</formula>
    </cfRule>
  </conditionalFormatting>
  <conditionalFormatting sqref="H11">
    <cfRule type="cellIs" dxfId="4180" priority="100" stopIfTrue="1" operator="equal">
      <formula>'1852'!$G$11</formula>
    </cfRule>
    <cfRule type="cellIs" dxfId="4179" priority="101" stopIfTrue="1" operator="lessThan">
      <formula>'1852'!$G$11</formula>
    </cfRule>
  </conditionalFormatting>
  <conditionalFormatting sqref="I11">
    <cfRule type="cellIs" dxfId="4178" priority="102" stopIfTrue="1" operator="equal">
      <formula>'1852'!$H$11</formula>
    </cfRule>
    <cfRule type="cellIs" dxfId="4177" priority="103" stopIfTrue="1" operator="lessThan">
      <formula>'1852'!$H$11</formula>
    </cfRule>
  </conditionalFormatting>
  <conditionalFormatting sqref="J11">
    <cfRule type="cellIs" dxfId="4176" priority="104" stopIfTrue="1" operator="equal">
      <formula>'1852'!$I$11</formula>
    </cfRule>
    <cfRule type="cellIs" dxfId="4175" priority="105" stopIfTrue="1" operator="lessThan">
      <formula>'1852'!$I$11</formula>
    </cfRule>
  </conditionalFormatting>
  <conditionalFormatting sqref="D12">
    <cfRule type="cellIs" dxfId="4174" priority="106" stopIfTrue="1" operator="equal">
      <formula>'1852'!$C$12</formula>
    </cfRule>
    <cfRule type="cellIs" dxfId="4173" priority="107" stopIfTrue="1" operator="lessThan">
      <formula>'1852'!$C$12</formula>
    </cfRule>
  </conditionalFormatting>
  <conditionalFormatting sqref="E12">
    <cfRule type="cellIs" dxfId="4172" priority="108" stopIfTrue="1" operator="equal">
      <formula>'1852'!$D$12</formula>
    </cfRule>
    <cfRule type="cellIs" dxfId="4171" priority="109" stopIfTrue="1" operator="lessThan">
      <formula>'1852'!$D$12</formula>
    </cfRule>
  </conditionalFormatting>
  <conditionalFormatting sqref="F12">
    <cfRule type="cellIs" dxfId="4170" priority="110" stopIfTrue="1" operator="equal">
      <formula>'1852'!$E$12</formula>
    </cfRule>
    <cfRule type="cellIs" dxfId="4169" priority="111" stopIfTrue="1" operator="lessThan">
      <formula>'1852'!$E$12</formula>
    </cfRule>
  </conditionalFormatting>
  <conditionalFormatting sqref="G12">
    <cfRule type="cellIs" dxfId="4168" priority="112" stopIfTrue="1" operator="equal">
      <formula>'1852'!$F$12</formula>
    </cfRule>
    <cfRule type="cellIs" dxfId="4167" priority="113" stopIfTrue="1" operator="lessThan">
      <formula>'1852'!$F$12</formula>
    </cfRule>
  </conditionalFormatting>
  <conditionalFormatting sqref="H12">
    <cfRule type="cellIs" dxfId="4166" priority="114" stopIfTrue="1" operator="equal">
      <formula>'1852'!$G$12</formula>
    </cfRule>
    <cfRule type="cellIs" dxfId="4165" priority="115" stopIfTrue="1" operator="lessThan">
      <formula>'1852'!$G$12</formula>
    </cfRule>
  </conditionalFormatting>
  <conditionalFormatting sqref="I12">
    <cfRule type="cellIs" dxfId="4164" priority="116" stopIfTrue="1" operator="equal">
      <formula>'1852'!$H$12</formula>
    </cfRule>
    <cfRule type="cellIs" dxfId="4163" priority="117" stopIfTrue="1" operator="lessThan">
      <formula>'1852'!$H$12</formula>
    </cfRule>
  </conditionalFormatting>
  <conditionalFormatting sqref="J12">
    <cfRule type="cellIs" dxfId="4162" priority="118" stopIfTrue="1" operator="equal">
      <formula>'1852'!$I$12</formula>
    </cfRule>
    <cfRule type="cellIs" dxfId="4161" priority="119" stopIfTrue="1" operator="lessThan">
      <formula>'1852'!$I$12</formula>
    </cfRule>
  </conditionalFormatting>
  <conditionalFormatting sqref="D14">
    <cfRule type="cellIs" dxfId="4160" priority="120" stopIfTrue="1" operator="equal">
      <formula>'1852'!$C$14</formula>
    </cfRule>
    <cfRule type="cellIs" dxfId="4159" priority="121" stopIfTrue="1" operator="lessThan">
      <formula>'1852'!$C$14</formula>
    </cfRule>
  </conditionalFormatting>
  <conditionalFormatting sqref="D15">
    <cfRule type="cellIs" dxfId="4158" priority="122" stopIfTrue="1" operator="equal">
      <formula>'1852'!$C$15</formula>
    </cfRule>
    <cfRule type="cellIs" dxfId="4157" priority="123" stopIfTrue="1" operator="lessThan">
      <formula>'1852'!$C$15</formula>
    </cfRule>
  </conditionalFormatting>
  <conditionalFormatting sqref="D16">
    <cfRule type="cellIs" dxfId="4156" priority="124" stopIfTrue="1" operator="equal">
      <formula>'1852'!$C$16</formula>
    </cfRule>
    <cfRule type="cellIs" dxfId="4155" priority="125" stopIfTrue="1" operator="lessThan">
      <formula>'1852'!$C$16</formula>
    </cfRule>
  </conditionalFormatting>
  <conditionalFormatting sqref="D17">
    <cfRule type="cellIs" dxfId="4154" priority="126" stopIfTrue="1" operator="equal">
      <formula>'1852'!$C$17</formula>
    </cfRule>
    <cfRule type="cellIs" dxfId="4153" priority="127" stopIfTrue="1" operator="lessThan">
      <formula>'1852'!$C$17</formula>
    </cfRule>
  </conditionalFormatting>
  <conditionalFormatting sqref="D18">
    <cfRule type="cellIs" dxfId="4152" priority="128" stopIfTrue="1" operator="equal">
      <formula>'1852'!$C$18</formula>
    </cfRule>
    <cfRule type="cellIs" dxfId="4151" priority="129" stopIfTrue="1" operator="lessThan">
      <formula>'1852'!$C$18</formula>
    </cfRule>
  </conditionalFormatting>
  <conditionalFormatting sqref="D19">
    <cfRule type="cellIs" dxfId="4150" priority="130" stopIfTrue="1" operator="equal">
      <formula>'1852'!$C$19</formula>
    </cfRule>
    <cfRule type="cellIs" dxfId="4149" priority="131" stopIfTrue="1" operator="lessThan">
      <formula>'1852'!$C$19</formula>
    </cfRule>
  </conditionalFormatting>
  <conditionalFormatting sqref="D20">
    <cfRule type="cellIs" dxfId="4148" priority="132" stopIfTrue="1" operator="equal">
      <formula>'1852'!$C$20</formula>
    </cfRule>
    <cfRule type="cellIs" dxfId="4147" priority="133" stopIfTrue="1" operator="lessThan">
      <formula>'1852'!$C$20</formula>
    </cfRule>
  </conditionalFormatting>
  <conditionalFormatting sqref="D21">
    <cfRule type="cellIs" dxfId="4146" priority="134" stopIfTrue="1" operator="equal">
      <formula>'1852'!$C$21</formula>
    </cfRule>
    <cfRule type="cellIs" dxfId="4145" priority="135" stopIfTrue="1" operator="lessThan">
      <formula>'1852'!$C$21</formula>
    </cfRule>
  </conditionalFormatting>
  <conditionalFormatting sqref="D22">
    <cfRule type="cellIs" dxfId="4144" priority="136" stopIfTrue="1" operator="equal">
      <formula>'1852'!$C$22</formula>
    </cfRule>
    <cfRule type="cellIs" dxfId="4143" priority="137" stopIfTrue="1" operator="lessThan">
      <formula>'1852'!$C$22</formula>
    </cfRule>
  </conditionalFormatting>
  <conditionalFormatting sqref="D23">
    <cfRule type="cellIs" dxfId="4142" priority="138" stopIfTrue="1" operator="equal">
      <formula>'1852'!$C$23</formula>
    </cfRule>
    <cfRule type="cellIs" dxfId="4141" priority="139" stopIfTrue="1" operator="lessThan">
      <formula>'1852'!$C$23</formula>
    </cfRule>
  </conditionalFormatting>
  <conditionalFormatting sqref="D25">
    <cfRule type="cellIs" dxfId="4140" priority="140" stopIfTrue="1" operator="equal">
      <formula>'1852'!$C$25</formula>
    </cfRule>
    <cfRule type="cellIs" dxfId="4139" priority="141" stopIfTrue="1" operator="lessThan">
      <formula>'1852'!$C$25</formula>
    </cfRule>
  </conditionalFormatting>
  <conditionalFormatting sqref="D26">
    <cfRule type="cellIs" dxfId="4138" priority="142" stopIfTrue="1" operator="equal">
      <formula>'1852'!$C$26</formula>
    </cfRule>
    <cfRule type="cellIs" dxfId="4137" priority="143" stopIfTrue="1" operator="lessThan">
      <formula>'1852'!$C$26</formula>
    </cfRule>
  </conditionalFormatting>
  <conditionalFormatting sqref="D27">
    <cfRule type="cellIs" dxfId="4136" priority="144" stopIfTrue="1" operator="equal">
      <formula>'1852'!$C$27</formula>
    </cfRule>
    <cfRule type="cellIs" dxfId="4135" priority="145" stopIfTrue="1" operator="lessThan">
      <formula>'1852'!$C$27</formula>
    </cfRule>
  </conditionalFormatting>
  <conditionalFormatting sqref="D28">
    <cfRule type="cellIs" dxfId="4134" priority="146" stopIfTrue="1" operator="equal">
      <formula>'1852'!$C$28</formula>
    </cfRule>
    <cfRule type="cellIs" dxfId="4133" priority="147" stopIfTrue="1" operator="lessThan">
      <formula>'1852'!$C$28</formula>
    </cfRule>
  </conditionalFormatting>
  <conditionalFormatting sqref="E13">
    <cfRule type="cellIs" dxfId="4132" priority="148" stopIfTrue="1" operator="equal">
      <formula>'1852'!$D$13</formula>
    </cfRule>
    <cfRule type="cellIs" dxfId="4131" priority="149" stopIfTrue="1" operator="lessThan">
      <formula>'1852'!$D$13</formula>
    </cfRule>
  </conditionalFormatting>
  <conditionalFormatting sqref="E14">
    <cfRule type="cellIs" dxfId="4130" priority="150" stopIfTrue="1" operator="equal">
      <formula>'1852'!$D$14</formula>
    </cfRule>
    <cfRule type="cellIs" dxfId="4129" priority="151" stopIfTrue="1" operator="lessThan">
      <formula>'1852'!$D$14</formula>
    </cfRule>
  </conditionalFormatting>
  <conditionalFormatting sqref="E15">
    <cfRule type="cellIs" dxfId="4128" priority="152" stopIfTrue="1" operator="equal">
      <formula>'1852'!$D$15</formula>
    </cfRule>
    <cfRule type="cellIs" dxfId="4127" priority="153" stopIfTrue="1" operator="lessThan">
      <formula>'1852'!$D$15</formula>
    </cfRule>
  </conditionalFormatting>
  <conditionalFormatting sqref="E16">
    <cfRule type="cellIs" dxfId="4126" priority="154" stopIfTrue="1" operator="equal">
      <formula>'1852'!$D$16</formula>
    </cfRule>
    <cfRule type="cellIs" dxfId="4125" priority="155" stopIfTrue="1" operator="lessThan">
      <formula>'1852'!$D$16</formula>
    </cfRule>
  </conditionalFormatting>
  <conditionalFormatting sqref="E17">
    <cfRule type="cellIs" dxfId="4124" priority="156" stopIfTrue="1" operator="equal">
      <formula>'1852'!$D$17</formula>
    </cfRule>
    <cfRule type="cellIs" dxfId="4123" priority="157" stopIfTrue="1" operator="lessThan">
      <formula>'1852'!$D$17</formula>
    </cfRule>
  </conditionalFormatting>
  <conditionalFormatting sqref="E18">
    <cfRule type="cellIs" dxfId="4122" priority="158" stopIfTrue="1" operator="equal">
      <formula>'1852'!$D$18</formula>
    </cfRule>
    <cfRule type="cellIs" dxfId="4121" priority="159" stopIfTrue="1" operator="lessThan">
      <formula>'1852'!$D$18</formula>
    </cfRule>
  </conditionalFormatting>
  <conditionalFormatting sqref="E19">
    <cfRule type="cellIs" dxfId="4120" priority="160" stopIfTrue="1" operator="equal">
      <formula>'1852'!$D$19</formula>
    </cfRule>
    <cfRule type="cellIs" dxfId="4119" priority="161" stopIfTrue="1" operator="lessThan">
      <formula>'1852'!$D$19</formula>
    </cfRule>
  </conditionalFormatting>
  <conditionalFormatting sqref="E20">
    <cfRule type="cellIs" dxfId="4118" priority="162" stopIfTrue="1" operator="equal">
      <formula>'1852'!$D$20</formula>
    </cfRule>
    <cfRule type="cellIs" dxfId="4117" priority="163" stopIfTrue="1" operator="lessThan">
      <formula>'1852'!$D$20</formula>
    </cfRule>
  </conditionalFormatting>
  <conditionalFormatting sqref="E21">
    <cfRule type="cellIs" dxfId="4116" priority="164" stopIfTrue="1" operator="equal">
      <formula>'1852'!$D$21</formula>
    </cfRule>
    <cfRule type="cellIs" dxfId="4115" priority="165" stopIfTrue="1" operator="lessThan">
      <formula>'1852'!$D$21</formula>
    </cfRule>
  </conditionalFormatting>
  <conditionalFormatting sqref="E22">
    <cfRule type="cellIs" dxfId="4114" priority="166" stopIfTrue="1" operator="equal">
      <formula>'1852'!$D$22</formula>
    </cfRule>
    <cfRule type="cellIs" dxfId="4113" priority="167" stopIfTrue="1" operator="lessThan">
      <formula>'1852'!$D$22</formula>
    </cfRule>
  </conditionalFormatting>
  <conditionalFormatting sqref="E23">
    <cfRule type="cellIs" dxfId="4112" priority="168" stopIfTrue="1" operator="equal">
      <formula>'1852'!$D$23</formula>
    </cfRule>
    <cfRule type="cellIs" dxfId="4111" priority="169" stopIfTrue="1" operator="lessThan">
      <formula>'1852'!$D$23</formula>
    </cfRule>
  </conditionalFormatting>
  <conditionalFormatting sqref="E25">
    <cfRule type="cellIs" dxfId="4110" priority="170" stopIfTrue="1" operator="equal">
      <formula>'1852'!$D$25</formula>
    </cfRule>
    <cfRule type="cellIs" dxfId="4109" priority="171" stopIfTrue="1" operator="lessThan">
      <formula>'1852'!$D$25</formula>
    </cfRule>
  </conditionalFormatting>
  <conditionalFormatting sqref="E26">
    <cfRule type="cellIs" dxfId="4108" priority="172" stopIfTrue="1" operator="equal">
      <formula>'1852'!$D$26</formula>
    </cfRule>
    <cfRule type="cellIs" dxfId="4107" priority="173" stopIfTrue="1" operator="lessThan">
      <formula>'1852'!$D$26</formula>
    </cfRule>
  </conditionalFormatting>
  <conditionalFormatting sqref="E27">
    <cfRule type="cellIs" dxfId="4106" priority="174" stopIfTrue="1" operator="equal">
      <formula>'1852'!$D$27</formula>
    </cfRule>
    <cfRule type="cellIs" dxfId="4105" priority="175" stopIfTrue="1" operator="lessThan">
      <formula>'1852'!$D$27</formula>
    </cfRule>
  </conditionalFormatting>
  <conditionalFormatting sqref="E28">
    <cfRule type="cellIs" dxfId="4104" priority="176" stopIfTrue="1" operator="equal">
      <formula>'1852'!$D$28</formula>
    </cfRule>
    <cfRule type="cellIs" dxfId="4103" priority="177" stopIfTrue="1" operator="lessThan">
      <formula>'1852'!$D$28</formula>
    </cfRule>
  </conditionalFormatting>
  <conditionalFormatting sqref="F13">
    <cfRule type="cellIs" dxfId="4102" priority="178" stopIfTrue="1" operator="equal">
      <formula>'1852'!$E$13</formula>
    </cfRule>
    <cfRule type="cellIs" dxfId="4101" priority="179" stopIfTrue="1" operator="lessThan">
      <formula>'1852'!$E$13</formula>
    </cfRule>
  </conditionalFormatting>
  <conditionalFormatting sqref="F14">
    <cfRule type="cellIs" dxfId="4100" priority="180" stopIfTrue="1" operator="equal">
      <formula>'1852'!$E$14</formula>
    </cfRule>
    <cfRule type="cellIs" dxfId="4099" priority="181" stopIfTrue="1" operator="lessThan">
      <formula>'1852'!$E$14</formula>
    </cfRule>
  </conditionalFormatting>
  <conditionalFormatting sqref="F15">
    <cfRule type="cellIs" dxfId="4098" priority="182" stopIfTrue="1" operator="equal">
      <formula>'1852'!$E$15</formula>
    </cfRule>
    <cfRule type="cellIs" dxfId="4097" priority="183" stopIfTrue="1" operator="lessThan">
      <formula>'1852'!$E$15</formula>
    </cfRule>
  </conditionalFormatting>
  <conditionalFormatting sqref="F16">
    <cfRule type="cellIs" dxfId="4096" priority="184" stopIfTrue="1" operator="equal">
      <formula>'1852'!$E$16</formula>
    </cfRule>
    <cfRule type="cellIs" dxfId="4095" priority="185" stopIfTrue="1" operator="lessThan">
      <formula>'1852'!$E$16</formula>
    </cfRule>
  </conditionalFormatting>
  <conditionalFormatting sqref="F17">
    <cfRule type="cellIs" dxfId="4094" priority="186" stopIfTrue="1" operator="equal">
      <formula>'1852'!$E$17</formula>
    </cfRule>
    <cfRule type="cellIs" dxfId="4093" priority="187" stopIfTrue="1" operator="lessThan">
      <formula>'1852'!$E$17</formula>
    </cfRule>
  </conditionalFormatting>
  <conditionalFormatting sqref="F18">
    <cfRule type="cellIs" dxfId="4092" priority="188" stopIfTrue="1" operator="equal">
      <formula>'1852'!$E$18</formula>
    </cfRule>
    <cfRule type="cellIs" dxfId="4091" priority="189" stopIfTrue="1" operator="lessThan">
      <formula>'1852'!$E$18</formula>
    </cfRule>
  </conditionalFormatting>
  <conditionalFormatting sqref="F19">
    <cfRule type="cellIs" dxfId="4090" priority="190" stopIfTrue="1" operator="equal">
      <formula>'1852'!$E$19</formula>
    </cfRule>
    <cfRule type="cellIs" dxfId="4089" priority="191" stopIfTrue="1" operator="lessThan">
      <formula>'1852'!$E$19</formula>
    </cfRule>
  </conditionalFormatting>
  <conditionalFormatting sqref="F20">
    <cfRule type="cellIs" dxfId="4088" priority="192" stopIfTrue="1" operator="equal">
      <formula>'1852'!$E$20</formula>
    </cfRule>
    <cfRule type="cellIs" dxfId="4087" priority="193" stopIfTrue="1" operator="lessThan">
      <formula>'1852'!$E$20</formula>
    </cfRule>
  </conditionalFormatting>
  <conditionalFormatting sqref="F21">
    <cfRule type="cellIs" dxfId="4086" priority="194" stopIfTrue="1" operator="equal">
      <formula>'1852'!$E$21</formula>
    </cfRule>
    <cfRule type="cellIs" dxfId="4085" priority="195" stopIfTrue="1" operator="lessThan">
      <formula>'1852'!$E$21</formula>
    </cfRule>
  </conditionalFormatting>
  <conditionalFormatting sqref="F22">
    <cfRule type="cellIs" dxfId="4084" priority="196" stopIfTrue="1" operator="equal">
      <formula>'1852'!$E$22</formula>
    </cfRule>
    <cfRule type="cellIs" dxfId="4083" priority="197" stopIfTrue="1" operator="lessThan">
      <formula>'1852'!$E$22</formula>
    </cfRule>
  </conditionalFormatting>
  <conditionalFormatting sqref="F23">
    <cfRule type="cellIs" dxfId="4082" priority="198" stopIfTrue="1" operator="equal">
      <formula>'1852'!$E$23</formula>
    </cfRule>
    <cfRule type="cellIs" dxfId="4081" priority="199" stopIfTrue="1" operator="lessThan">
      <formula>'1852'!$E$23</formula>
    </cfRule>
  </conditionalFormatting>
  <conditionalFormatting sqref="F25">
    <cfRule type="cellIs" dxfId="4080" priority="200" stopIfTrue="1" operator="equal">
      <formula>'1852'!$E$25</formula>
    </cfRule>
    <cfRule type="cellIs" dxfId="4079" priority="201" stopIfTrue="1" operator="lessThan">
      <formula>'1852'!$E$25</formula>
    </cfRule>
  </conditionalFormatting>
  <conditionalFormatting sqref="F26">
    <cfRule type="cellIs" dxfId="4078" priority="202" stopIfTrue="1" operator="equal">
      <formula>'1852'!$E$26</formula>
    </cfRule>
    <cfRule type="cellIs" dxfId="4077" priority="203" stopIfTrue="1" operator="lessThan">
      <formula>'1852'!$E$26</formula>
    </cfRule>
  </conditionalFormatting>
  <conditionalFormatting sqref="F27">
    <cfRule type="cellIs" dxfId="4076" priority="204" stopIfTrue="1" operator="equal">
      <formula>'1852'!$E$27</formula>
    </cfRule>
    <cfRule type="cellIs" dxfId="4075" priority="205" stopIfTrue="1" operator="lessThan">
      <formula>'1852'!$E$27</formula>
    </cfRule>
  </conditionalFormatting>
  <conditionalFormatting sqref="F28">
    <cfRule type="cellIs" dxfId="4074" priority="206" stopIfTrue="1" operator="equal">
      <formula>'1852'!$E$28</formula>
    </cfRule>
    <cfRule type="cellIs" dxfId="4073" priority="207" stopIfTrue="1" operator="lessThan">
      <formula>'1852'!$E$28</formula>
    </cfRule>
  </conditionalFormatting>
  <conditionalFormatting sqref="G13">
    <cfRule type="cellIs" dxfId="4072" priority="208" stopIfTrue="1" operator="equal">
      <formula>'1852'!$F$13</formula>
    </cfRule>
    <cfRule type="cellIs" dxfId="4071" priority="209" stopIfTrue="1" operator="lessThan">
      <formula>'1852'!$F$13</formula>
    </cfRule>
  </conditionalFormatting>
  <conditionalFormatting sqref="G14">
    <cfRule type="cellIs" dxfId="4070" priority="210" stopIfTrue="1" operator="equal">
      <formula>'1852'!$F$14</formula>
    </cfRule>
    <cfRule type="cellIs" dxfId="4069" priority="211" stopIfTrue="1" operator="lessThan">
      <formula>'1852'!$F$14</formula>
    </cfRule>
  </conditionalFormatting>
  <conditionalFormatting sqref="G15">
    <cfRule type="cellIs" dxfId="4068" priority="212" stopIfTrue="1" operator="equal">
      <formula>'1852'!$F$15</formula>
    </cfRule>
    <cfRule type="cellIs" dxfId="4067" priority="213" stopIfTrue="1" operator="lessThan">
      <formula>'1852'!$F$15</formula>
    </cfRule>
  </conditionalFormatting>
  <conditionalFormatting sqref="G16">
    <cfRule type="cellIs" dxfId="4066" priority="214" stopIfTrue="1" operator="equal">
      <formula>'1852'!$F$16</formula>
    </cfRule>
    <cfRule type="cellIs" dxfId="4065" priority="215" stopIfTrue="1" operator="lessThan">
      <formula>'1852'!$F$16</formula>
    </cfRule>
  </conditionalFormatting>
  <conditionalFormatting sqref="G17">
    <cfRule type="cellIs" dxfId="4064" priority="216" stopIfTrue="1" operator="equal">
      <formula>'1852'!$F$17</formula>
    </cfRule>
    <cfRule type="cellIs" dxfId="4063" priority="217" stopIfTrue="1" operator="lessThan">
      <formula>'1852'!$F$17</formula>
    </cfRule>
  </conditionalFormatting>
  <conditionalFormatting sqref="G18">
    <cfRule type="cellIs" dxfId="4062" priority="218" stopIfTrue="1" operator="equal">
      <formula>'1852'!$F$18</formula>
    </cfRule>
    <cfRule type="cellIs" dxfId="4061" priority="219" stopIfTrue="1" operator="lessThan">
      <formula>'1852'!$F$18</formula>
    </cfRule>
  </conditionalFormatting>
  <conditionalFormatting sqref="G19">
    <cfRule type="cellIs" dxfId="4060" priority="220" stopIfTrue="1" operator="equal">
      <formula>'1852'!$F$19</formula>
    </cfRule>
    <cfRule type="cellIs" dxfId="4059" priority="221" stopIfTrue="1" operator="lessThan">
      <formula>'1852'!$F$19</formula>
    </cfRule>
  </conditionalFormatting>
  <conditionalFormatting sqref="G20">
    <cfRule type="cellIs" dxfId="4058" priority="222" stopIfTrue="1" operator="equal">
      <formula>'1852'!$F$20</formula>
    </cfRule>
    <cfRule type="cellIs" dxfId="4057" priority="223" stopIfTrue="1" operator="lessThan">
      <formula>'1852'!$F$20</formula>
    </cfRule>
  </conditionalFormatting>
  <conditionalFormatting sqref="G21">
    <cfRule type="cellIs" dxfId="4056" priority="224" stopIfTrue="1" operator="equal">
      <formula>'1852'!$F$21</formula>
    </cfRule>
    <cfRule type="cellIs" dxfId="4055" priority="225" stopIfTrue="1" operator="lessThan">
      <formula>'1852'!$F$21</formula>
    </cfRule>
  </conditionalFormatting>
  <conditionalFormatting sqref="G22">
    <cfRule type="cellIs" dxfId="4054" priority="226" stopIfTrue="1" operator="equal">
      <formula>'1852'!$F$22</formula>
    </cfRule>
    <cfRule type="cellIs" dxfId="4053" priority="227" stopIfTrue="1" operator="lessThan">
      <formula>'1852'!$F$22</formula>
    </cfRule>
  </conditionalFormatting>
  <conditionalFormatting sqref="G23">
    <cfRule type="cellIs" dxfId="4052" priority="228" stopIfTrue="1" operator="equal">
      <formula>'1852'!$F$23</formula>
    </cfRule>
    <cfRule type="cellIs" dxfId="4051" priority="229" stopIfTrue="1" operator="lessThan">
      <formula>'1852'!$F$23</formula>
    </cfRule>
  </conditionalFormatting>
  <conditionalFormatting sqref="G25">
    <cfRule type="cellIs" dxfId="4050" priority="230" stopIfTrue="1" operator="equal">
      <formula>'1852'!$F$25</formula>
    </cfRule>
    <cfRule type="cellIs" dxfId="4049" priority="231" stopIfTrue="1" operator="lessThan">
      <formula>'1852'!$F$25</formula>
    </cfRule>
  </conditionalFormatting>
  <conditionalFormatting sqref="G26">
    <cfRule type="cellIs" dxfId="4048" priority="232" stopIfTrue="1" operator="equal">
      <formula>'1852'!$F$26</formula>
    </cfRule>
    <cfRule type="cellIs" dxfId="4047" priority="233" stopIfTrue="1" operator="lessThan">
      <formula>'1852'!$F$26</formula>
    </cfRule>
  </conditionalFormatting>
  <conditionalFormatting sqref="G27">
    <cfRule type="cellIs" dxfId="4046" priority="234" stopIfTrue="1" operator="equal">
      <formula>'1852'!$F$27</formula>
    </cfRule>
    <cfRule type="cellIs" dxfId="4045" priority="235" stopIfTrue="1" operator="lessThan">
      <formula>'1852'!$F$27</formula>
    </cfRule>
  </conditionalFormatting>
  <conditionalFormatting sqref="G28">
    <cfRule type="cellIs" dxfId="4044" priority="236" stopIfTrue="1" operator="equal">
      <formula>'1852'!$F$28</formula>
    </cfRule>
    <cfRule type="cellIs" dxfId="4043" priority="237" stopIfTrue="1" operator="lessThan">
      <formula>'1852'!$F$28</formula>
    </cfRule>
  </conditionalFormatting>
  <conditionalFormatting sqref="D13">
    <cfRule type="cellIs" dxfId="4042" priority="238" stopIfTrue="1" operator="equal">
      <formula>'1852'!$C$13</formula>
    </cfRule>
    <cfRule type="cellIs" dxfId="4041" priority="239" stopIfTrue="1" operator="lessThan">
      <formula>'1852'!$C$13</formula>
    </cfRule>
  </conditionalFormatting>
  <conditionalFormatting sqref="H13">
    <cfRule type="cellIs" dxfId="4040" priority="240" stopIfTrue="1" operator="equal">
      <formula>'1852'!$G$13</formula>
    </cfRule>
    <cfRule type="cellIs" dxfId="4039" priority="241" stopIfTrue="1" operator="lessThan">
      <formula>'1852'!$G$13</formula>
    </cfRule>
  </conditionalFormatting>
  <conditionalFormatting sqref="H14">
    <cfRule type="cellIs" dxfId="4038" priority="242" stopIfTrue="1" operator="equal">
      <formula>'1852'!$G$14</formula>
    </cfRule>
    <cfRule type="cellIs" dxfId="4037" priority="243" stopIfTrue="1" operator="lessThan">
      <formula>'1852'!$G$14</formula>
    </cfRule>
  </conditionalFormatting>
  <conditionalFormatting sqref="H15">
    <cfRule type="cellIs" dxfId="4036" priority="244" stopIfTrue="1" operator="equal">
      <formula>'1852'!$G$15</formula>
    </cfRule>
    <cfRule type="cellIs" dxfId="4035" priority="245" stopIfTrue="1" operator="lessThan">
      <formula>'1852'!$G$15</formula>
    </cfRule>
  </conditionalFormatting>
  <conditionalFormatting sqref="H16">
    <cfRule type="cellIs" dxfId="4034" priority="246" stopIfTrue="1" operator="equal">
      <formula>'1852'!$G$16</formula>
    </cfRule>
    <cfRule type="cellIs" dxfId="4033" priority="247" stopIfTrue="1" operator="lessThan">
      <formula>'1852'!$G$16</formula>
    </cfRule>
  </conditionalFormatting>
  <conditionalFormatting sqref="H17">
    <cfRule type="cellIs" dxfId="4032" priority="248" stopIfTrue="1" operator="equal">
      <formula>'1852'!$G$17</formula>
    </cfRule>
    <cfRule type="cellIs" dxfId="4031" priority="249" stopIfTrue="1" operator="lessThan">
      <formula>'1852'!$G$17</formula>
    </cfRule>
  </conditionalFormatting>
  <conditionalFormatting sqref="H18">
    <cfRule type="cellIs" dxfId="4030" priority="250" stopIfTrue="1" operator="equal">
      <formula>'1852'!$G$18</formula>
    </cfRule>
    <cfRule type="cellIs" dxfId="4029" priority="251" stopIfTrue="1" operator="lessThan">
      <formula>'1852'!$G$18</formula>
    </cfRule>
  </conditionalFormatting>
  <conditionalFormatting sqref="H19">
    <cfRule type="cellIs" dxfId="4028" priority="252" stopIfTrue="1" operator="equal">
      <formula>'1852'!$G$19</formula>
    </cfRule>
    <cfRule type="cellIs" dxfId="4027" priority="253" stopIfTrue="1" operator="lessThan">
      <formula>'1852'!$G$19</formula>
    </cfRule>
  </conditionalFormatting>
  <conditionalFormatting sqref="H20">
    <cfRule type="cellIs" dxfId="4026" priority="254" stopIfTrue="1" operator="equal">
      <formula>'1852'!$G$20</formula>
    </cfRule>
    <cfRule type="cellIs" dxfId="4025" priority="255" stopIfTrue="1" operator="lessThan">
      <formula>'1852'!$G$20</formula>
    </cfRule>
  </conditionalFormatting>
  <conditionalFormatting sqref="H21">
    <cfRule type="cellIs" dxfId="4024" priority="256" stopIfTrue="1" operator="equal">
      <formula>'1852'!$G$21</formula>
    </cfRule>
    <cfRule type="cellIs" dxfId="4023" priority="257" stopIfTrue="1" operator="lessThan">
      <formula>'1852'!$G$21</formula>
    </cfRule>
  </conditionalFormatting>
  <conditionalFormatting sqref="H22">
    <cfRule type="cellIs" dxfId="4022" priority="258" stopIfTrue="1" operator="equal">
      <formula>'1852'!$G$22</formula>
    </cfRule>
    <cfRule type="cellIs" dxfId="4021" priority="259" stopIfTrue="1" operator="lessThan">
      <formula>'1852'!$G$22</formula>
    </cfRule>
  </conditionalFormatting>
  <conditionalFormatting sqref="H23">
    <cfRule type="cellIs" dxfId="4020" priority="260" stopIfTrue="1" operator="equal">
      <formula>'1852'!$G$23</formula>
    </cfRule>
    <cfRule type="cellIs" dxfId="4019" priority="261" stopIfTrue="1" operator="lessThan">
      <formula>'1852'!$G$23</formula>
    </cfRule>
  </conditionalFormatting>
  <conditionalFormatting sqref="H25">
    <cfRule type="cellIs" dxfId="4018" priority="262" stopIfTrue="1" operator="equal">
      <formula>'1852'!$G$25</formula>
    </cfRule>
    <cfRule type="cellIs" dxfId="4017" priority="263" stopIfTrue="1" operator="lessThan">
      <formula>'1852'!$G$25</formula>
    </cfRule>
  </conditionalFormatting>
  <conditionalFormatting sqref="H26">
    <cfRule type="cellIs" dxfId="4016" priority="264" stopIfTrue="1" operator="equal">
      <formula>'1852'!$G$26</formula>
    </cfRule>
    <cfRule type="cellIs" dxfId="4015" priority="265" stopIfTrue="1" operator="lessThan">
      <formula>'1852'!$G$26</formula>
    </cfRule>
  </conditionalFormatting>
  <conditionalFormatting sqref="H27">
    <cfRule type="cellIs" dxfId="4014" priority="266" stopIfTrue="1" operator="equal">
      <formula>'1852'!$G$27</formula>
    </cfRule>
    <cfRule type="cellIs" dxfId="4013" priority="267" stopIfTrue="1" operator="lessThan">
      <formula>'1852'!$G$27</formula>
    </cfRule>
  </conditionalFormatting>
  <conditionalFormatting sqref="H28">
    <cfRule type="cellIs" dxfId="4012" priority="268" stopIfTrue="1" operator="equal">
      <formula>'1852'!$G$28</formula>
    </cfRule>
    <cfRule type="cellIs" dxfId="4011" priority="269" stopIfTrue="1" operator="lessThan">
      <formula>'1852'!$G$28</formula>
    </cfRule>
  </conditionalFormatting>
  <conditionalFormatting sqref="D24">
    <cfRule type="cellIs" dxfId="4010" priority="270" stopIfTrue="1" operator="equal">
      <formula>'1852'!$C$24</formula>
    </cfRule>
    <cfRule type="cellIs" dxfId="4009" priority="271" stopIfTrue="1" operator="lessThan">
      <formula>'1852'!$C$24</formula>
    </cfRule>
  </conditionalFormatting>
  <conditionalFormatting sqref="E24">
    <cfRule type="cellIs" dxfId="4008" priority="272" stopIfTrue="1" operator="equal">
      <formula>'1852'!$D$24</formula>
    </cfRule>
    <cfRule type="cellIs" dxfId="4007" priority="273" stopIfTrue="1" operator="lessThan">
      <formula>'1852'!$D$24</formula>
    </cfRule>
  </conditionalFormatting>
  <conditionalFormatting sqref="F24">
    <cfRule type="cellIs" dxfId="4006" priority="274" stopIfTrue="1" operator="equal">
      <formula>'1852'!$E$24</formula>
    </cfRule>
    <cfRule type="cellIs" dxfId="4005" priority="275" stopIfTrue="1" operator="lessThan">
      <formula>'1852'!$E$24</formula>
    </cfRule>
  </conditionalFormatting>
  <conditionalFormatting sqref="G24">
    <cfRule type="cellIs" dxfId="4004" priority="276" stopIfTrue="1" operator="equal">
      <formula>'1852'!$F$24</formula>
    </cfRule>
    <cfRule type="cellIs" dxfId="4003" priority="277" stopIfTrue="1" operator="lessThan">
      <formula>'1852'!$F$24</formula>
    </cfRule>
  </conditionalFormatting>
  <conditionalFormatting sqref="H24">
    <cfRule type="cellIs" dxfId="4002" priority="278" stopIfTrue="1" operator="equal">
      <formula>'1852'!$G$24</formula>
    </cfRule>
    <cfRule type="cellIs" dxfId="4001" priority="279" stopIfTrue="1" operator="lessThan">
      <formula>'1852'!$G$24</formula>
    </cfRule>
  </conditionalFormatting>
  <conditionalFormatting sqref="E5">
    <cfRule type="cellIs" dxfId="4000" priority="280" stopIfTrue="1" operator="equal">
      <formula>'1852'!$D$5</formula>
    </cfRule>
    <cfRule type="cellIs" dxfId="3999" priority="281" stopIfTrue="1" operator="lessThan">
      <formula>'1852'!$D$5</formula>
    </cfRule>
  </conditionalFormatting>
  <conditionalFormatting sqref="G5">
    <cfRule type="cellIs" dxfId="3998" priority="282" stopIfTrue="1" operator="equal">
      <formula>'1852'!$F$5</formula>
    </cfRule>
    <cfRule type="cellIs" dxfId="3997" priority="283" stopIfTrue="1" operator="lessThan">
      <formula>'1852'!$F$5</formula>
    </cfRule>
  </conditionalFormatting>
  <conditionalFormatting sqref="G4">
    <cfRule type="cellIs" dxfId="3996" priority="284" stopIfTrue="1" operator="equal">
      <formula>'1852'!$F$4</formula>
    </cfRule>
  </conditionalFormatting>
  <conditionalFormatting sqref="D29:P29">
    <cfRule type="cellIs" dxfId="3995" priority="285" stopIfTrue="1" operator="equal">
      <formula>0</formula>
    </cfRule>
  </conditionalFormatting>
  <conditionalFormatting sqref="I13">
    <cfRule type="cellIs" dxfId="3994" priority="286" stopIfTrue="1" operator="equal">
      <formula>'1852'!$H$13</formula>
    </cfRule>
    <cfRule type="cellIs" dxfId="3993" priority="287" stopIfTrue="1" operator="lessThan">
      <formula>'1852'!$H$13</formula>
    </cfRule>
  </conditionalFormatting>
  <conditionalFormatting sqref="I14">
    <cfRule type="cellIs" dxfId="3992" priority="288" stopIfTrue="1" operator="equal">
      <formula>'1852'!$H$14</formula>
    </cfRule>
    <cfRule type="cellIs" dxfId="3991" priority="289" stopIfTrue="1" operator="lessThan">
      <formula>'1852'!$H$14</formula>
    </cfRule>
  </conditionalFormatting>
  <conditionalFormatting sqref="I15">
    <cfRule type="cellIs" dxfId="3990" priority="290" stopIfTrue="1" operator="equal">
      <formula>'1852'!$H$15</formula>
    </cfRule>
    <cfRule type="cellIs" dxfId="3989" priority="291" stopIfTrue="1" operator="lessThan">
      <formula>'1852'!$H$15</formula>
    </cfRule>
  </conditionalFormatting>
  <conditionalFormatting sqref="I16">
    <cfRule type="cellIs" dxfId="3988" priority="292" stopIfTrue="1" operator="equal">
      <formula>'1852'!$H$16</formula>
    </cfRule>
    <cfRule type="cellIs" dxfId="3987" priority="293" stopIfTrue="1" operator="lessThan">
      <formula>'1852'!$H$16</formula>
    </cfRule>
  </conditionalFormatting>
  <conditionalFormatting sqref="I17">
    <cfRule type="cellIs" dxfId="3986" priority="294" stopIfTrue="1" operator="equal">
      <formula>'1852'!$H$17</formula>
    </cfRule>
    <cfRule type="cellIs" dxfId="3985" priority="295" stopIfTrue="1" operator="lessThan">
      <formula>'1852'!$H$17</formula>
    </cfRule>
  </conditionalFormatting>
  <conditionalFormatting sqref="I18">
    <cfRule type="cellIs" dxfId="3984" priority="296" stopIfTrue="1" operator="equal">
      <formula>'1852'!$H$18</formula>
    </cfRule>
    <cfRule type="cellIs" dxfId="3983" priority="297" stopIfTrue="1" operator="lessThan">
      <formula>'1852'!$H$18</formula>
    </cfRule>
  </conditionalFormatting>
  <conditionalFormatting sqref="I19">
    <cfRule type="cellIs" dxfId="3982" priority="298" stopIfTrue="1" operator="equal">
      <formula>'1852'!$H$19</formula>
    </cfRule>
    <cfRule type="cellIs" dxfId="3981" priority="299" stopIfTrue="1" operator="lessThan">
      <formula>'1852'!$H$19</formula>
    </cfRule>
  </conditionalFormatting>
  <conditionalFormatting sqref="I20">
    <cfRule type="cellIs" dxfId="3980" priority="300" stopIfTrue="1" operator="equal">
      <formula>'1852'!$H$20</formula>
    </cfRule>
    <cfRule type="cellIs" dxfId="3979" priority="301" stopIfTrue="1" operator="lessThan">
      <formula>'1852'!$H$20</formula>
    </cfRule>
  </conditionalFormatting>
  <conditionalFormatting sqref="I21">
    <cfRule type="cellIs" dxfId="3978" priority="302" stopIfTrue="1" operator="equal">
      <formula>'1852'!$H$21</formula>
    </cfRule>
    <cfRule type="cellIs" dxfId="3977" priority="303" stopIfTrue="1" operator="lessThan">
      <formula>'1852'!$H$21</formula>
    </cfRule>
  </conditionalFormatting>
  <conditionalFormatting sqref="I22">
    <cfRule type="cellIs" dxfId="3976" priority="304" stopIfTrue="1" operator="equal">
      <formula>'1852'!$H$22</formula>
    </cfRule>
    <cfRule type="cellIs" dxfId="3975" priority="305" stopIfTrue="1" operator="lessThan">
      <formula>'1852'!$H$22</formula>
    </cfRule>
  </conditionalFormatting>
  <conditionalFormatting sqref="I23">
    <cfRule type="cellIs" dxfId="3974" priority="306" stopIfTrue="1" operator="equal">
      <formula>'1852'!$H$23</formula>
    </cfRule>
    <cfRule type="cellIs" dxfId="3973" priority="307" stopIfTrue="1" operator="lessThan">
      <formula>'1852'!$H$23</formula>
    </cfRule>
  </conditionalFormatting>
  <conditionalFormatting sqref="I24">
    <cfRule type="cellIs" dxfId="3972" priority="308" stopIfTrue="1" operator="equal">
      <formula>'1852'!$H$24</formula>
    </cfRule>
    <cfRule type="cellIs" dxfId="3971" priority="309" stopIfTrue="1" operator="lessThan">
      <formula>'1852'!$H$24</formula>
    </cfRule>
  </conditionalFormatting>
  <conditionalFormatting sqref="I25">
    <cfRule type="cellIs" dxfId="3970" priority="310" stopIfTrue="1" operator="equal">
      <formula>'1852'!$H$25</formula>
    </cfRule>
    <cfRule type="cellIs" dxfId="3969" priority="311" stopIfTrue="1" operator="lessThan">
      <formula>'1852'!$H$25</formula>
    </cfRule>
  </conditionalFormatting>
  <conditionalFormatting sqref="I26">
    <cfRule type="cellIs" dxfId="3968" priority="312" stopIfTrue="1" operator="equal">
      <formula>'1852'!$H$26</formula>
    </cfRule>
    <cfRule type="cellIs" dxfId="3967" priority="313" stopIfTrue="1" operator="lessThan">
      <formula>'1852'!$H$26</formula>
    </cfRule>
  </conditionalFormatting>
  <conditionalFormatting sqref="I27">
    <cfRule type="cellIs" dxfId="3966" priority="314" stopIfTrue="1" operator="equal">
      <formula>'1852'!$H$27</formula>
    </cfRule>
    <cfRule type="cellIs" dxfId="3965" priority="315" stopIfTrue="1" operator="lessThan">
      <formula>'1852'!$H$27</formula>
    </cfRule>
    <cfRule type="cellIs" dxfId="3964" priority="316" stopIfTrue="1" operator="lessThan">
      <formula>'1852'!$H$27</formula>
    </cfRule>
  </conditionalFormatting>
  <conditionalFormatting sqref="I28">
    <cfRule type="cellIs" dxfId="3963" priority="317" stopIfTrue="1" operator="equal">
      <formula>'1852'!$H$28</formula>
    </cfRule>
    <cfRule type="cellIs" dxfId="3962" priority="318" stopIfTrue="1" operator="lessThan">
      <formula>'1852'!$H$28</formula>
    </cfRule>
  </conditionalFormatting>
  <conditionalFormatting sqref="I29">
    <cfRule type="cellIs" dxfId="3961" priority="319" stopIfTrue="1" operator="equal">
      <formula>'1852'!$H$29</formula>
    </cfRule>
    <cfRule type="cellIs" dxfId="3960" priority="320" stopIfTrue="1" operator="lessThan">
      <formula>'1852'!$H$29</formula>
    </cfRule>
  </conditionalFormatting>
  <conditionalFormatting sqref="J13">
    <cfRule type="cellIs" dxfId="3959" priority="321" stopIfTrue="1" operator="equal">
      <formula>'1852'!$I$13</formula>
    </cfRule>
    <cfRule type="cellIs" dxfId="3958" priority="322" stopIfTrue="1" operator="lessThan">
      <formula>'1852'!$I$13</formula>
    </cfRule>
  </conditionalFormatting>
  <conditionalFormatting sqref="J14">
    <cfRule type="cellIs" dxfId="3957" priority="323" stopIfTrue="1" operator="equal">
      <formula>'1852'!$I$14</formula>
    </cfRule>
    <cfRule type="cellIs" dxfId="3956" priority="324" stopIfTrue="1" operator="lessThan">
      <formula>'1852'!$I$14</formula>
    </cfRule>
  </conditionalFormatting>
  <conditionalFormatting sqref="J15">
    <cfRule type="cellIs" dxfId="3955" priority="325" stopIfTrue="1" operator="equal">
      <formula>'1852'!$I$15</formula>
    </cfRule>
    <cfRule type="cellIs" dxfId="3954" priority="326" stopIfTrue="1" operator="lessThan">
      <formula>'1852'!$I$15</formula>
    </cfRule>
  </conditionalFormatting>
  <conditionalFormatting sqref="J16">
    <cfRule type="cellIs" dxfId="3953" priority="327" stopIfTrue="1" operator="equal">
      <formula>'1852'!$I$16</formula>
    </cfRule>
    <cfRule type="cellIs" dxfId="3952" priority="328" stopIfTrue="1" operator="lessThan">
      <formula>'1852'!$I$16</formula>
    </cfRule>
  </conditionalFormatting>
  <conditionalFormatting sqref="J17">
    <cfRule type="cellIs" dxfId="3951" priority="329" stopIfTrue="1" operator="equal">
      <formula>'1852'!$I$17</formula>
    </cfRule>
    <cfRule type="cellIs" dxfId="3950" priority="330" stopIfTrue="1" operator="lessThan">
      <formula>'1852'!$I$17</formula>
    </cfRule>
  </conditionalFormatting>
  <conditionalFormatting sqref="J18">
    <cfRule type="cellIs" dxfId="3949" priority="331" stopIfTrue="1" operator="equal">
      <formula>'1852'!$I$18</formula>
    </cfRule>
    <cfRule type="cellIs" dxfId="3948" priority="332" stopIfTrue="1" operator="lessThan">
      <formula>'1852'!$I$18</formula>
    </cfRule>
  </conditionalFormatting>
  <conditionalFormatting sqref="J19">
    <cfRule type="cellIs" dxfId="3947" priority="333" stopIfTrue="1" operator="equal">
      <formula>'1852'!$I$19</formula>
    </cfRule>
    <cfRule type="cellIs" dxfId="3946" priority="334" stopIfTrue="1" operator="lessThan">
      <formula>'1852'!$I$19</formula>
    </cfRule>
  </conditionalFormatting>
  <conditionalFormatting sqref="J20">
    <cfRule type="cellIs" dxfId="3945" priority="335" stopIfTrue="1" operator="equal">
      <formula>'1852'!$I$20</formula>
    </cfRule>
    <cfRule type="cellIs" dxfId="3944" priority="336" stopIfTrue="1" operator="lessThan">
      <formula>'1852'!$I$20</formula>
    </cfRule>
  </conditionalFormatting>
  <conditionalFormatting sqref="J21">
    <cfRule type="cellIs" dxfId="3943" priority="337" stopIfTrue="1" operator="equal">
      <formula>'1852'!$I$21</formula>
    </cfRule>
    <cfRule type="cellIs" dxfId="3942" priority="338" stopIfTrue="1" operator="lessThan">
      <formula>'1852'!$I$21</formula>
    </cfRule>
  </conditionalFormatting>
  <conditionalFormatting sqref="J22">
    <cfRule type="cellIs" dxfId="3941" priority="339" stopIfTrue="1" operator="equal">
      <formula>'1852'!$I$22</formula>
    </cfRule>
    <cfRule type="cellIs" dxfId="3940" priority="340" stopIfTrue="1" operator="lessThan">
      <formula>'1852'!$I$22</formula>
    </cfRule>
  </conditionalFormatting>
  <conditionalFormatting sqref="J23">
    <cfRule type="cellIs" dxfId="3939" priority="341" stopIfTrue="1" operator="equal">
      <formula>'1852'!$I$23</formula>
    </cfRule>
    <cfRule type="cellIs" dxfId="3938" priority="342" stopIfTrue="1" operator="lessThan">
      <formula>'1852'!$I$23</formula>
    </cfRule>
  </conditionalFormatting>
  <conditionalFormatting sqref="J24">
    <cfRule type="cellIs" dxfId="3937" priority="343" stopIfTrue="1" operator="equal">
      <formula>'1852'!$I$24</formula>
    </cfRule>
    <cfRule type="cellIs" dxfId="3936" priority="344" stopIfTrue="1" operator="lessThan">
      <formula>'1852'!$I$24</formula>
    </cfRule>
  </conditionalFormatting>
  <conditionalFormatting sqref="J25">
    <cfRule type="cellIs" dxfId="3935" priority="345" stopIfTrue="1" operator="equal">
      <formula>'1852'!$I$25</formula>
    </cfRule>
    <cfRule type="cellIs" dxfId="3934" priority="346" stopIfTrue="1" operator="lessThan">
      <formula>'1852'!$I$25</formula>
    </cfRule>
  </conditionalFormatting>
  <conditionalFormatting sqref="J26">
    <cfRule type="cellIs" dxfId="3933" priority="347" stopIfTrue="1" operator="equal">
      <formula>'1852'!$I$26</formula>
    </cfRule>
    <cfRule type="cellIs" dxfId="3932" priority="348" stopIfTrue="1" operator="lessThan">
      <formula>'1852'!$I$26</formula>
    </cfRule>
  </conditionalFormatting>
  <conditionalFormatting sqref="J27">
    <cfRule type="cellIs" dxfId="3931" priority="349" stopIfTrue="1" operator="equal">
      <formula>'1852'!$I$27</formula>
    </cfRule>
    <cfRule type="cellIs" dxfId="3930" priority="350" stopIfTrue="1" operator="lessThan">
      <formula>'1852'!$I$27</formula>
    </cfRule>
  </conditionalFormatting>
  <conditionalFormatting sqref="J28">
    <cfRule type="cellIs" dxfId="3929" priority="351" stopIfTrue="1" operator="equal">
      <formula>'1852'!$I$28</formula>
    </cfRule>
    <cfRule type="cellIs" dxfId="3928" priority="352" stopIfTrue="1" operator="lessThan">
      <formula>'1852'!$I$28</formula>
    </cfRule>
  </conditionalFormatting>
  <conditionalFormatting sqref="K4">
    <cfRule type="cellIs" dxfId="3927" priority="353" stopIfTrue="1" operator="equal">
      <formula>'1852'!$J$4</formula>
    </cfRule>
    <cfRule type="cellIs" dxfId="3926" priority="354" stopIfTrue="1" operator="lessThan">
      <formula>'1852'!$J$4</formula>
    </cfRule>
  </conditionalFormatting>
  <conditionalFormatting sqref="K5">
    <cfRule type="cellIs" dxfId="3925" priority="355" stopIfTrue="1" operator="equal">
      <formula>'1852'!$J$5</formula>
    </cfRule>
    <cfRule type="cellIs" dxfId="3924" priority="356" stopIfTrue="1" operator="lessThan">
      <formula>'1852'!$J$5</formula>
    </cfRule>
  </conditionalFormatting>
  <conditionalFormatting sqref="K6">
    <cfRule type="cellIs" dxfId="3923" priority="357" stopIfTrue="1" operator="equal">
      <formula>'1852'!$J$6</formula>
    </cfRule>
    <cfRule type="cellIs" dxfId="3922" priority="358" stopIfTrue="1" operator="lessThan">
      <formula>'1852'!$J$6</formula>
    </cfRule>
  </conditionalFormatting>
  <conditionalFormatting sqref="K7">
    <cfRule type="cellIs" dxfId="3921" priority="359" stopIfTrue="1" operator="equal">
      <formula>'1852'!$J$7</formula>
    </cfRule>
    <cfRule type="cellIs" dxfId="3920" priority="360" stopIfTrue="1" operator="lessThan">
      <formula>'1852'!$J$7</formula>
    </cfRule>
  </conditionalFormatting>
  <conditionalFormatting sqref="K8">
    <cfRule type="cellIs" dxfId="3919" priority="361" stopIfTrue="1" operator="equal">
      <formula>'1852'!$J$8</formula>
    </cfRule>
    <cfRule type="cellIs" dxfId="3918" priority="362" stopIfTrue="1" operator="lessThan">
      <formula>'1852'!$J$8</formula>
    </cfRule>
  </conditionalFormatting>
  <conditionalFormatting sqref="K9">
    <cfRule type="cellIs" dxfId="3917" priority="363" stopIfTrue="1" operator="equal">
      <formula>'1852'!$J$9</formula>
    </cfRule>
    <cfRule type="cellIs" dxfId="3916" priority="364" stopIfTrue="1" operator="lessThan">
      <formula>'1852'!$J$9</formula>
    </cfRule>
  </conditionalFormatting>
  <conditionalFormatting sqref="K10">
    <cfRule type="cellIs" dxfId="3915" priority="365" stopIfTrue="1" operator="equal">
      <formula>'1852'!$J$10</formula>
    </cfRule>
    <cfRule type="cellIs" dxfId="3914" priority="366" stopIfTrue="1" operator="lessThan">
      <formula>'1852'!$J$10</formula>
    </cfRule>
  </conditionalFormatting>
  <conditionalFormatting sqref="K11">
    <cfRule type="cellIs" dxfId="3913" priority="367" stopIfTrue="1" operator="equal">
      <formula>'1852'!$J$11</formula>
    </cfRule>
    <cfRule type="cellIs" dxfId="3912" priority="368" stopIfTrue="1" operator="lessThan">
      <formula>'1852'!$J$11</formula>
    </cfRule>
  </conditionalFormatting>
  <conditionalFormatting sqref="K12">
    <cfRule type="cellIs" dxfId="3911" priority="369" stopIfTrue="1" operator="equal">
      <formula>'1852'!$J$12</formula>
    </cfRule>
    <cfRule type="cellIs" dxfId="3910" priority="370" stopIfTrue="1" operator="lessThan">
      <formula>'1852'!$J$12</formula>
    </cfRule>
  </conditionalFormatting>
  <conditionalFormatting sqref="K13">
    <cfRule type="cellIs" dxfId="3909" priority="371" stopIfTrue="1" operator="equal">
      <formula>'1852'!$J$13</formula>
    </cfRule>
    <cfRule type="cellIs" dxfId="3908" priority="372" stopIfTrue="1" operator="lessThan">
      <formula>'1852'!$J$13</formula>
    </cfRule>
  </conditionalFormatting>
  <conditionalFormatting sqref="K14">
    <cfRule type="cellIs" dxfId="3907" priority="373" stopIfTrue="1" operator="equal">
      <formula>'1852'!$J$14</formula>
    </cfRule>
    <cfRule type="cellIs" dxfId="3906" priority="374" stopIfTrue="1" operator="lessThan">
      <formula>'1852'!$J$14</formula>
    </cfRule>
  </conditionalFormatting>
  <conditionalFormatting sqref="K15">
    <cfRule type="cellIs" dxfId="3905" priority="375" stopIfTrue="1" operator="equal">
      <formula>'1852'!$J$15</formula>
    </cfRule>
    <cfRule type="cellIs" dxfId="3904" priority="376" stopIfTrue="1" operator="lessThan">
      <formula>'1852'!$J$15</formula>
    </cfRule>
  </conditionalFormatting>
  <conditionalFormatting sqref="K16">
    <cfRule type="cellIs" dxfId="3903" priority="377" stopIfTrue="1" operator="equal">
      <formula>'1852'!$J$16</formula>
    </cfRule>
    <cfRule type="cellIs" dxfId="3902" priority="378" stopIfTrue="1" operator="lessThan">
      <formula>'1852'!$J$16</formula>
    </cfRule>
  </conditionalFormatting>
  <conditionalFormatting sqref="K17">
    <cfRule type="cellIs" dxfId="3901" priority="379" stopIfTrue="1" operator="equal">
      <formula>'1852'!$J$17</formula>
    </cfRule>
    <cfRule type="cellIs" dxfId="3900" priority="380" stopIfTrue="1" operator="lessThan">
      <formula>'1852'!$J$17</formula>
    </cfRule>
  </conditionalFormatting>
  <conditionalFormatting sqref="K18">
    <cfRule type="cellIs" dxfId="3899" priority="381" stopIfTrue="1" operator="equal">
      <formula>'1852'!$J$18</formula>
    </cfRule>
    <cfRule type="cellIs" dxfId="3898" priority="382" stopIfTrue="1" operator="lessThan">
      <formula>'1852'!$J$18</formula>
    </cfRule>
  </conditionalFormatting>
  <conditionalFormatting sqref="K19">
    <cfRule type="cellIs" dxfId="3897" priority="383" stopIfTrue="1" operator="equal">
      <formula>'1852'!$J$19</formula>
    </cfRule>
    <cfRule type="cellIs" dxfId="3896" priority="384" stopIfTrue="1" operator="lessThan">
      <formula>'1852'!$J$19</formula>
    </cfRule>
  </conditionalFormatting>
  <conditionalFormatting sqref="K20">
    <cfRule type="cellIs" dxfId="3895" priority="385" stopIfTrue="1" operator="equal">
      <formula>'1852'!$J$20</formula>
    </cfRule>
    <cfRule type="cellIs" dxfId="3894" priority="386" stopIfTrue="1" operator="lessThan">
      <formula>'1852'!$J$20</formula>
    </cfRule>
  </conditionalFormatting>
  <conditionalFormatting sqref="K21">
    <cfRule type="cellIs" dxfId="3893" priority="387" stopIfTrue="1" operator="equal">
      <formula>'1852'!$J$21</formula>
    </cfRule>
    <cfRule type="cellIs" dxfId="3892" priority="388" stopIfTrue="1" operator="lessThan">
      <formula>'1852'!$J$21</formula>
    </cfRule>
  </conditionalFormatting>
  <conditionalFormatting sqref="K22">
    <cfRule type="cellIs" dxfId="3891" priority="389" stopIfTrue="1" operator="equal">
      <formula>'1852'!$J$22</formula>
    </cfRule>
    <cfRule type="cellIs" dxfId="3890" priority="390" stopIfTrue="1" operator="lessThan">
      <formula>'1852'!$J$22</formula>
    </cfRule>
  </conditionalFormatting>
  <conditionalFormatting sqref="K23">
    <cfRule type="cellIs" dxfId="3889" priority="391" stopIfTrue="1" operator="equal">
      <formula>'1852'!$J$23</formula>
    </cfRule>
    <cfRule type="cellIs" dxfId="3888" priority="392" stopIfTrue="1" operator="lessThan">
      <formula>'1852'!$J$23</formula>
    </cfRule>
  </conditionalFormatting>
  <conditionalFormatting sqref="K24">
    <cfRule type="cellIs" dxfId="3887" priority="393" stopIfTrue="1" operator="equal">
      <formula>'1852'!$J$24</formula>
    </cfRule>
    <cfRule type="cellIs" dxfId="3886" priority="394" stopIfTrue="1" operator="lessThan">
      <formula>'1852'!$J$24</formula>
    </cfRule>
  </conditionalFormatting>
  <conditionalFormatting sqref="K25">
    <cfRule type="cellIs" dxfId="3885" priority="395" stopIfTrue="1" operator="equal">
      <formula>'1852'!$J$25</formula>
    </cfRule>
    <cfRule type="cellIs" dxfId="3884" priority="396" stopIfTrue="1" operator="lessThan">
      <formula>'1852'!$J$25</formula>
    </cfRule>
  </conditionalFormatting>
  <conditionalFormatting sqref="K26">
    <cfRule type="cellIs" dxfId="3883" priority="397" stopIfTrue="1" operator="equal">
      <formula>'1852'!$J$26</formula>
    </cfRule>
    <cfRule type="cellIs" dxfId="3882" priority="398" stopIfTrue="1" operator="lessThan">
      <formula>'1852'!$J$26</formula>
    </cfRule>
  </conditionalFormatting>
  <conditionalFormatting sqref="K27">
    <cfRule type="cellIs" dxfId="3881" priority="399" stopIfTrue="1" operator="equal">
      <formula>'1852'!$J$27</formula>
    </cfRule>
    <cfRule type="cellIs" dxfId="3880" priority="400" stopIfTrue="1" operator="lessThan">
      <formula>'1852'!$J$27</formula>
    </cfRule>
  </conditionalFormatting>
  <conditionalFormatting sqref="K28">
    <cfRule type="cellIs" dxfId="3879" priority="401" stopIfTrue="1" operator="lessThan">
      <formula>'1852'!$J$28</formula>
    </cfRule>
    <cfRule type="cellIs" dxfId="3878" priority="402" stopIfTrue="1" operator="equal">
      <formula>'1852'!$J$28</formula>
    </cfRule>
  </conditionalFormatting>
  <conditionalFormatting sqref="L4:M4">
    <cfRule type="cellIs" dxfId="3877" priority="403" stopIfTrue="1" operator="equal">
      <formula>'1852'!$K$4</formula>
    </cfRule>
    <cfRule type="cellIs" dxfId="3876" priority="404" stopIfTrue="1" operator="lessThan">
      <formula>'1852'!$K$4</formula>
    </cfRule>
  </conditionalFormatting>
  <conditionalFormatting sqref="L5:M5">
    <cfRule type="cellIs" dxfId="3875" priority="405" stopIfTrue="1" operator="equal">
      <formula>'1852'!$K$5</formula>
    </cfRule>
    <cfRule type="cellIs" dxfId="3874" priority="406" stopIfTrue="1" operator="lessThan">
      <formula>'1852'!$K$5</formula>
    </cfRule>
  </conditionalFormatting>
  <conditionalFormatting sqref="L6:M6">
    <cfRule type="cellIs" dxfId="3873" priority="407" stopIfTrue="1" operator="equal">
      <formula>'1852'!$K$6</formula>
    </cfRule>
    <cfRule type="cellIs" dxfId="3872" priority="408" stopIfTrue="1" operator="lessThan">
      <formula>'1852'!$K$6</formula>
    </cfRule>
  </conditionalFormatting>
  <conditionalFormatting sqref="L7:M7">
    <cfRule type="cellIs" dxfId="3871" priority="409" stopIfTrue="1" operator="equal">
      <formula>'1852'!$K$7</formula>
    </cfRule>
    <cfRule type="cellIs" dxfId="3870" priority="410" stopIfTrue="1" operator="lessThan">
      <formula>'1852'!$K$7</formula>
    </cfRule>
  </conditionalFormatting>
  <conditionalFormatting sqref="L8:M8">
    <cfRule type="cellIs" dxfId="3869" priority="411" stopIfTrue="1" operator="equal">
      <formula>'1852'!$K$8</formula>
    </cfRule>
    <cfRule type="cellIs" dxfId="3868" priority="412" stopIfTrue="1" operator="lessThan">
      <formula>'1852'!$K$8</formula>
    </cfRule>
  </conditionalFormatting>
  <conditionalFormatting sqref="L9:M9">
    <cfRule type="cellIs" dxfId="3867" priority="413" stopIfTrue="1" operator="equal">
      <formula>'1852'!$K$9</formula>
    </cfRule>
    <cfRule type="cellIs" dxfId="3866" priority="414" stopIfTrue="1" operator="lessThan">
      <formula>'1852'!$K$9</formula>
    </cfRule>
  </conditionalFormatting>
  <conditionalFormatting sqref="L10:M10">
    <cfRule type="cellIs" dxfId="3865" priority="415" stopIfTrue="1" operator="equal">
      <formula>'1852'!$K$10</formula>
    </cfRule>
    <cfRule type="cellIs" dxfId="3864" priority="416" stopIfTrue="1" operator="lessThan">
      <formula>'1852'!$K$10</formula>
    </cfRule>
  </conditionalFormatting>
  <conditionalFormatting sqref="L12:M12">
    <cfRule type="cellIs" dxfId="3863" priority="417" stopIfTrue="1" operator="equal">
      <formula>'1852'!$K$12</formula>
    </cfRule>
    <cfRule type="cellIs" dxfId="3862" priority="418" stopIfTrue="1" operator="lessThan">
      <formula>'1852'!$K$12</formula>
    </cfRule>
  </conditionalFormatting>
  <conditionalFormatting sqref="L13:M13">
    <cfRule type="cellIs" dxfId="3861" priority="419" stopIfTrue="1" operator="equal">
      <formula>'1852'!$K$13</formula>
    </cfRule>
    <cfRule type="cellIs" dxfId="3860" priority="420" stopIfTrue="1" operator="lessThan">
      <formula>'1852'!$K$13</formula>
    </cfRule>
  </conditionalFormatting>
  <conditionalFormatting sqref="L14:M14">
    <cfRule type="cellIs" dxfId="3859" priority="421" stopIfTrue="1" operator="equal">
      <formula>'1852'!$K$14</formula>
    </cfRule>
    <cfRule type="cellIs" dxfId="3858" priority="422" stopIfTrue="1" operator="lessThan">
      <formula>'1852'!$K$14</formula>
    </cfRule>
  </conditionalFormatting>
  <conditionalFormatting sqref="L15:M15">
    <cfRule type="cellIs" dxfId="3857" priority="423" stopIfTrue="1" operator="equal">
      <formula>'1852'!$K$15</formula>
    </cfRule>
    <cfRule type="cellIs" dxfId="3856" priority="424" stopIfTrue="1" operator="lessThan">
      <formula>'1852'!$K$15</formula>
    </cfRule>
  </conditionalFormatting>
  <conditionalFormatting sqref="L16:M16">
    <cfRule type="cellIs" dxfId="3855" priority="425" stopIfTrue="1" operator="equal">
      <formula>'1852'!$K$16</formula>
    </cfRule>
    <cfRule type="cellIs" dxfId="3854" priority="426" stopIfTrue="1" operator="lessThan">
      <formula>'1852'!$K$16</formula>
    </cfRule>
  </conditionalFormatting>
  <conditionalFormatting sqref="L17:M17">
    <cfRule type="cellIs" dxfId="3853" priority="427" stopIfTrue="1" operator="equal">
      <formula>'1852'!$K$17</formula>
    </cfRule>
    <cfRule type="cellIs" dxfId="3852" priority="428" stopIfTrue="1" operator="lessThan">
      <formula>'1852'!$K$17</formula>
    </cfRule>
  </conditionalFormatting>
  <conditionalFormatting sqref="L18:M18">
    <cfRule type="cellIs" dxfId="3851" priority="429" stopIfTrue="1" operator="equal">
      <formula>'1852'!$K$18</formula>
    </cfRule>
    <cfRule type="cellIs" dxfId="3850" priority="430" stopIfTrue="1" operator="lessThan">
      <formula>'1852'!$K$18</formula>
    </cfRule>
  </conditionalFormatting>
  <conditionalFormatting sqref="L19:M19">
    <cfRule type="cellIs" dxfId="3849" priority="431" stopIfTrue="1" operator="equal">
      <formula>'1852'!$K$19</formula>
    </cfRule>
    <cfRule type="cellIs" dxfId="3848" priority="432" stopIfTrue="1" operator="lessThan">
      <formula>'1852'!$K$19</formula>
    </cfRule>
  </conditionalFormatting>
  <conditionalFormatting sqref="L20:M20">
    <cfRule type="cellIs" dxfId="3847" priority="433" stopIfTrue="1" operator="equal">
      <formula>'1852'!$K$20</formula>
    </cfRule>
    <cfRule type="cellIs" dxfId="3846" priority="434" stopIfTrue="1" operator="lessThan">
      <formula>'1852'!$K$20</formula>
    </cfRule>
  </conditionalFormatting>
  <conditionalFormatting sqref="L21:M21">
    <cfRule type="cellIs" dxfId="3845" priority="435" stopIfTrue="1" operator="equal">
      <formula>'1852'!$K$21</formula>
    </cfRule>
    <cfRule type="cellIs" dxfId="3844" priority="436" stopIfTrue="1" operator="lessThan">
      <formula>'1852'!$K$21</formula>
    </cfRule>
  </conditionalFormatting>
  <conditionalFormatting sqref="L11:M11">
    <cfRule type="cellIs" dxfId="3843" priority="437" stopIfTrue="1" operator="equal">
      <formula>'1852'!$K$11</formula>
    </cfRule>
    <cfRule type="cellIs" dxfId="3842" priority="438" stopIfTrue="1" operator="lessThan">
      <formula>'1852'!$K$11</formula>
    </cfRule>
  </conditionalFormatting>
  <conditionalFormatting sqref="L22:M22">
    <cfRule type="cellIs" dxfId="3841" priority="439" stopIfTrue="1" operator="equal">
      <formula>'1852'!$K$22</formula>
    </cfRule>
    <cfRule type="cellIs" dxfId="3840" priority="440" stopIfTrue="1" operator="lessThan">
      <formula>'1852'!$K$22</formula>
    </cfRule>
  </conditionalFormatting>
  <conditionalFormatting sqref="L23:M23">
    <cfRule type="cellIs" dxfId="3839" priority="441" stopIfTrue="1" operator="equal">
      <formula>'1852'!$K$23</formula>
    </cfRule>
    <cfRule type="cellIs" dxfId="3838" priority="442" stopIfTrue="1" operator="lessThan">
      <formula>'1852'!$K$23</formula>
    </cfRule>
  </conditionalFormatting>
  <conditionalFormatting sqref="L24:M24">
    <cfRule type="cellIs" dxfId="3837" priority="443" stopIfTrue="1" operator="equal">
      <formula>'1852'!$K$24</formula>
    </cfRule>
    <cfRule type="cellIs" dxfId="3836" priority="444" stopIfTrue="1" operator="lessThan">
      <formula>'1852'!$K$24</formula>
    </cfRule>
  </conditionalFormatting>
  <conditionalFormatting sqref="L25:M25">
    <cfRule type="cellIs" dxfId="3835" priority="445" stopIfTrue="1" operator="equal">
      <formula>'1852'!$K$25</formula>
    </cfRule>
    <cfRule type="cellIs" dxfId="3834" priority="446" stopIfTrue="1" operator="lessThan">
      <formula>'1852'!$K$25</formula>
    </cfRule>
  </conditionalFormatting>
  <conditionalFormatting sqref="L26:M26">
    <cfRule type="cellIs" dxfId="3833" priority="447" stopIfTrue="1" operator="equal">
      <formula>'1852'!$K$26</formula>
    </cfRule>
    <cfRule type="cellIs" dxfId="3832" priority="448" stopIfTrue="1" operator="lessThan">
      <formula>'1852'!$K$26</formula>
    </cfRule>
  </conditionalFormatting>
  <conditionalFormatting sqref="L27:M27">
    <cfRule type="cellIs" dxfId="3831" priority="449" stopIfTrue="1" operator="equal">
      <formula>'1852'!$K$27</formula>
    </cfRule>
    <cfRule type="cellIs" dxfId="3830" priority="450" stopIfTrue="1" operator="lessThan">
      <formula>'1852'!$K$27</formula>
    </cfRule>
  </conditionalFormatting>
  <conditionalFormatting sqref="L28:M28">
    <cfRule type="cellIs" dxfId="3829" priority="451" stopIfTrue="1" operator="equal">
      <formula>'1852'!$K$28</formula>
    </cfRule>
    <cfRule type="cellIs" dxfId="3828" priority="452" stopIfTrue="1" operator="lessThan">
      <formula>'1852'!$K$28</formula>
    </cfRule>
  </conditionalFormatting>
  <conditionalFormatting sqref="N4">
    <cfRule type="cellIs" dxfId="3827" priority="453" stopIfTrue="1" operator="lessThan">
      <formula>'1852'!$L$4</formula>
    </cfRule>
    <cfRule type="cellIs" dxfId="3826" priority="454" stopIfTrue="1" operator="equal">
      <formula>'1852'!$L$4</formula>
    </cfRule>
  </conditionalFormatting>
  <conditionalFormatting sqref="N5">
    <cfRule type="cellIs" dxfId="3825" priority="455" stopIfTrue="1" operator="equal">
      <formula>'1852'!$L$5</formula>
    </cfRule>
    <cfRule type="cellIs" dxfId="3824" priority="456" stopIfTrue="1" operator="lessThan">
      <formula>'1852'!$L$5</formula>
    </cfRule>
  </conditionalFormatting>
  <conditionalFormatting sqref="N6">
    <cfRule type="cellIs" dxfId="3823" priority="457" stopIfTrue="1" operator="equal">
      <formula>'1852'!$L$6</formula>
    </cfRule>
    <cfRule type="cellIs" dxfId="3822" priority="458" stopIfTrue="1" operator="lessThan">
      <formula>'1852'!$L$6</formula>
    </cfRule>
  </conditionalFormatting>
  <conditionalFormatting sqref="N7">
    <cfRule type="cellIs" dxfId="3821" priority="459" stopIfTrue="1" operator="equal">
      <formula>'1852'!$L$7</formula>
    </cfRule>
    <cfRule type="cellIs" dxfId="3820" priority="460" stopIfTrue="1" operator="lessThan">
      <formula>'1852'!$L$7</formula>
    </cfRule>
  </conditionalFormatting>
  <conditionalFormatting sqref="N8">
    <cfRule type="cellIs" dxfId="3819" priority="461" stopIfTrue="1" operator="equal">
      <formula>'1852'!$L$8</formula>
    </cfRule>
    <cfRule type="cellIs" dxfId="3818" priority="462" stopIfTrue="1" operator="lessThan">
      <formula>'1852'!$L$8</formula>
    </cfRule>
  </conditionalFormatting>
  <conditionalFormatting sqref="N9">
    <cfRule type="cellIs" dxfId="3817" priority="463" stopIfTrue="1" operator="equal">
      <formula>'1852'!$L$9</formula>
    </cfRule>
    <cfRule type="cellIs" dxfId="3816" priority="464" stopIfTrue="1" operator="lessThan">
      <formula>'1852'!$L$9</formula>
    </cfRule>
  </conditionalFormatting>
  <conditionalFormatting sqref="N10">
    <cfRule type="cellIs" dxfId="3815" priority="465" stopIfTrue="1" operator="equal">
      <formula>'1852'!$L$10</formula>
    </cfRule>
    <cfRule type="cellIs" dxfId="3814" priority="466" stopIfTrue="1" operator="lessThan">
      <formula>'1852'!$L$10</formula>
    </cfRule>
  </conditionalFormatting>
  <conditionalFormatting sqref="N11">
    <cfRule type="cellIs" dxfId="3813" priority="467" stopIfTrue="1" operator="equal">
      <formula>'1852'!$L$11</formula>
    </cfRule>
    <cfRule type="cellIs" dxfId="3812" priority="468" stopIfTrue="1" operator="lessThan">
      <formula>'1852'!$L$11</formula>
    </cfRule>
  </conditionalFormatting>
  <conditionalFormatting sqref="N12">
    <cfRule type="cellIs" dxfId="3811" priority="469" stopIfTrue="1" operator="equal">
      <formula>'1852'!$L$12</formula>
    </cfRule>
    <cfRule type="cellIs" dxfId="3810" priority="470" stopIfTrue="1" operator="lessThan">
      <formula>'1852'!$L$12</formula>
    </cfRule>
  </conditionalFormatting>
  <conditionalFormatting sqref="N13">
    <cfRule type="cellIs" dxfId="3809" priority="471" stopIfTrue="1" operator="equal">
      <formula>'1852'!$L$13</formula>
    </cfRule>
    <cfRule type="cellIs" dxfId="3808" priority="472" stopIfTrue="1" operator="lessThan">
      <formula>'1852'!$L$13</formula>
    </cfRule>
  </conditionalFormatting>
  <conditionalFormatting sqref="N14">
    <cfRule type="cellIs" dxfId="3807" priority="473" stopIfTrue="1" operator="equal">
      <formula>'1852'!$L$14</formula>
    </cfRule>
    <cfRule type="cellIs" dxfId="3806" priority="474" stopIfTrue="1" operator="lessThan">
      <formula>'1852'!$L$14</formula>
    </cfRule>
  </conditionalFormatting>
  <conditionalFormatting sqref="N15">
    <cfRule type="cellIs" dxfId="3805" priority="475" stopIfTrue="1" operator="equal">
      <formula>'1852'!$L$15</formula>
    </cfRule>
    <cfRule type="cellIs" dxfId="3804" priority="476" stopIfTrue="1" operator="lessThan">
      <formula>'1852'!$L$15</formula>
    </cfRule>
  </conditionalFormatting>
  <conditionalFormatting sqref="N16">
    <cfRule type="cellIs" dxfId="3803" priority="477" stopIfTrue="1" operator="equal">
      <formula>'1852'!$L$16</formula>
    </cfRule>
    <cfRule type="cellIs" dxfId="3802" priority="478" stopIfTrue="1" operator="lessThan">
      <formula>'1852'!$L$16</formula>
    </cfRule>
  </conditionalFormatting>
  <conditionalFormatting sqref="N17">
    <cfRule type="cellIs" dxfId="3801" priority="479" stopIfTrue="1" operator="equal">
      <formula>'1852'!$L$17</formula>
    </cfRule>
    <cfRule type="cellIs" dxfId="3800" priority="480" stopIfTrue="1" operator="lessThan">
      <formula>'1852'!$L$17</formula>
    </cfRule>
  </conditionalFormatting>
  <conditionalFormatting sqref="N18">
    <cfRule type="cellIs" dxfId="3799" priority="481" stopIfTrue="1" operator="equal">
      <formula>'1852'!$L$18</formula>
    </cfRule>
    <cfRule type="cellIs" dxfId="3798" priority="482" stopIfTrue="1" operator="lessThan">
      <formula>'1852'!$L$18</formula>
    </cfRule>
  </conditionalFormatting>
  <conditionalFormatting sqref="N19">
    <cfRule type="cellIs" dxfId="3797" priority="483" stopIfTrue="1" operator="equal">
      <formula>'1852'!$L$19</formula>
    </cfRule>
    <cfRule type="cellIs" dxfId="3796" priority="484" stopIfTrue="1" operator="lessThan">
      <formula>'1852'!$L$19</formula>
    </cfRule>
  </conditionalFormatting>
  <conditionalFormatting sqref="N20">
    <cfRule type="cellIs" dxfId="3795" priority="485" stopIfTrue="1" operator="equal">
      <formula>'1852'!$L$20</formula>
    </cfRule>
    <cfRule type="cellIs" dxfId="3794" priority="486" stopIfTrue="1" operator="lessThan">
      <formula>'1852'!$L$20</formula>
    </cfRule>
  </conditionalFormatting>
  <conditionalFormatting sqref="N21">
    <cfRule type="cellIs" dxfId="3793" priority="487" stopIfTrue="1" operator="equal">
      <formula>'1852'!$L$21</formula>
    </cfRule>
    <cfRule type="cellIs" dxfId="3792" priority="488" stopIfTrue="1" operator="lessThan">
      <formula>'1852'!$L$21</formula>
    </cfRule>
  </conditionalFormatting>
  <conditionalFormatting sqref="N22">
    <cfRule type="cellIs" dxfId="3791" priority="489" stopIfTrue="1" operator="equal">
      <formula>'1852'!$L$22</formula>
    </cfRule>
    <cfRule type="cellIs" dxfId="3790" priority="490" stopIfTrue="1" operator="lessThan">
      <formula>'1852'!$L$22</formula>
    </cfRule>
  </conditionalFormatting>
  <conditionalFormatting sqref="N23">
    <cfRule type="cellIs" dxfId="3789" priority="491" stopIfTrue="1" operator="equal">
      <formula>'1852'!$L$23</formula>
    </cfRule>
    <cfRule type="cellIs" dxfId="3788" priority="492" stopIfTrue="1" operator="lessThan">
      <formula>'1852'!$L$23</formula>
    </cfRule>
  </conditionalFormatting>
  <conditionalFormatting sqref="N24">
    <cfRule type="cellIs" dxfId="3787" priority="493" stopIfTrue="1" operator="equal">
      <formula>'1852'!$L$24</formula>
    </cfRule>
    <cfRule type="cellIs" dxfId="3786" priority="494" stopIfTrue="1" operator="lessThan">
      <formula>'1852'!$L$24</formula>
    </cfRule>
  </conditionalFormatting>
  <conditionalFormatting sqref="N25">
    <cfRule type="cellIs" dxfId="3785" priority="495" stopIfTrue="1" operator="equal">
      <formula>'1852'!$L$25</formula>
    </cfRule>
    <cfRule type="cellIs" dxfId="3784" priority="496" stopIfTrue="1" operator="lessThan">
      <formula>'1852'!$L$25</formula>
    </cfRule>
  </conditionalFormatting>
  <conditionalFormatting sqref="N26">
    <cfRule type="cellIs" dxfId="3783" priority="497" stopIfTrue="1" operator="equal">
      <formula>'1852'!$L$26</formula>
    </cfRule>
    <cfRule type="cellIs" dxfId="3782" priority="498" stopIfTrue="1" operator="lessThan">
      <formula>'1852'!$L$26</formula>
    </cfRule>
  </conditionalFormatting>
  <conditionalFormatting sqref="N27">
    <cfRule type="cellIs" dxfId="3781" priority="499" stopIfTrue="1" operator="equal">
      <formula>'1852'!$L$27</formula>
    </cfRule>
    <cfRule type="cellIs" dxfId="3780" priority="500" stopIfTrue="1" operator="lessThan">
      <formula>'1852'!$L$27</formula>
    </cfRule>
  </conditionalFormatting>
  <conditionalFormatting sqref="N28">
    <cfRule type="cellIs" dxfId="3779" priority="501" stopIfTrue="1" operator="equal">
      <formula>'1852'!$L$28</formula>
    </cfRule>
    <cfRule type="cellIs" dxfId="3778" priority="502" stopIfTrue="1" operator="lessThan">
      <formula>'1852'!$L$28</formula>
    </cfRule>
  </conditionalFormatting>
  <conditionalFormatting sqref="O4">
    <cfRule type="cellIs" dxfId="3777" priority="503" stopIfTrue="1" operator="equal">
      <formula>'1852'!$M$4</formula>
    </cfRule>
    <cfRule type="cellIs" dxfId="3776" priority="504" stopIfTrue="1" operator="lessThan">
      <formula>'1852'!$M$4</formula>
    </cfRule>
  </conditionalFormatting>
  <conditionalFormatting sqref="O5">
    <cfRule type="cellIs" dxfId="3775" priority="505" stopIfTrue="1" operator="equal">
      <formula>'1852'!$M$5</formula>
    </cfRule>
    <cfRule type="cellIs" dxfId="3774" priority="506" stopIfTrue="1" operator="lessThan">
      <formula>'1852'!$M$5</formula>
    </cfRule>
  </conditionalFormatting>
  <conditionalFormatting sqref="O6">
    <cfRule type="cellIs" dxfId="3773" priority="507" stopIfTrue="1" operator="equal">
      <formula>'1852'!$M$6</formula>
    </cfRule>
    <cfRule type="cellIs" dxfId="3772" priority="508" stopIfTrue="1" operator="lessThan">
      <formula>'1852'!$M$6</formula>
    </cfRule>
  </conditionalFormatting>
  <conditionalFormatting sqref="O7">
    <cfRule type="cellIs" dxfId="3771" priority="509" stopIfTrue="1" operator="equal">
      <formula>'1852'!$M$7</formula>
    </cfRule>
    <cfRule type="cellIs" dxfId="3770" priority="510" stopIfTrue="1" operator="lessThan">
      <formula>'1852'!$M$7</formula>
    </cfRule>
  </conditionalFormatting>
  <conditionalFormatting sqref="O8">
    <cfRule type="cellIs" dxfId="3769" priority="511" stopIfTrue="1" operator="equal">
      <formula>'1852'!$M$8</formula>
    </cfRule>
    <cfRule type="cellIs" dxfId="3768" priority="512" stopIfTrue="1" operator="lessThan">
      <formula>'1852'!$M$8</formula>
    </cfRule>
  </conditionalFormatting>
  <conditionalFormatting sqref="O9">
    <cfRule type="cellIs" dxfId="3767" priority="513" stopIfTrue="1" operator="equal">
      <formula>'1852'!$M$9</formula>
    </cfRule>
    <cfRule type="cellIs" dxfId="3766" priority="514" stopIfTrue="1" operator="lessThan">
      <formula>'1852'!$M$9</formula>
    </cfRule>
  </conditionalFormatting>
  <conditionalFormatting sqref="O10">
    <cfRule type="cellIs" dxfId="3765" priority="515" stopIfTrue="1" operator="equal">
      <formula>'1852'!$M$10</formula>
    </cfRule>
    <cfRule type="cellIs" dxfId="3764" priority="516" stopIfTrue="1" operator="lessThan">
      <formula>'1852'!$M$10</formula>
    </cfRule>
  </conditionalFormatting>
  <conditionalFormatting sqref="O11">
    <cfRule type="cellIs" dxfId="3763" priority="517" stopIfTrue="1" operator="equal">
      <formula>'1852'!$M$11</formula>
    </cfRule>
    <cfRule type="cellIs" dxfId="3762" priority="518" stopIfTrue="1" operator="lessThan">
      <formula>'1852'!$M$11</formula>
    </cfRule>
  </conditionalFormatting>
  <conditionalFormatting sqref="O12">
    <cfRule type="cellIs" dxfId="3761" priority="519" stopIfTrue="1" operator="equal">
      <formula>'1852'!$M$12</formula>
    </cfRule>
    <cfRule type="cellIs" dxfId="3760" priority="520" stopIfTrue="1" operator="lessThan">
      <formula>'1852'!$M$12</formula>
    </cfRule>
  </conditionalFormatting>
  <conditionalFormatting sqref="O13">
    <cfRule type="cellIs" dxfId="3759" priority="521" stopIfTrue="1" operator="equal">
      <formula>'1852'!$M$13</formula>
    </cfRule>
    <cfRule type="cellIs" dxfId="3758" priority="522" stopIfTrue="1" operator="lessThan">
      <formula>'1852'!$M$13</formula>
    </cfRule>
  </conditionalFormatting>
  <conditionalFormatting sqref="O14">
    <cfRule type="cellIs" dxfId="3757" priority="523" stopIfTrue="1" operator="equal">
      <formula>'1852'!$M$14</formula>
    </cfRule>
    <cfRule type="cellIs" dxfId="3756" priority="524" stopIfTrue="1" operator="lessThan">
      <formula>'1852'!$M$14</formula>
    </cfRule>
  </conditionalFormatting>
  <conditionalFormatting sqref="O15">
    <cfRule type="cellIs" dxfId="3755" priority="525" stopIfTrue="1" operator="equal">
      <formula>'1852'!$M$15</formula>
    </cfRule>
    <cfRule type="cellIs" dxfId="3754" priority="526" stopIfTrue="1" operator="lessThan">
      <formula>'1852'!$M$15</formula>
    </cfRule>
  </conditionalFormatting>
  <conditionalFormatting sqref="O16">
    <cfRule type="cellIs" dxfId="3753" priority="527" stopIfTrue="1" operator="equal">
      <formula>'1852'!$M$16</formula>
    </cfRule>
    <cfRule type="cellIs" dxfId="3752" priority="528" stopIfTrue="1" operator="lessThan">
      <formula>'1852'!$M$16</formula>
    </cfRule>
  </conditionalFormatting>
  <conditionalFormatting sqref="O17">
    <cfRule type="cellIs" dxfId="3751" priority="529" stopIfTrue="1" operator="equal">
      <formula>'1852'!$M$17</formula>
    </cfRule>
    <cfRule type="cellIs" dxfId="3750" priority="530" stopIfTrue="1" operator="lessThan">
      <formula>'1852'!$M$17</formula>
    </cfRule>
  </conditionalFormatting>
  <conditionalFormatting sqref="O18">
    <cfRule type="cellIs" dxfId="3749" priority="531" stopIfTrue="1" operator="equal">
      <formula>'1852'!$M$18</formula>
    </cfRule>
    <cfRule type="cellIs" dxfId="3748" priority="532" stopIfTrue="1" operator="lessThan">
      <formula>'1852'!$M$18</formula>
    </cfRule>
  </conditionalFormatting>
  <conditionalFormatting sqref="O19">
    <cfRule type="cellIs" dxfId="3747" priority="533" stopIfTrue="1" operator="equal">
      <formula>'1852'!$M$19</formula>
    </cfRule>
    <cfRule type="cellIs" dxfId="3746" priority="534" stopIfTrue="1" operator="lessThan">
      <formula>'1852'!$M$19</formula>
    </cfRule>
  </conditionalFormatting>
  <conditionalFormatting sqref="O20">
    <cfRule type="cellIs" dxfId="3745" priority="535" stopIfTrue="1" operator="equal">
      <formula>'1852'!$M$20</formula>
    </cfRule>
    <cfRule type="cellIs" dxfId="3744" priority="536" stopIfTrue="1" operator="lessThan">
      <formula>'1852'!$M$20</formula>
    </cfRule>
  </conditionalFormatting>
  <conditionalFormatting sqref="O21">
    <cfRule type="cellIs" dxfId="3743" priority="537" stopIfTrue="1" operator="equal">
      <formula>'1852'!$M$21</formula>
    </cfRule>
    <cfRule type="cellIs" dxfId="3742" priority="538" stopIfTrue="1" operator="lessThan">
      <formula>'1852'!$M$21</formula>
    </cfRule>
  </conditionalFormatting>
  <conditionalFormatting sqref="O22">
    <cfRule type="cellIs" dxfId="3741" priority="539" stopIfTrue="1" operator="equal">
      <formula>'1852'!$M$22</formula>
    </cfRule>
    <cfRule type="cellIs" dxfId="3740" priority="540" stopIfTrue="1" operator="lessThan">
      <formula>'1852'!$M$22</formula>
    </cfRule>
  </conditionalFormatting>
  <conditionalFormatting sqref="O23">
    <cfRule type="cellIs" dxfId="3739" priority="541" stopIfTrue="1" operator="equal">
      <formula>'1852'!$M$23</formula>
    </cfRule>
    <cfRule type="cellIs" dxfId="3738" priority="542" stopIfTrue="1" operator="lessThan">
      <formula>'1852'!$M$23</formula>
    </cfRule>
  </conditionalFormatting>
  <conditionalFormatting sqref="O24">
    <cfRule type="cellIs" dxfId="3737" priority="543" stopIfTrue="1" operator="equal">
      <formula>'1852'!$M$24</formula>
    </cfRule>
    <cfRule type="cellIs" dxfId="3736" priority="544" stopIfTrue="1" operator="lessThan">
      <formula>'1852'!$M$24</formula>
    </cfRule>
  </conditionalFormatting>
  <conditionalFormatting sqref="O25">
    <cfRule type="cellIs" dxfId="3735" priority="545" stopIfTrue="1" operator="equal">
      <formula>'1852'!$M$25</formula>
    </cfRule>
    <cfRule type="cellIs" dxfId="3734" priority="546" stopIfTrue="1" operator="lessThan">
      <formula>'1852'!$M$25</formula>
    </cfRule>
  </conditionalFormatting>
  <conditionalFormatting sqref="O26">
    <cfRule type="cellIs" dxfId="3733" priority="547" stopIfTrue="1" operator="equal">
      <formula>'1852'!$M$26</formula>
    </cfRule>
    <cfRule type="cellIs" dxfId="3732" priority="548" stopIfTrue="1" operator="lessThan">
      <formula>'1852'!$M$26</formula>
    </cfRule>
  </conditionalFormatting>
  <conditionalFormatting sqref="O27">
    <cfRule type="cellIs" dxfId="3731" priority="549" stopIfTrue="1" operator="equal">
      <formula>'1852'!$M$27</formula>
    </cfRule>
    <cfRule type="cellIs" dxfId="3730" priority="550" stopIfTrue="1" operator="lessThan">
      <formula>'1852'!$M$27</formula>
    </cfRule>
  </conditionalFormatting>
  <conditionalFormatting sqref="O28">
    <cfRule type="cellIs" dxfId="3729" priority="551" stopIfTrue="1" operator="equal">
      <formula>'1852'!$M$28</formula>
    </cfRule>
    <cfRule type="cellIs" dxfId="3728" priority="552" stopIfTrue="1" operator="lessThan">
      <formula>'1852'!$M$28</formula>
    </cfRule>
  </conditionalFormatting>
  <conditionalFormatting sqref="P4">
    <cfRule type="cellIs" dxfId="3727" priority="553" stopIfTrue="1" operator="equal">
      <formula>'1852'!$N$4</formula>
    </cfRule>
    <cfRule type="cellIs" dxfId="3726" priority="554" stopIfTrue="1" operator="lessThan">
      <formula>'1852'!$N$4</formula>
    </cfRule>
  </conditionalFormatting>
  <conditionalFormatting sqref="P5">
    <cfRule type="cellIs" dxfId="3725" priority="555" stopIfTrue="1" operator="equal">
      <formula>'1852'!$N$5</formula>
    </cfRule>
    <cfRule type="cellIs" dxfId="3724" priority="556" stopIfTrue="1" operator="lessThan">
      <formula>'1852'!$N$5</formula>
    </cfRule>
  </conditionalFormatting>
  <conditionalFormatting sqref="P6">
    <cfRule type="cellIs" dxfId="3723" priority="557" stopIfTrue="1" operator="equal">
      <formula>'1852'!$N$6</formula>
    </cfRule>
    <cfRule type="cellIs" dxfId="3722" priority="558" stopIfTrue="1" operator="lessThan">
      <formula>'1852'!$N$6</formula>
    </cfRule>
  </conditionalFormatting>
  <conditionalFormatting sqref="P7">
    <cfRule type="cellIs" dxfId="3721" priority="559" stopIfTrue="1" operator="equal">
      <formula>'1852'!$N$7</formula>
    </cfRule>
    <cfRule type="cellIs" dxfId="3720" priority="560" stopIfTrue="1" operator="lessThan">
      <formula>'1852'!$N$7</formula>
    </cfRule>
  </conditionalFormatting>
  <conditionalFormatting sqref="P8">
    <cfRule type="cellIs" dxfId="3719" priority="561" stopIfTrue="1" operator="equal">
      <formula>'1852'!$N$8</formula>
    </cfRule>
    <cfRule type="cellIs" dxfId="3718" priority="562" stopIfTrue="1" operator="lessThan">
      <formula>'1852'!$N$8</formula>
    </cfRule>
  </conditionalFormatting>
  <conditionalFormatting sqref="P9">
    <cfRule type="cellIs" dxfId="3717" priority="563" stopIfTrue="1" operator="equal">
      <formula>'1852'!$N$9</formula>
    </cfRule>
    <cfRule type="cellIs" dxfId="3716" priority="564" stopIfTrue="1" operator="lessThan">
      <formula>'1852'!$N$9</formula>
    </cfRule>
  </conditionalFormatting>
  <conditionalFormatting sqref="P10">
    <cfRule type="cellIs" dxfId="3715" priority="565" stopIfTrue="1" operator="equal">
      <formula>'1852'!$N$10</formula>
    </cfRule>
    <cfRule type="cellIs" dxfId="3714" priority="566" stopIfTrue="1" operator="lessThan">
      <formula>'1852'!$N$10</formula>
    </cfRule>
  </conditionalFormatting>
  <conditionalFormatting sqref="P11">
    <cfRule type="cellIs" dxfId="3713" priority="567" stopIfTrue="1" operator="equal">
      <formula>'1852'!$N$11</formula>
    </cfRule>
    <cfRule type="cellIs" dxfId="3712" priority="568" stopIfTrue="1" operator="lessThan">
      <formula>'1852'!$N$11</formula>
    </cfRule>
  </conditionalFormatting>
  <conditionalFormatting sqref="P12">
    <cfRule type="cellIs" dxfId="3711" priority="569" stopIfTrue="1" operator="equal">
      <formula>'1852'!$N$12</formula>
    </cfRule>
    <cfRule type="cellIs" dxfId="3710" priority="570" stopIfTrue="1" operator="lessThan">
      <formula>'1852'!$N$12</formula>
    </cfRule>
  </conditionalFormatting>
  <conditionalFormatting sqref="P13">
    <cfRule type="cellIs" dxfId="3709" priority="571" stopIfTrue="1" operator="equal">
      <formula>'1852'!$N$13</formula>
    </cfRule>
    <cfRule type="cellIs" dxfId="3708" priority="572" stopIfTrue="1" operator="lessThan">
      <formula>'1852'!$N$13</formula>
    </cfRule>
  </conditionalFormatting>
  <conditionalFormatting sqref="P14">
    <cfRule type="cellIs" dxfId="3707" priority="573" stopIfTrue="1" operator="equal">
      <formula>'1852'!$N$14</formula>
    </cfRule>
    <cfRule type="cellIs" dxfId="3706" priority="574" stopIfTrue="1" operator="lessThan">
      <formula>'1852'!$N$14</formula>
    </cfRule>
  </conditionalFormatting>
  <conditionalFormatting sqref="P15">
    <cfRule type="cellIs" dxfId="3705" priority="575" stopIfTrue="1" operator="equal">
      <formula>'1852'!$N$15</formula>
    </cfRule>
    <cfRule type="cellIs" dxfId="3704" priority="576" stopIfTrue="1" operator="lessThan">
      <formula>'1852'!$N$15</formula>
    </cfRule>
  </conditionalFormatting>
  <conditionalFormatting sqref="P16">
    <cfRule type="cellIs" dxfId="3703" priority="577" stopIfTrue="1" operator="equal">
      <formula>'1852'!$N$16</formula>
    </cfRule>
    <cfRule type="cellIs" dxfId="3702" priority="578" stopIfTrue="1" operator="lessThan">
      <formula>'1852'!$N$16</formula>
    </cfRule>
  </conditionalFormatting>
  <conditionalFormatting sqref="P17">
    <cfRule type="cellIs" dxfId="3701" priority="579" stopIfTrue="1" operator="equal">
      <formula>'1852'!$N$17</formula>
    </cfRule>
    <cfRule type="cellIs" dxfId="3700" priority="580" stopIfTrue="1" operator="lessThan">
      <formula>'1852'!$N$17</formula>
    </cfRule>
  </conditionalFormatting>
  <conditionalFormatting sqref="P18">
    <cfRule type="cellIs" dxfId="3699" priority="581" stopIfTrue="1" operator="equal">
      <formula>'1852'!$N$18</formula>
    </cfRule>
    <cfRule type="cellIs" dxfId="3698" priority="582" stopIfTrue="1" operator="lessThan">
      <formula>'1852'!$N$18</formula>
    </cfRule>
  </conditionalFormatting>
  <conditionalFormatting sqref="P19">
    <cfRule type="cellIs" dxfId="3697" priority="583" stopIfTrue="1" operator="equal">
      <formula>'1852'!$N$19</formula>
    </cfRule>
    <cfRule type="cellIs" dxfId="3696" priority="584" stopIfTrue="1" operator="lessThan">
      <formula>'1852'!$N$19</formula>
    </cfRule>
  </conditionalFormatting>
  <conditionalFormatting sqref="P20">
    <cfRule type="cellIs" dxfId="3695" priority="585" stopIfTrue="1" operator="equal">
      <formula>'1852'!$N$20</formula>
    </cfRule>
    <cfRule type="cellIs" dxfId="3694" priority="586" stopIfTrue="1" operator="lessThan">
      <formula>'1852'!$N$20</formula>
    </cfRule>
  </conditionalFormatting>
  <conditionalFormatting sqref="P21">
    <cfRule type="cellIs" dxfId="3693" priority="587" stopIfTrue="1" operator="equal">
      <formula>'1852'!$N$21</formula>
    </cfRule>
    <cfRule type="cellIs" dxfId="3692" priority="588" stopIfTrue="1" operator="lessThan">
      <formula>'1852'!$N$21</formula>
    </cfRule>
  </conditionalFormatting>
  <conditionalFormatting sqref="P22">
    <cfRule type="cellIs" dxfId="3691" priority="589" stopIfTrue="1" operator="equal">
      <formula>'1852'!$N$22</formula>
    </cfRule>
    <cfRule type="cellIs" dxfId="3690" priority="590" stopIfTrue="1" operator="lessThan">
      <formula>'1852'!$N$22</formula>
    </cfRule>
  </conditionalFormatting>
  <conditionalFormatting sqref="P23">
    <cfRule type="cellIs" dxfId="3689" priority="591" stopIfTrue="1" operator="equal">
      <formula>'1852'!$N$23</formula>
    </cfRule>
    <cfRule type="cellIs" dxfId="3688" priority="592" stopIfTrue="1" operator="lessThan">
      <formula>'1852'!$N$23</formula>
    </cfRule>
  </conditionalFormatting>
  <conditionalFormatting sqref="P24">
    <cfRule type="cellIs" dxfId="3687" priority="593" stopIfTrue="1" operator="equal">
      <formula>'1852'!$N$24</formula>
    </cfRule>
    <cfRule type="cellIs" dxfId="3686" priority="594" stopIfTrue="1" operator="lessThan">
      <formula>'1852'!$N$24</formula>
    </cfRule>
  </conditionalFormatting>
  <conditionalFormatting sqref="P25">
    <cfRule type="cellIs" dxfId="3685" priority="595" stopIfTrue="1" operator="equal">
      <formula>'1852'!$N$25</formula>
    </cfRule>
    <cfRule type="cellIs" dxfId="3684" priority="596" stopIfTrue="1" operator="lessThan">
      <formula>'1852'!$N$25</formula>
    </cfRule>
  </conditionalFormatting>
  <conditionalFormatting sqref="P26">
    <cfRule type="cellIs" dxfId="3683" priority="597" stopIfTrue="1" operator="equal">
      <formula>'1852'!$N$26</formula>
    </cfRule>
    <cfRule type="cellIs" dxfId="3682" priority="598" stopIfTrue="1" operator="lessThan">
      <formula>'1852'!$N$26</formula>
    </cfRule>
  </conditionalFormatting>
  <conditionalFormatting sqref="P27">
    <cfRule type="cellIs" dxfId="3681" priority="599" stopIfTrue="1" operator="equal">
      <formula>'1852'!$N$27</formula>
    </cfRule>
    <cfRule type="cellIs" dxfId="3680" priority="600" stopIfTrue="1" operator="lessThan">
      <formula>'1852'!$N$27</formula>
    </cfRule>
  </conditionalFormatting>
  <conditionalFormatting sqref="P28">
    <cfRule type="cellIs" dxfId="3679" priority="601" stopIfTrue="1" operator="equal">
      <formula>'1852'!$N$28</formula>
    </cfRule>
    <cfRule type="cellIs" dxfId="3678" priority="602" stopIfTrue="1" operator="lessThan">
      <formula>'1852'!$N$28</formula>
    </cfRule>
  </conditionalFormatting>
  <pageMargins left="0.7" right="0.7" top="0.78749999999999998" bottom="0.78749999999999998" header="0.51180555555555551" footer="0.51180555555555551"/>
  <pageSetup paperSize="9" scale="99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8"/>
  <sheetViews>
    <sheetView topLeftCell="M10" zoomScaleSheetLayoutView="100" workbookViewId="0">
      <selection activeCell="S1" sqref="S1"/>
    </sheetView>
  </sheetViews>
  <sheetFormatPr defaultRowHeight="15"/>
  <cols>
    <col min="1" max="1" width="8.5703125" style="30" customWidth="1"/>
    <col min="2" max="2" width="26.140625" customWidth="1"/>
    <col min="3" max="15" width="10.140625" customWidth="1"/>
    <col min="16" max="16" width="10.140625" bestFit="1" customWidth="1"/>
  </cols>
  <sheetData>
    <row r="1" spans="1:32" ht="15.75" thickBot="1"/>
    <row r="2" spans="1:32" s="1" customFormat="1" ht="21" customHeight="1" thickBot="1">
      <c r="A2" s="172">
        <v>1853</v>
      </c>
      <c r="B2" s="2"/>
      <c r="C2" s="3">
        <f>'1850'!C2</f>
        <v>43466</v>
      </c>
      <c r="D2" s="3">
        <f>'1850'!D2</f>
        <v>43497</v>
      </c>
      <c r="E2" s="3">
        <f>'1850'!E2</f>
        <v>43526</v>
      </c>
      <c r="F2" s="3">
        <f>'1850'!F2</f>
        <v>43556</v>
      </c>
      <c r="G2" s="3">
        <f>'1850'!G2</f>
        <v>43588</v>
      </c>
      <c r="H2" s="3">
        <f>'1850'!H2</f>
        <v>43620</v>
      </c>
      <c r="I2" s="3">
        <f>'1850'!I2</f>
        <v>43647</v>
      </c>
      <c r="J2" s="3">
        <f>'1850'!J2</f>
        <v>43678</v>
      </c>
      <c r="K2" s="3">
        <f>'1850'!K2</f>
        <v>43679</v>
      </c>
      <c r="L2" s="3">
        <f>'1850'!L2</f>
        <v>43739</v>
      </c>
      <c r="M2" s="221">
        <f>'1850'!M2</f>
        <v>43742</v>
      </c>
      <c r="N2" s="4">
        <f>'1850'!N2</f>
        <v>43770</v>
      </c>
      <c r="O2" s="4">
        <f>'1850'!O2</f>
        <v>43798</v>
      </c>
      <c r="P2" s="3">
        <f>'1850'!R2</f>
        <v>43831</v>
      </c>
      <c r="Q2" s="1" t="s">
        <v>61</v>
      </c>
      <c r="R2" s="1" t="s">
        <v>62</v>
      </c>
      <c r="S2" s="1" t="s">
        <v>63</v>
      </c>
      <c r="U2" s="234"/>
      <c r="V2" s="235"/>
      <c r="W2" s="235"/>
      <c r="X2" s="235"/>
      <c r="Y2" s="235" t="s">
        <v>320</v>
      </c>
      <c r="Z2" s="235"/>
      <c r="AA2" s="235"/>
      <c r="AB2" s="235"/>
      <c r="AC2" s="238"/>
      <c r="AD2" s="236"/>
      <c r="AE2" s="236" t="s">
        <v>319</v>
      </c>
      <c r="AF2" s="237"/>
    </row>
    <row r="3" spans="1:32" s="1" customFormat="1" ht="15.75" thickBot="1">
      <c r="A3" s="173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222" t="s">
        <v>228</v>
      </c>
      <c r="N3" s="5" t="s">
        <v>13</v>
      </c>
      <c r="O3" s="5" t="s">
        <v>14</v>
      </c>
      <c r="P3" s="5" t="s">
        <v>3</v>
      </c>
      <c r="Q3" s="1" t="s">
        <v>178</v>
      </c>
      <c r="R3" s="1" t="s">
        <v>177</v>
      </c>
      <c r="S3" s="1" t="s">
        <v>179</v>
      </c>
      <c r="T3" s="1" t="s">
        <v>321</v>
      </c>
      <c r="U3" s="5" t="s">
        <v>4</v>
      </c>
      <c r="V3" s="5" t="s">
        <v>5</v>
      </c>
      <c r="W3" s="5" t="s">
        <v>6</v>
      </c>
      <c r="X3" s="5" t="s">
        <v>7</v>
      </c>
      <c r="Y3" s="5" t="s">
        <v>8</v>
      </c>
      <c r="Z3" s="5" t="s">
        <v>9</v>
      </c>
      <c r="AA3" s="5" t="s">
        <v>10</v>
      </c>
      <c r="AB3" s="5" t="s">
        <v>11</v>
      </c>
      <c r="AC3" s="5" t="s">
        <v>12</v>
      </c>
      <c r="AD3" s="227" t="s">
        <v>13</v>
      </c>
      <c r="AE3" s="227" t="s">
        <v>14</v>
      </c>
      <c r="AF3" s="227" t="s">
        <v>3</v>
      </c>
    </row>
    <row r="4" spans="1:32" ht="15.75" thickBot="1">
      <c r="A4" s="276">
        <v>1</v>
      </c>
      <c r="B4" s="223" t="s">
        <v>277</v>
      </c>
      <c r="C4" s="7">
        <v>198.054</v>
      </c>
      <c r="D4" s="7">
        <v>210.55</v>
      </c>
      <c r="E4" s="7">
        <v>222.06700000000001</v>
      </c>
      <c r="F4" s="7">
        <v>233.708</v>
      </c>
      <c r="G4" s="7">
        <v>246.72800000000001</v>
      </c>
      <c r="H4" s="7">
        <v>260.85000000000002</v>
      </c>
      <c r="I4" s="7">
        <v>270.44600000000003</v>
      </c>
      <c r="J4" s="7">
        <v>282.65300000000002</v>
      </c>
      <c r="K4" s="7">
        <v>297.13499999999999</v>
      </c>
      <c r="L4" s="8">
        <v>309.13499999999999</v>
      </c>
      <c r="M4" s="7">
        <v>0.03</v>
      </c>
      <c r="N4" s="7">
        <v>13.225</v>
      </c>
      <c r="O4" s="7">
        <v>26.065999999999999</v>
      </c>
      <c r="P4" s="7">
        <v>40.011000000000003</v>
      </c>
      <c r="Q4" s="9">
        <f>P4-M4+L4-C4</f>
        <v>151.06199999999998</v>
      </c>
      <c r="T4" s="1">
        <v>1</v>
      </c>
      <c r="U4" s="228">
        <f>D4-C4</f>
        <v>12.496000000000009</v>
      </c>
      <c r="V4" s="228">
        <f t="shared" ref="V4:AC4" si="0">E4-D4</f>
        <v>11.516999999999996</v>
      </c>
      <c r="W4" s="228">
        <f t="shared" si="0"/>
        <v>11.640999999999991</v>
      </c>
      <c r="X4" s="228">
        <f t="shared" si="0"/>
        <v>13.02000000000001</v>
      </c>
      <c r="Y4" s="228">
        <f t="shared" si="0"/>
        <v>14.122000000000014</v>
      </c>
      <c r="Z4" s="228">
        <f t="shared" si="0"/>
        <v>9.5960000000000036</v>
      </c>
      <c r="AA4" s="228">
        <f t="shared" si="0"/>
        <v>12.206999999999994</v>
      </c>
      <c r="AB4" s="228">
        <f t="shared" si="0"/>
        <v>14.481999999999971</v>
      </c>
      <c r="AC4" s="228">
        <f t="shared" si="0"/>
        <v>12</v>
      </c>
      <c r="AD4" s="228">
        <f>N4-M4</f>
        <v>13.195</v>
      </c>
      <c r="AE4" s="228">
        <f t="shared" ref="AE4:AF4" si="1">O4-N4</f>
        <v>12.840999999999999</v>
      </c>
      <c r="AF4" s="228">
        <f t="shared" si="1"/>
        <v>13.945000000000004</v>
      </c>
    </row>
    <row r="5" spans="1:32">
      <c r="A5" s="276"/>
      <c r="B5" s="10" t="s">
        <v>64</v>
      </c>
      <c r="C5" s="11">
        <v>56.023000000000003</v>
      </c>
      <c r="D5" s="11">
        <v>62.737000000000002</v>
      </c>
      <c r="E5" s="11">
        <v>68.158000000000001</v>
      </c>
      <c r="F5" s="11">
        <v>72.67</v>
      </c>
      <c r="G5" s="11">
        <v>75.286000000000001</v>
      </c>
      <c r="H5" s="11">
        <v>77.03</v>
      </c>
      <c r="I5" s="11">
        <v>77.694000000000003</v>
      </c>
      <c r="J5" s="11">
        <v>78.528000000000006</v>
      </c>
      <c r="K5" s="11">
        <v>79.534000000000006</v>
      </c>
      <c r="L5" s="12">
        <v>80.540000000000006</v>
      </c>
      <c r="M5" s="12"/>
      <c r="N5" s="11">
        <v>82.367999999999995</v>
      </c>
      <c r="O5" s="11">
        <v>85.022999999999996</v>
      </c>
      <c r="P5" s="11">
        <v>89.811999999999998</v>
      </c>
      <c r="Q5" s="9"/>
      <c r="R5" s="9">
        <f>P5-C5</f>
        <v>33.788999999999994</v>
      </c>
      <c r="T5" s="1"/>
      <c r="U5" s="229"/>
      <c r="V5" s="229"/>
      <c r="W5" s="229"/>
      <c r="X5" s="229"/>
      <c r="Y5" s="229"/>
      <c r="Z5" s="229"/>
      <c r="AA5" s="229"/>
      <c r="AB5" s="229"/>
      <c r="AC5" s="229"/>
      <c r="AD5" s="229"/>
      <c r="AE5" s="229"/>
      <c r="AF5" s="229"/>
    </row>
    <row r="6" spans="1:32">
      <c r="A6" s="275">
        <v>2</v>
      </c>
      <c r="B6" s="224" t="s">
        <v>278</v>
      </c>
      <c r="C6" s="11">
        <v>405.48700000000002</v>
      </c>
      <c r="D6" s="11">
        <v>413.83100000000002</v>
      </c>
      <c r="E6" s="11">
        <v>421.36</v>
      </c>
      <c r="F6" s="11">
        <v>428.69400000000002</v>
      </c>
      <c r="G6" s="11">
        <v>437.34699999999998</v>
      </c>
      <c r="H6" s="11">
        <v>446.90800000000002</v>
      </c>
      <c r="I6" s="11">
        <v>452.459</v>
      </c>
      <c r="J6" s="11">
        <v>459.79599999999999</v>
      </c>
      <c r="K6" s="11">
        <v>467.755</v>
      </c>
      <c r="L6" s="11">
        <v>475.25700000000001</v>
      </c>
      <c r="M6" s="11">
        <v>0.01</v>
      </c>
      <c r="N6" s="11">
        <v>6.843</v>
      </c>
      <c r="O6" s="11">
        <v>10.087</v>
      </c>
      <c r="P6" s="11">
        <v>19.396999999999998</v>
      </c>
      <c r="Q6" s="9">
        <f t="shared" ref="Q6" si="2">P6-M6+L6-C6</f>
        <v>89.156999999999982</v>
      </c>
      <c r="T6" s="1">
        <v>2</v>
      </c>
      <c r="U6" s="230">
        <f t="shared" ref="U6:AC6" si="3">D6-C6</f>
        <v>8.3439999999999941</v>
      </c>
      <c r="V6" s="230">
        <f t="shared" si="3"/>
        <v>7.5289999999999964</v>
      </c>
      <c r="W6" s="230">
        <f t="shared" si="3"/>
        <v>7.3340000000000032</v>
      </c>
      <c r="X6" s="230">
        <f t="shared" si="3"/>
        <v>8.6529999999999632</v>
      </c>
      <c r="Y6" s="230">
        <f t="shared" si="3"/>
        <v>9.5610000000000355</v>
      </c>
      <c r="Z6" s="230">
        <f t="shared" si="3"/>
        <v>5.5509999999999877</v>
      </c>
      <c r="AA6" s="230">
        <f t="shared" si="3"/>
        <v>7.3369999999999891</v>
      </c>
      <c r="AB6" s="230">
        <f t="shared" si="3"/>
        <v>7.9590000000000032</v>
      </c>
      <c r="AC6" s="230">
        <f t="shared" si="3"/>
        <v>7.5020000000000095</v>
      </c>
      <c r="AD6" s="232">
        <f t="shared" ref="AD6:AF6" si="4">N6-M6</f>
        <v>6.8330000000000002</v>
      </c>
      <c r="AE6" s="232">
        <f t="shared" si="4"/>
        <v>3.2439999999999998</v>
      </c>
      <c r="AF6" s="232">
        <f t="shared" si="4"/>
        <v>9.3099999999999987</v>
      </c>
    </row>
    <row r="7" spans="1:32">
      <c r="A7" s="275"/>
      <c r="B7" s="10" t="s">
        <v>65</v>
      </c>
      <c r="C7" s="11">
        <v>14.737</v>
      </c>
      <c r="D7" s="11">
        <v>17.045000000000002</v>
      </c>
      <c r="E7" s="11">
        <v>18.754999999999999</v>
      </c>
      <c r="F7" s="11">
        <v>19.968</v>
      </c>
      <c r="G7" s="11">
        <v>20.698</v>
      </c>
      <c r="H7" s="11">
        <v>21.402000000000001</v>
      </c>
      <c r="I7" s="11">
        <v>21.760999999999999</v>
      </c>
      <c r="J7" s="11">
        <v>22.277000000000001</v>
      </c>
      <c r="K7" s="11">
        <v>22.745000000000001</v>
      </c>
      <c r="L7" s="11">
        <v>23.234000000000002</v>
      </c>
      <c r="M7" s="11"/>
      <c r="N7" s="11">
        <v>23.808</v>
      </c>
      <c r="O7" s="11">
        <v>24.466000000000001</v>
      </c>
      <c r="P7" s="11">
        <v>26.576000000000001</v>
      </c>
      <c r="Q7" s="9"/>
      <c r="R7" s="9">
        <f>P7-C7</f>
        <v>11.839</v>
      </c>
      <c r="T7" s="1"/>
      <c r="U7" s="229"/>
      <c r="V7" s="229"/>
      <c r="W7" s="229"/>
      <c r="X7" s="229"/>
      <c r="Y7" s="229"/>
      <c r="Z7" s="229"/>
      <c r="AA7" s="229"/>
      <c r="AB7" s="229"/>
      <c r="AC7" s="229"/>
      <c r="AD7" s="233"/>
      <c r="AE7" s="233"/>
      <c r="AF7" s="233"/>
    </row>
    <row r="8" spans="1:32">
      <c r="A8" s="280">
        <v>3</v>
      </c>
      <c r="B8" s="224" t="s">
        <v>279</v>
      </c>
      <c r="C8" s="11">
        <v>44.09</v>
      </c>
      <c r="D8" s="11">
        <v>45.155999999999999</v>
      </c>
      <c r="E8" s="11">
        <v>46.058999999999997</v>
      </c>
      <c r="F8" s="11">
        <v>47.481000000000002</v>
      </c>
      <c r="G8" s="11">
        <v>48.445</v>
      </c>
      <c r="H8" s="11">
        <v>49.454999999999998</v>
      </c>
      <c r="I8" s="11">
        <v>50.338999999999999</v>
      </c>
      <c r="J8" s="11">
        <v>51.344000000000001</v>
      </c>
      <c r="K8" s="11">
        <v>52.634999999999998</v>
      </c>
      <c r="L8" s="11">
        <v>54.63</v>
      </c>
      <c r="M8" s="11">
        <v>0.01</v>
      </c>
      <c r="N8" s="11">
        <v>0.92200000000000004</v>
      </c>
      <c r="O8" s="11">
        <v>1.522</v>
      </c>
      <c r="P8" s="11">
        <v>2.407</v>
      </c>
      <c r="Q8" s="9">
        <f t="shared" ref="Q8" si="5">P8-M8+L8-C8</f>
        <v>12.936999999999998</v>
      </c>
      <c r="T8" s="1">
        <v>3</v>
      </c>
      <c r="U8" s="230">
        <f t="shared" ref="U8:AC8" si="6">D8-C8</f>
        <v>1.0659999999999954</v>
      </c>
      <c r="V8" s="230">
        <f t="shared" si="6"/>
        <v>0.90299999999999869</v>
      </c>
      <c r="W8" s="230">
        <f t="shared" si="6"/>
        <v>1.4220000000000041</v>
      </c>
      <c r="X8" s="230">
        <f t="shared" si="6"/>
        <v>0.96399999999999864</v>
      </c>
      <c r="Y8" s="230">
        <f t="shared" si="6"/>
        <v>1.009999999999998</v>
      </c>
      <c r="Z8" s="230">
        <f t="shared" si="6"/>
        <v>0.88400000000000034</v>
      </c>
      <c r="AA8" s="230">
        <f t="shared" si="6"/>
        <v>1.0050000000000026</v>
      </c>
      <c r="AB8" s="230">
        <f t="shared" si="6"/>
        <v>1.2909999999999968</v>
      </c>
      <c r="AC8" s="230">
        <f t="shared" si="6"/>
        <v>1.9950000000000045</v>
      </c>
      <c r="AD8" s="232">
        <f t="shared" ref="AD8:AF8" si="7">N8-M8</f>
        <v>0.91200000000000003</v>
      </c>
      <c r="AE8" s="232">
        <f t="shared" si="7"/>
        <v>0.6</v>
      </c>
      <c r="AF8" s="232">
        <f t="shared" si="7"/>
        <v>0.88500000000000001</v>
      </c>
    </row>
    <row r="9" spans="1:32">
      <c r="A9" s="280"/>
      <c r="B9" s="10" t="s">
        <v>66</v>
      </c>
      <c r="C9" s="11">
        <v>10.391</v>
      </c>
      <c r="D9" s="11">
        <v>13.032</v>
      </c>
      <c r="E9" s="11">
        <v>15.04</v>
      </c>
      <c r="F9" s="11">
        <v>15.938000000000001</v>
      </c>
      <c r="G9" s="11">
        <v>15.967000000000001</v>
      </c>
      <c r="H9" s="11">
        <v>15.983000000000001</v>
      </c>
      <c r="I9" s="11">
        <v>16.006</v>
      </c>
      <c r="J9" s="11">
        <v>16.029</v>
      </c>
      <c r="K9" s="11">
        <v>16.053999999999998</v>
      </c>
      <c r="L9" s="11">
        <v>16.081</v>
      </c>
      <c r="M9" s="11"/>
      <c r="N9" s="11">
        <v>16.094000000000001</v>
      </c>
      <c r="O9" s="11">
        <v>16.401</v>
      </c>
      <c r="P9" s="11">
        <v>17.361000000000001</v>
      </c>
      <c r="Q9" s="9"/>
      <c r="R9" s="9">
        <f>P9-C9</f>
        <v>6.9700000000000006</v>
      </c>
      <c r="T9" s="1"/>
      <c r="U9" s="229"/>
      <c r="V9" s="229"/>
      <c r="W9" s="229"/>
      <c r="X9" s="229"/>
      <c r="Y9" s="229"/>
      <c r="Z9" s="229"/>
      <c r="AA9" s="229"/>
      <c r="AB9" s="229"/>
      <c r="AC9" s="229"/>
      <c r="AD9" s="233"/>
      <c r="AE9" s="233"/>
      <c r="AF9" s="233"/>
    </row>
    <row r="10" spans="1:32">
      <c r="A10" s="275">
        <v>4</v>
      </c>
      <c r="B10" s="224" t="s">
        <v>280</v>
      </c>
      <c r="C10" s="11">
        <v>107.926</v>
      </c>
      <c r="D10" s="11">
        <v>117.36499999999999</v>
      </c>
      <c r="E10" s="11">
        <v>126.842</v>
      </c>
      <c r="F10" s="11">
        <v>136.49199999999999</v>
      </c>
      <c r="G10" s="11">
        <v>144.35400000000001</v>
      </c>
      <c r="H10" s="11">
        <v>152.20699999999999</v>
      </c>
      <c r="I10" s="11">
        <v>156.755</v>
      </c>
      <c r="J10" s="11">
        <v>161.87299999999999</v>
      </c>
      <c r="K10" s="11">
        <v>167.548</v>
      </c>
      <c r="L10" s="11">
        <v>171.26</v>
      </c>
      <c r="M10" s="11">
        <v>0.04</v>
      </c>
      <c r="N10" s="11">
        <v>9.6080000000000005</v>
      </c>
      <c r="O10" s="11">
        <v>17.795000000000002</v>
      </c>
      <c r="P10" s="11">
        <v>23.053000000000001</v>
      </c>
      <c r="Q10" s="9">
        <f t="shared" ref="Q10" si="8">P10-M10+L10-C10</f>
        <v>86.346999999999994</v>
      </c>
      <c r="T10" s="1">
        <v>4</v>
      </c>
      <c r="U10" s="230">
        <f t="shared" ref="U10:AC10" si="9">D10-C10</f>
        <v>9.438999999999993</v>
      </c>
      <c r="V10" s="230">
        <f t="shared" si="9"/>
        <v>9.4770000000000039</v>
      </c>
      <c r="W10" s="230">
        <f t="shared" si="9"/>
        <v>9.6499999999999915</v>
      </c>
      <c r="X10" s="230">
        <f t="shared" si="9"/>
        <v>7.8620000000000232</v>
      </c>
      <c r="Y10" s="230">
        <f t="shared" si="9"/>
        <v>7.8529999999999802</v>
      </c>
      <c r="Z10" s="230">
        <f t="shared" si="9"/>
        <v>4.5480000000000018</v>
      </c>
      <c r="AA10" s="230">
        <f t="shared" si="9"/>
        <v>5.117999999999995</v>
      </c>
      <c r="AB10" s="230">
        <f t="shared" si="9"/>
        <v>5.6750000000000114</v>
      </c>
      <c r="AC10" s="230">
        <f t="shared" si="9"/>
        <v>3.7119999999999891</v>
      </c>
      <c r="AD10" s="232">
        <f t="shared" ref="AD10:AF10" si="10">N10-M10</f>
        <v>9.5680000000000014</v>
      </c>
      <c r="AE10" s="232">
        <f t="shared" si="10"/>
        <v>8.1870000000000012</v>
      </c>
      <c r="AF10" s="232">
        <f t="shared" si="10"/>
        <v>5.2579999999999991</v>
      </c>
    </row>
    <row r="11" spans="1:32">
      <c r="A11" s="275"/>
      <c r="B11" s="10" t="s">
        <v>67</v>
      </c>
      <c r="C11" s="11">
        <v>28.359000000000002</v>
      </c>
      <c r="D11" s="11">
        <v>32.475999999999999</v>
      </c>
      <c r="E11" s="11">
        <v>34.832999999999998</v>
      </c>
      <c r="F11" s="11">
        <v>36.308</v>
      </c>
      <c r="G11" s="11">
        <v>36.853999999999999</v>
      </c>
      <c r="H11" s="11">
        <v>37.335999999999999</v>
      </c>
      <c r="I11" s="11">
        <v>37.564</v>
      </c>
      <c r="J11" s="11">
        <v>37.813000000000002</v>
      </c>
      <c r="K11" s="11">
        <v>38.098999999999997</v>
      </c>
      <c r="L11" s="11">
        <v>38.26</v>
      </c>
      <c r="M11" s="11"/>
      <c r="N11" s="11">
        <v>39.125</v>
      </c>
      <c r="O11" s="11">
        <v>40.683999999999997</v>
      </c>
      <c r="P11" s="11">
        <v>42.628</v>
      </c>
      <c r="Q11" s="9"/>
      <c r="R11" s="9">
        <f>P11-C11</f>
        <v>14.268999999999998</v>
      </c>
      <c r="T11" s="1"/>
      <c r="U11" s="229"/>
      <c r="V11" s="229"/>
      <c r="W11" s="229"/>
      <c r="X11" s="229"/>
      <c r="Y11" s="229"/>
      <c r="Z11" s="229"/>
      <c r="AA11" s="229"/>
      <c r="AB11" s="229"/>
      <c r="AC11" s="229"/>
      <c r="AD11" s="233"/>
      <c r="AE11" s="233"/>
      <c r="AF11" s="233"/>
    </row>
    <row r="12" spans="1:32">
      <c r="A12" s="275">
        <v>5</v>
      </c>
      <c r="B12" s="224" t="s">
        <v>281</v>
      </c>
      <c r="C12" s="11">
        <v>283.13</v>
      </c>
      <c r="D12" s="11">
        <v>296.61399999999998</v>
      </c>
      <c r="E12" s="11">
        <v>311.20600000000002</v>
      </c>
      <c r="F12" s="11">
        <v>315.47899999999998</v>
      </c>
      <c r="G12" s="11">
        <v>323.78300000000002</v>
      </c>
      <c r="H12" s="11">
        <v>331.95299999999997</v>
      </c>
      <c r="I12" s="11">
        <v>339.42899999999997</v>
      </c>
      <c r="J12" s="11">
        <v>347.22300000000001</v>
      </c>
      <c r="K12" s="11">
        <v>353.34199999999998</v>
      </c>
      <c r="L12" s="11">
        <v>359.83</v>
      </c>
      <c r="M12" s="11">
        <v>0.01</v>
      </c>
      <c r="N12" s="11">
        <v>7.0309999999999997</v>
      </c>
      <c r="O12" s="11">
        <v>14.98</v>
      </c>
      <c r="P12" s="11">
        <v>24.350999999999999</v>
      </c>
      <c r="Q12" s="9">
        <f t="shared" ref="Q12" si="11">P12-M12+L12-C12</f>
        <v>101.041</v>
      </c>
      <c r="T12" s="1">
        <v>5</v>
      </c>
      <c r="U12" s="230">
        <f t="shared" ref="U12:AC12" si="12">D12-C12</f>
        <v>13.48399999999998</v>
      </c>
      <c r="V12" s="230">
        <f t="shared" si="12"/>
        <v>14.592000000000041</v>
      </c>
      <c r="W12" s="230">
        <f t="shared" si="12"/>
        <v>4.2729999999999677</v>
      </c>
      <c r="X12" s="230">
        <f t="shared" si="12"/>
        <v>8.3040000000000305</v>
      </c>
      <c r="Y12" s="230">
        <f t="shared" si="12"/>
        <v>8.1699999999999591</v>
      </c>
      <c r="Z12" s="230">
        <f t="shared" si="12"/>
        <v>7.4759999999999991</v>
      </c>
      <c r="AA12" s="230">
        <f t="shared" si="12"/>
        <v>7.7940000000000396</v>
      </c>
      <c r="AB12" s="230">
        <f t="shared" si="12"/>
        <v>6.1189999999999714</v>
      </c>
      <c r="AC12" s="230">
        <f t="shared" si="12"/>
        <v>6.4879999999999995</v>
      </c>
      <c r="AD12" s="232">
        <f t="shared" ref="AD12:AF12" si="13">N12-M12</f>
        <v>7.0209999999999999</v>
      </c>
      <c r="AE12" s="232">
        <f t="shared" si="13"/>
        <v>7.9490000000000007</v>
      </c>
      <c r="AF12" s="232">
        <f t="shared" si="13"/>
        <v>9.3709999999999987</v>
      </c>
    </row>
    <row r="13" spans="1:32">
      <c r="A13" s="275"/>
      <c r="B13" s="10" t="s">
        <v>68</v>
      </c>
      <c r="C13" s="11">
        <v>21.785</v>
      </c>
      <c r="D13" s="11">
        <v>24.501000000000001</v>
      </c>
      <c r="E13" s="11">
        <v>26.414999999999999</v>
      </c>
      <c r="F13" s="11">
        <v>27.164999999999999</v>
      </c>
      <c r="G13" s="11">
        <v>27.773</v>
      </c>
      <c r="H13" s="11">
        <v>28.361999999999998</v>
      </c>
      <c r="I13" s="11">
        <v>28.673999999999999</v>
      </c>
      <c r="J13" s="11">
        <v>29.052</v>
      </c>
      <c r="K13" s="11">
        <v>29.268999999999998</v>
      </c>
      <c r="L13" s="11">
        <v>29.526</v>
      </c>
      <c r="M13" s="11"/>
      <c r="N13" s="11">
        <v>30.045000000000002</v>
      </c>
      <c r="O13" s="11">
        <v>32.179000000000002</v>
      </c>
      <c r="P13" s="11">
        <v>34.753</v>
      </c>
      <c r="Q13" s="9"/>
      <c r="R13" s="9">
        <f>P13-C13</f>
        <v>12.968</v>
      </c>
      <c r="T13" s="1"/>
      <c r="U13" s="229"/>
      <c r="V13" s="229"/>
      <c r="W13" s="229"/>
      <c r="X13" s="229"/>
      <c r="Y13" s="229"/>
      <c r="Z13" s="229"/>
      <c r="AA13" s="229"/>
      <c r="AB13" s="229"/>
      <c r="AC13" s="229"/>
      <c r="AD13" s="233"/>
      <c r="AE13" s="233"/>
      <c r="AF13" s="233"/>
    </row>
    <row r="14" spans="1:32">
      <c r="A14" s="275">
        <v>6</v>
      </c>
      <c r="B14" s="224" t="s">
        <v>282</v>
      </c>
      <c r="C14" s="11">
        <v>306.416</v>
      </c>
      <c r="D14" s="11">
        <v>311.34699999999998</v>
      </c>
      <c r="E14" s="11">
        <v>316.12099999999998</v>
      </c>
      <c r="F14" s="11">
        <v>320.16000000000003</v>
      </c>
      <c r="G14" s="11">
        <v>324.47899999999998</v>
      </c>
      <c r="H14" s="11">
        <v>329.22699999999998</v>
      </c>
      <c r="I14" s="11">
        <v>333.53199999999998</v>
      </c>
      <c r="J14" s="11">
        <v>337.27</v>
      </c>
      <c r="K14" s="11">
        <v>340.91899999999998</v>
      </c>
      <c r="L14" s="11">
        <v>345.45</v>
      </c>
      <c r="M14" s="11">
        <v>0.01</v>
      </c>
      <c r="N14" s="11">
        <v>3.8820000000000001</v>
      </c>
      <c r="O14" s="11">
        <v>7.9550000000000001</v>
      </c>
      <c r="P14" s="11">
        <v>13.147</v>
      </c>
      <c r="Q14" s="9">
        <f t="shared" ref="Q14" si="14">P14-M14+L14-C14</f>
        <v>52.170999999999992</v>
      </c>
      <c r="T14" s="1">
        <v>6</v>
      </c>
      <c r="U14" s="230">
        <f t="shared" ref="U14:AC14" si="15">D14-C14</f>
        <v>4.9309999999999832</v>
      </c>
      <c r="V14" s="230">
        <f t="shared" si="15"/>
        <v>4.7740000000000009</v>
      </c>
      <c r="W14" s="230">
        <f t="shared" si="15"/>
        <v>4.0390000000000441</v>
      </c>
      <c r="X14" s="230">
        <f t="shared" si="15"/>
        <v>4.31899999999996</v>
      </c>
      <c r="Y14" s="230">
        <f t="shared" si="15"/>
        <v>4.7479999999999905</v>
      </c>
      <c r="Z14" s="230">
        <f t="shared" si="15"/>
        <v>4.3050000000000068</v>
      </c>
      <c r="AA14" s="230">
        <f t="shared" si="15"/>
        <v>3.7379999999999995</v>
      </c>
      <c r="AB14" s="230">
        <f t="shared" si="15"/>
        <v>3.6490000000000009</v>
      </c>
      <c r="AC14" s="230">
        <f t="shared" si="15"/>
        <v>4.5310000000000059</v>
      </c>
      <c r="AD14" s="232">
        <f t="shared" ref="AD14:AF14" si="16">N14-M14</f>
        <v>3.8720000000000003</v>
      </c>
      <c r="AE14" s="232">
        <f t="shared" si="16"/>
        <v>4.0730000000000004</v>
      </c>
      <c r="AF14" s="232">
        <f t="shared" si="16"/>
        <v>5.1920000000000002</v>
      </c>
    </row>
    <row r="15" spans="1:32">
      <c r="A15" s="275"/>
      <c r="B15" s="10" t="s">
        <v>69</v>
      </c>
      <c r="C15" s="11">
        <v>38.582000000000001</v>
      </c>
      <c r="D15" s="11">
        <v>41.667999999999999</v>
      </c>
      <c r="E15" s="11">
        <v>43.31</v>
      </c>
      <c r="F15" s="11">
        <v>44.197000000000003</v>
      </c>
      <c r="G15" s="11">
        <v>44.738</v>
      </c>
      <c r="H15" s="11">
        <v>45.231000000000002</v>
      </c>
      <c r="I15" s="11">
        <v>45.332000000000001</v>
      </c>
      <c r="J15" s="11">
        <v>45.414000000000001</v>
      </c>
      <c r="K15" s="11">
        <v>45.506999999999998</v>
      </c>
      <c r="L15" s="11">
        <v>45.600999999999999</v>
      </c>
      <c r="M15" s="11"/>
      <c r="N15" s="11">
        <v>46.262999999999998</v>
      </c>
      <c r="O15" s="11">
        <v>48.009</v>
      </c>
      <c r="P15" s="11">
        <v>50.337000000000003</v>
      </c>
      <c r="Q15" s="9"/>
      <c r="R15" s="9">
        <f>P15-C15</f>
        <v>11.755000000000003</v>
      </c>
      <c r="T15" s="1"/>
      <c r="U15" s="229"/>
      <c r="V15" s="229"/>
      <c r="W15" s="229"/>
      <c r="X15" s="229"/>
      <c r="Y15" s="229"/>
      <c r="Z15" s="229"/>
      <c r="AA15" s="229"/>
      <c r="AB15" s="229"/>
      <c r="AC15" s="229"/>
      <c r="AD15" s="233"/>
      <c r="AE15" s="233"/>
      <c r="AF15" s="233"/>
    </row>
    <row r="16" spans="1:32">
      <c r="A16" s="275">
        <v>7</v>
      </c>
      <c r="B16" s="224" t="s">
        <v>283</v>
      </c>
      <c r="C16" s="11">
        <v>33.134</v>
      </c>
      <c r="D16" s="11">
        <v>45.347000000000001</v>
      </c>
      <c r="E16" s="11">
        <v>54.18</v>
      </c>
      <c r="F16" s="11">
        <v>62.238</v>
      </c>
      <c r="G16" s="11">
        <v>70.933000000000007</v>
      </c>
      <c r="H16" s="11">
        <v>79.531000000000006</v>
      </c>
      <c r="I16" s="11">
        <v>86.322000000000003</v>
      </c>
      <c r="J16" s="11">
        <v>91.548000000000002</v>
      </c>
      <c r="K16" s="11">
        <v>98.542000000000002</v>
      </c>
      <c r="L16" s="11">
        <v>108.673</v>
      </c>
      <c r="M16" s="11">
        <v>0.05</v>
      </c>
      <c r="N16" s="11">
        <v>9.0120000000000005</v>
      </c>
      <c r="O16" s="11">
        <v>17.613</v>
      </c>
      <c r="P16" s="11">
        <v>27.943999999999999</v>
      </c>
      <c r="Q16" s="9">
        <f t="shared" ref="Q16" si="17">P16-M16+L16-C16</f>
        <v>103.43300000000001</v>
      </c>
      <c r="T16" s="1">
        <v>7</v>
      </c>
      <c r="U16" s="230">
        <f t="shared" ref="U16:AC16" si="18">D16-C16</f>
        <v>12.213000000000001</v>
      </c>
      <c r="V16" s="230">
        <f t="shared" si="18"/>
        <v>8.8329999999999984</v>
      </c>
      <c r="W16" s="230">
        <f t="shared" si="18"/>
        <v>8.0579999999999998</v>
      </c>
      <c r="X16" s="230">
        <f t="shared" si="18"/>
        <v>8.6950000000000074</v>
      </c>
      <c r="Y16" s="230">
        <f t="shared" si="18"/>
        <v>8.597999999999999</v>
      </c>
      <c r="Z16" s="230">
        <f t="shared" si="18"/>
        <v>6.7909999999999968</v>
      </c>
      <c r="AA16" s="230">
        <f t="shared" si="18"/>
        <v>5.2259999999999991</v>
      </c>
      <c r="AB16" s="230">
        <f t="shared" si="18"/>
        <v>6.9939999999999998</v>
      </c>
      <c r="AC16" s="230">
        <f t="shared" si="18"/>
        <v>10.131</v>
      </c>
      <c r="AD16" s="232">
        <f t="shared" ref="AD16:AF16" si="19">N16-M16</f>
        <v>8.9619999999999997</v>
      </c>
      <c r="AE16" s="232">
        <f t="shared" si="19"/>
        <v>8.6009999999999991</v>
      </c>
      <c r="AF16" s="232">
        <f t="shared" si="19"/>
        <v>10.331</v>
      </c>
    </row>
    <row r="17" spans="1:32">
      <c r="A17" s="275"/>
      <c r="B17" s="10" t="s">
        <v>70</v>
      </c>
      <c r="C17" s="11">
        <v>20.053000000000001</v>
      </c>
      <c r="D17" s="11">
        <v>24.544</v>
      </c>
      <c r="E17" s="11">
        <v>27.323</v>
      </c>
      <c r="F17" s="11">
        <v>29.140999999999998</v>
      </c>
      <c r="G17" s="11">
        <v>30.22</v>
      </c>
      <c r="H17" s="11">
        <v>31.364000000000001</v>
      </c>
      <c r="I17" s="11">
        <v>31.812999999999999</v>
      </c>
      <c r="J17" s="11">
        <v>32.182000000000002</v>
      </c>
      <c r="K17" s="11">
        <v>32.662999999999997</v>
      </c>
      <c r="L17" s="11">
        <v>33.31</v>
      </c>
      <c r="M17" s="11"/>
      <c r="N17" s="11">
        <v>34.281999999999996</v>
      </c>
      <c r="O17" s="11">
        <v>36.978000000000002</v>
      </c>
      <c r="P17" s="11">
        <v>40.869999999999997</v>
      </c>
      <c r="Q17" s="9"/>
      <c r="R17" s="9">
        <f>P17-C17</f>
        <v>20.816999999999997</v>
      </c>
      <c r="T17" s="1"/>
      <c r="U17" s="229"/>
      <c r="V17" s="229"/>
      <c r="W17" s="229"/>
      <c r="X17" s="229"/>
      <c r="Y17" s="229"/>
      <c r="Z17" s="229"/>
      <c r="AA17" s="229"/>
      <c r="AB17" s="229"/>
      <c r="AC17" s="229"/>
      <c r="AD17" s="229"/>
      <c r="AE17" s="229"/>
      <c r="AF17" s="229"/>
    </row>
    <row r="18" spans="1:32">
      <c r="A18" s="275">
        <v>8</v>
      </c>
      <c r="B18" s="224" t="s">
        <v>284</v>
      </c>
      <c r="C18" s="11">
        <v>34.36</v>
      </c>
      <c r="D18" s="11">
        <v>40.868000000000002</v>
      </c>
      <c r="E18" s="11">
        <v>47.972999999999999</v>
      </c>
      <c r="F18" s="11">
        <v>54.286000000000001</v>
      </c>
      <c r="G18" s="11">
        <v>60.886000000000003</v>
      </c>
      <c r="H18" s="11">
        <v>67.83</v>
      </c>
      <c r="I18" s="11">
        <v>73.376999999999995</v>
      </c>
      <c r="J18" s="11">
        <v>79.468999999999994</v>
      </c>
      <c r="K18" s="11">
        <v>83.792000000000002</v>
      </c>
      <c r="L18" s="11">
        <v>90.975999999999999</v>
      </c>
      <c r="M18" s="11">
        <v>0.01</v>
      </c>
      <c r="N18" s="11">
        <v>5.87</v>
      </c>
      <c r="O18" s="11">
        <v>12.04</v>
      </c>
      <c r="P18" s="11">
        <v>19.689</v>
      </c>
      <c r="Q18" s="9">
        <f t="shared" ref="Q18" si="20">P18-M18+L18-C18</f>
        <v>76.295000000000002</v>
      </c>
      <c r="T18" s="1">
        <v>8</v>
      </c>
      <c r="U18" s="230">
        <f t="shared" ref="U18:AC18" si="21">D18-C18</f>
        <v>6.5080000000000027</v>
      </c>
      <c r="V18" s="230">
        <f t="shared" si="21"/>
        <v>7.1049999999999969</v>
      </c>
      <c r="W18" s="230">
        <f t="shared" si="21"/>
        <v>6.3130000000000024</v>
      </c>
      <c r="X18" s="230">
        <f t="shared" si="21"/>
        <v>6.6000000000000014</v>
      </c>
      <c r="Y18" s="230">
        <f t="shared" si="21"/>
        <v>6.9439999999999955</v>
      </c>
      <c r="Z18" s="230">
        <f t="shared" si="21"/>
        <v>5.546999999999997</v>
      </c>
      <c r="AA18" s="230">
        <f t="shared" si="21"/>
        <v>6.0919999999999987</v>
      </c>
      <c r="AB18" s="230">
        <f t="shared" si="21"/>
        <v>4.3230000000000075</v>
      </c>
      <c r="AC18" s="230">
        <f t="shared" si="21"/>
        <v>7.1839999999999975</v>
      </c>
      <c r="AD18" s="230">
        <f t="shared" ref="AD18:AF18" si="22">N18-M18</f>
        <v>5.86</v>
      </c>
      <c r="AE18" s="230">
        <f t="shared" si="22"/>
        <v>6.169999999999999</v>
      </c>
      <c r="AF18" s="230">
        <f t="shared" si="22"/>
        <v>7.6490000000000009</v>
      </c>
    </row>
    <row r="19" spans="1:32">
      <c r="A19" s="275"/>
      <c r="B19" s="10" t="s">
        <v>71</v>
      </c>
      <c r="C19" s="11">
        <v>10.563000000000001</v>
      </c>
      <c r="D19" s="11">
        <v>15.605</v>
      </c>
      <c r="E19" s="11">
        <v>18.59</v>
      </c>
      <c r="F19" s="11">
        <v>20.594000000000001</v>
      </c>
      <c r="G19" s="11">
        <v>21.507999999999999</v>
      </c>
      <c r="H19" s="11">
        <v>22.236999999999998</v>
      </c>
      <c r="I19" s="11">
        <v>22.452000000000002</v>
      </c>
      <c r="J19" s="11">
        <v>22.738</v>
      </c>
      <c r="K19" s="11">
        <v>22.951000000000001</v>
      </c>
      <c r="L19" s="11">
        <v>23.280999999999999</v>
      </c>
      <c r="M19" s="11"/>
      <c r="N19" s="11">
        <v>24.315999999999999</v>
      </c>
      <c r="O19" s="11">
        <v>27.257000000000001</v>
      </c>
      <c r="P19" s="11">
        <v>31.263999999999999</v>
      </c>
      <c r="Q19" s="9"/>
      <c r="R19" s="9">
        <f>P19-C19</f>
        <v>20.701000000000001</v>
      </c>
      <c r="T19" s="1"/>
      <c r="U19" s="229"/>
      <c r="V19" s="229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</row>
    <row r="20" spans="1:32">
      <c r="A20" s="275">
        <v>9</v>
      </c>
      <c r="B20" s="224" t="s">
        <v>285</v>
      </c>
      <c r="C20" s="11">
        <v>130.44</v>
      </c>
      <c r="D20" s="11">
        <v>134.01499999999999</v>
      </c>
      <c r="E20" s="11">
        <v>137.27699999999999</v>
      </c>
      <c r="F20" s="11">
        <v>140.916</v>
      </c>
      <c r="G20" s="11">
        <v>145.33600000000001</v>
      </c>
      <c r="H20" s="11">
        <v>149.54599999999999</v>
      </c>
      <c r="I20" s="11">
        <v>153.197</v>
      </c>
      <c r="J20" s="11">
        <v>156.77600000000001</v>
      </c>
      <c r="K20" s="11">
        <v>160.31</v>
      </c>
      <c r="L20" s="11">
        <v>163.56</v>
      </c>
      <c r="M20" s="11">
        <v>7.0000000000000007E-2</v>
      </c>
      <c r="N20" s="11">
        <v>3.22</v>
      </c>
      <c r="O20" s="11">
        <v>6.5179999999999998</v>
      </c>
      <c r="P20" s="11">
        <v>10.416</v>
      </c>
      <c r="Q20" s="9">
        <f t="shared" ref="Q20" si="23">P20-M20+L20-C20</f>
        <v>43.466000000000008</v>
      </c>
      <c r="T20" s="1">
        <v>9</v>
      </c>
      <c r="U20" s="230">
        <f t="shared" ref="U20:AC20" si="24">D20-C20</f>
        <v>3.5749999999999886</v>
      </c>
      <c r="V20" s="230">
        <f t="shared" si="24"/>
        <v>3.2620000000000005</v>
      </c>
      <c r="W20" s="230">
        <f t="shared" si="24"/>
        <v>3.63900000000001</v>
      </c>
      <c r="X20" s="230">
        <f t="shared" si="24"/>
        <v>4.4200000000000159</v>
      </c>
      <c r="Y20" s="230">
        <f t="shared" si="24"/>
        <v>4.2099999999999795</v>
      </c>
      <c r="Z20" s="230">
        <f t="shared" si="24"/>
        <v>3.6510000000000105</v>
      </c>
      <c r="AA20" s="230">
        <f t="shared" si="24"/>
        <v>3.5790000000000077</v>
      </c>
      <c r="AB20" s="230">
        <f t="shared" si="24"/>
        <v>3.5339999999999918</v>
      </c>
      <c r="AC20" s="230">
        <f t="shared" si="24"/>
        <v>3.25</v>
      </c>
      <c r="AD20" s="230">
        <f t="shared" ref="AD20:AF20" si="25">N20-M20</f>
        <v>3.1500000000000004</v>
      </c>
      <c r="AE20" s="230">
        <f t="shared" si="25"/>
        <v>3.2979999999999996</v>
      </c>
      <c r="AF20" s="230">
        <f t="shared" si="25"/>
        <v>3.8980000000000006</v>
      </c>
    </row>
    <row r="21" spans="1:32">
      <c r="A21" s="275"/>
      <c r="B21" s="10" t="s">
        <v>72</v>
      </c>
      <c r="C21" s="11">
        <v>33.064999999999998</v>
      </c>
      <c r="D21" s="11">
        <v>37.776000000000003</v>
      </c>
      <c r="E21" s="11">
        <v>40.695999999999998</v>
      </c>
      <c r="F21" s="11">
        <v>42.877000000000002</v>
      </c>
      <c r="G21" s="11">
        <v>43.697000000000003</v>
      </c>
      <c r="H21" s="11">
        <v>44.639000000000003</v>
      </c>
      <c r="I21" s="11">
        <v>44.917999999999999</v>
      </c>
      <c r="J21" s="11">
        <v>45.215000000000003</v>
      </c>
      <c r="K21" s="11">
        <v>45.512</v>
      </c>
      <c r="L21" s="11">
        <v>45.8</v>
      </c>
      <c r="M21" s="11"/>
      <c r="N21" s="11">
        <v>46.584000000000003</v>
      </c>
      <c r="O21" s="11">
        <v>49.057000000000002</v>
      </c>
      <c r="P21" s="11">
        <v>52.976999999999997</v>
      </c>
      <c r="Q21" s="9"/>
      <c r="R21" s="9">
        <f>P21-C21</f>
        <v>19.911999999999999</v>
      </c>
      <c r="T21" s="1"/>
      <c r="U21" s="229"/>
      <c r="V21" s="229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</row>
    <row r="22" spans="1:32">
      <c r="A22" s="275">
        <v>10</v>
      </c>
      <c r="B22" s="224" t="s">
        <v>286</v>
      </c>
      <c r="C22" s="11">
        <v>325.42599999999999</v>
      </c>
      <c r="D22" s="11">
        <v>330.74299999999999</v>
      </c>
      <c r="E22" s="11">
        <v>336.55500000000001</v>
      </c>
      <c r="F22" s="11">
        <v>342.738</v>
      </c>
      <c r="G22" s="11">
        <v>347.096</v>
      </c>
      <c r="H22" s="11">
        <v>352.90199999999999</v>
      </c>
      <c r="I22" s="11">
        <v>356.70299999999997</v>
      </c>
      <c r="J22" s="11">
        <v>362.214</v>
      </c>
      <c r="K22" s="11">
        <v>367.09</v>
      </c>
      <c r="L22" s="11">
        <v>373.69600000000003</v>
      </c>
      <c r="M22" s="11">
        <v>0.01</v>
      </c>
      <c r="N22" s="11">
        <v>5.0410000000000004</v>
      </c>
      <c r="O22" s="11">
        <v>10.269</v>
      </c>
      <c r="P22" s="11">
        <v>17.995999999999999</v>
      </c>
      <c r="Q22" s="9">
        <f t="shared" ref="Q22" si="26">P22-M22+L22-C22</f>
        <v>66.256000000000029</v>
      </c>
      <c r="T22" s="1">
        <v>10</v>
      </c>
      <c r="U22" s="230">
        <f t="shared" ref="U22:AC22" si="27">D22-C22</f>
        <v>5.3170000000000073</v>
      </c>
      <c r="V22" s="230">
        <f t="shared" si="27"/>
        <v>5.8120000000000118</v>
      </c>
      <c r="W22" s="230">
        <f t="shared" si="27"/>
        <v>6.1829999999999927</v>
      </c>
      <c r="X22" s="230">
        <f t="shared" si="27"/>
        <v>4.3580000000000041</v>
      </c>
      <c r="Y22" s="230">
        <f t="shared" si="27"/>
        <v>5.8059999999999832</v>
      </c>
      <c r="Z22" s="230">
        <f t="shared" si="27"/>
        <v>3.8009999999999877</v>
      </c>
      <c r="AA22" s="230">
        <f t="shared" si="27"/>
        <v>5.5110000000000241</v>
      </c>
      <c r="AB22" s="230">
        <f t="shared" si="27"/>
        <v>4.8759999999999764</v>
      </c>
      <c r="AC22" s="230">
        <f t="shared" si="27"/>
        <v>6.6060000000000514</v>
      </c>
      <c r="AD22" s="230">
        <f t="shared" ref="AD22:AF22" si="28">N22-M22</f>
        <v>5.0310000000000006</v>
      </c>
      <c r="AE22" s="230">
        <f t="shared" si="28"/>
        <v>5.2279999999999998</v>
      </c>
      <c r="AF22" s="230">
        <f t="shared" si="28"/>
        <v>7.7269999999999985</v>
      </c>
    </row>
    <row r="23" spans="1:32">
      <c r="A23" s="275"/>
      <c r="B23" s="10" t="s">
        <v>73</v>
      </c>
      <c r="C23" s="11">
        <v>37.372999999999998</v>
      </c>
      <c r="D23" s="11">
        <v>41.192</v>
      </c>
      <c r="E23" s="11">
        <v>44.470999999999997</v>
      </c>
      <c r="F23" s="11">
        <v>47.12</v>
      </c>
      <c r="G23" s="11">
        <v>48.94</v>
      </c>
      <c r="H23" s="11">
        <v>50.292999999999999</v>
      </c>
      <c r="I23" s="11">
        <v>50.381</v>
      </c>
      <c r="J23" s="11">
        <v>50.534999999999997</v>
      </c>
      <c r="K23" s="11">
        <v>50.637</v>
      </c>
      <c r="L23" s="11">
        <v>50.936999999999998</v>
      </c>
      <c r="M23" s="11"/>
      <c r="N23" s="11">
        <v>52.43</v>
      </c>
      <c r="O23" s="11">
        <v>55.326999999999998</v>
      </c>
      <c r="P23" s="11">
        <v>59.152000000000001</v>
      </c>
      <c r="Q23" s="14"/>
      <c r="R23" s="146">
        <f>P23-C23</f>
        <v>21.779000000000003</v>
      </c>
      <c r="U23" s="229"/>
      <c r="V23" s="229"/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</row>
    <row r="24" spans="1:32">
      <c r="A24" s="174"/>
      <c r="B24" s="16" t="s">
        <v>74</v>
      </c>
      <c r="C24" s="15">
        <v>47097</v>
      </c>
      <c r="D24" s="15">
        <v>47423</v>
      </c>
      <c r="E24" s="15">
        <v>47693</v>
      </c>
      <c r="F24" s="15">
        <v>47934</v>
      </c>
      <c r="G24" s="15">
        <v>48250</v>
      </c>
      <c r="H24" s="15">
        <v>48524</v>
      </c>
      <c r="I24" s="15">
        <v>48741</v>
      </c>
      <c r="J24" s="15">
        <v>49037</v>
      </c>
      <c r="K24" s="15">
        <v>49257</v>
      </c>
      <c r="L24" s="15">
        <v>49494</v>
      </c>
      <c r="M24" s="15"/>
      <c r="N24" s="15">
        <v>49862</v>
      </c>
      <c r="O24" s="15">
        <v>50127</v>
      </c>
      <c r="P24" s="15">
        <v>50383</v>
      </c>
      <c r="Q24" s="9">
        <f>SUM(Q4:Q23)</f>
        <v>782.16499999999996</v>
      </c>
      <c r="R24" s="9">
        <f>SUM(R4:R23)</f>
        <v>174.79900000000001</v>
      </c>
      <c r="S24" s="32">
        <f>P24-C24</f>
        <v>3286</v>
      </c>
    </row>
    <row r="25" spans="1:32">
      <c r="A25" s="174" t="s">
        <v>25</v>
      </c>
      <c r="B25" s="10" t="s">
        <v>75</v>
      </c>
      <c r="C25" s="15">
        <v>40137</v>
      </c>
      <c r="D25" s="15">
        <v>40582</v>
      </c>
      <c r="E25" s="15">
        <v>40964</v>
      </c>
      <c r="F25" s="15">
        <v>41310</v>
      </c>
      <c r="G25" s="15">
        <v>41628</v>
      </c>
      <c r="H25" s="15">
        <v>41902</v>
      </c>
      <c r="I25" s="15">
        <v>42109</v>
      </c>
      <c r="J25" s="15">
        <v>42354</v>
      </c>
      <c r="K25" s="15">
        <v>42653</v>
      </c>
      <c r="L25" s="15">
        <v>42973</v>
      </c>
      <c r="M25" s="15"/>
      <c r="N25" s="15">
        <v>43391</v>
      </c>
      <c r="O25" s="15">
        <v>43833</v>
      </c>
      <c r="P25" s="15">
        <v>44564</v>
      </c>
      <c r="S25" s="32">
        <f>P25-C25</f>
        <v>4427</v>
      </c>
    </row>
    <row r="26" spans="1:32">
      <c r="A26" s="174"/>
      <c r="B26" s="33" t="s">
        <v>76</v>
      </c>
      <c r="C26" s="11">
        <v>527</v>
      </c>
      <c r="D26" s="34">
        <v>527</v>
      </c>
      <c r="E26" s="11">
        <v>527</v>
      </c>
      <c r="F26" s="11">
        <v>527</v>
      </c>
      <c r="G26" s="11">
        <v>542.42600000000004</v>
      </c>
      <c r="H26" s="11">
        <v>551.43799999999999</v>
      </c>
      <c r="I26" s="11">
        <v>583.55600000000004</v>
      </c>
      <c r="J26" s="11">
        <v>614.16</v>
      </c>
      <c r="K26" s="11">
        <v>632.31799999999998</v>
      </c>
      <c r="L26" s="11">
        <v>641.81700000000001</v>
      </c>
      <c r="M26" s="11"/>
      <c r="N26" s="11">
        <v>643.69100000000003</v>
      </c>
      <c r="O26" s="11">
        <v>655.34799999999996</v>
      </c>
      <c r="P26" s="11">
        <v>655.34799999999996</v>
      </c>
      <c r="Q26" s="9">
        <f>P26-C26</f>
        <v>128.34799999999996</v>
      </c>
    </row>
    <row r="27" spans="1:32">
      <c r="A27" s="174"/>
      <c r="B27" s="224" t="s">
        <v>276</v>
      </c>
      <c r="C27" s="20">
        <v>2431.3000000000002</v>
      </c>
      <c r="D27" s="20">
        <v>2514.5</v>
      </c>
      <c r="E27" s="20">
        <v>2593.4</v>
      </c>
      <c r="F27" s="20">
        <v>2661.2</v>
      </c>
      <c r="G27" s="20">
        <v>2749.4</v>
      </c>
      <c r="H27" s="20">
        <v>2834.9</v>
      </c>
      <c r="I27" s="20">
        <v>2924.9</v>
      </c>
      <c r="J27" s="20">
        <v>3016.4</v>
      </c>
      <c r="K27" s="20">
        <v>3097.7</v>
      </c>
      <c r="L27" s="20">
        <v>3174.4</v>
      </c>
      <c r="M27" s="20">
        <v>0</v>
      </c>
      <c r="N27" s="20">
        <v>71.7</v>
      </c>
      <c r="O27" s="20">
        <v>149.5</v>
      </c>
      <c r="P27" s="20">
        <v>230.5</v>
      </c>
      <c r="Q27" s="9">
        <f t="shared" ref="Q27" si="29">P27-M27+L27-C27</f>
        <v>973.59999999999991</v>
      </c>
    </row>
    <row r="28" spans="1:32">
      <c r="A28" s="174"/>
      <c r="B28" s="10" t="s">
        <v>77</v>
      </c>
      <c r="C28" s="21">
        <v>188.01</v>
      </c>
      <c r="D28" s="21">
        <v>200.55</v>
      </c>
      <c r="E28" s="21">
        <v>209.52</v>
      </c>
      <c r="F28" s="21">
        <v>215.91</v>
      </c>
      <c r="G28" s="21">
        <v>219.87</v>
      </c>
      <c r="H28" s="21">
        <v>223.36</v>
      </c>
      <c r="I28" s="21">
        <v>0.62</v>
      </c>
      <c r="J28" s="22">
        <v>2.44</v>
      </c>
      <c r="K28" s="22">
        <v>4.33</v>
      </c>
      <c r="L28" s="21">
        <v>6.28</v>
      </c>
      <c r="M28" s="21"/>
      <c r="N28" s="21">
        <v>9.8800000000000008</v>
      </c>
      <c r="O28" s="21">
        <v>16.7</v>
      </c>
      <c r="P28" s="21">
        <v>26.72</v>
      </c>
      <c r="R28" s="9">
        <f>(P28-M33+M32-C28)*3.6</f>
        <v>226.40400000000005</v>
      </c>
      <c r="S28" t="s">
        <v>177</v>
      </c>
    </row>
    <row r="29" spans="1:32" ht="15.75" thickBot="1">
      <c r="A29" s="173"/>
      <c r="B29" s="31" t="s">
        <v>78</v>
      </c>
      <c r="C29" s="35">
        <v>9883</v>
      </c>
      <c r="D29" s="35">
        <v>10839</v>
      </c>
      <c r="E29" s="35">
        <v>11613</v>
      </c>
      <c r="F29" s="35">
        <v>12360</v>
      </c>
      <c r="G29" s="35">
        <v>13086</v>
      </c>
      <c r="H29" s="35">
        <v>13789</v>
      </c>
      <c r="I29" s="35">
        <v>218</v>
      </c>
      <c r="J29" s="35">
        <v>812</v>
      </c>
      <c r="K29" s="35">
        <v>1404</v>
      </c>
      <c r="L29" s="35">
        <v>1937</v>
      </c>
      <c r="M29" s="35"/>
      <c r="N29" s="35">
        <v>2604</v>
      </c>
      <c r="O29" s="35">
        <v>3212</v>
      </c>
      <c r="P29" s="35">
        <v>3872</v>
      </c>
      <c r="R29" s="9"/>
    </row>
    <row r="30" spans="1:32" ht="15.75" thickBot="1">
      <c r="A30" s="175" t="str">
        <f>'1850'!A29</f>
        <v>fakturační vodoměr č.         110109308</v>
      </c>
      <c r="B30" s="25"/>
      <c r="C30" s="26">
        <f>'1850'!C29</f>
        <v>12400</v>
      </c>
      <c r="D30" s="26">
        <f>'1850'!D29</f>
        <v>12741.6</v>
      </c>
      <c r="E30" s="26">
        <f>'1850'!E29</f>
        <v>4358.2</v>
      </c>
      <c r="F30" s="26">
        <f>'1850'!F29</f>
        <v>4677.5</v>
      </c>
      <c r="G30" s="26">
        <f>'1850'!G29</f>
        <v>5038.2</v>
      </c>
      <c r="H30" s="26">
        <f>'1850'!H29</f>
        <v>5389.7</v>
      </c>
      <c r="I30" s="26">
        <f>'1850'!I29</f>
        <v>5691.3</v>
      </c>
      <c r="J30" s="26">
        <f>'1850'!J29</f>
        <v>6012.6</v>
      </c>
      <c r="K30" s="26">
        <f>'1850'!K29</f>
        <v>6313.8</v>
      </c>
      <c r="L30" s="26">
        <f>'1850'!L29</f>
        <v>6605.1</v>
      </c>
      <c r="M30" s="26"/>
      <c r="N30" s="26">
        <f>'1850'!N29</f>
        <v>6922.5</v>
      </c>
      <c r="O30" s="89">
        <f>'1850'!O29</f>
        <v>7232.3</v>
      </c>
      <c r="P30" s="26">
        <f>'1850'!R29</f>
        <v>7593.2</v>
      </c>
      <c r="Q30" s="9">
        <f>'1850'!S29</f>
        <v>3894.2000000000007</v>
      </c>
    </row>
    <row r="31" spans="1:32">
      <c r="B31" s="36"/>
    </row>
    <row r="32" spans="1:32">
      <c r="A32" s="186"/>
      <c r="D32" s="28" t="s">
        <v>29</v>
      </c>
      <c r="F32" s="29"/>
      <c r="H32" s="208" t="s">
        <v>221</v>
      </c>
      <c r="I32" s="209"/>
      <c r="J32" s="209"/>
      <c r="K32" s="208"/>
      <c r="L32" s="210" t="s">
        <v>219</v>
      </c>
      <c r="M32" s="211">
        <v>224.18</v>
      </c>
      <c r="N32" s="208" t="s">
        <v>220</v>
      </c>
      <c r="O32" s="90"/>
    </row>
    <row r="33" spans="1:15">
      <c r="A33" s="186"/>
      <c r="B33" t="s">
        <v>205</v>
      </c>
      <c r="C33">
        <v>110109308</v>
      </c>
      <c r="D33" s="177" t="s">
        <v>203</v>
      </c>
      <c r="E33">
        <v>12875</v>
      </c>
      <c r="F33" s="29"/>
      <c r="H33" s="213" t="s">
        <v>222</v>
      </c>
      <c r="I33" s="209"/>
      <c r="J33" s="209"/>
      <c r="K33" s="208"/>
      <c r="L33" s="210" t="s">
        <v>219</v>
      </c>
      <c r="M33" s="211">
        <v>0</v>
      </c>
      <c r="N33" s="208" t="s">
        <v>220</v>
      </c>
      <c r="O33" s="90"/>
    </row>
    <row r="34" spans="1:15">
      <c r="B34" s="159" t="s">
        <v>206</v>
      </c>
      <c r="C34" s="159">
        <v>63796</v>
      </c>
      <c r="D34" s="205" t="s">
        <v>204</v>
      </c>
      <c r="E34" s="159">
        <v>4174</v>
      </c>
      <c r="H34" s="217" t="s">
        <v>227</v>
      </c>
      <c r="I34" s="218"/>
      <c r="J34" s="219"/>
      <c r="K34" s="218"/>
      <c r="L34" s="90"/>
      <c r="M34" s="91"/>
      <c r="N34" s="117"/>
      <c r="O34" s="90"/>
    </row>
    <row r="35" spans="1:15">
      <c r="H35" t="s">
        <v>318</v>
      </c>
      <c r="I35" s="188"/>
      <c r="J35" s="188"/>
      <c r="K35" s="189"/>
      <c r="L35" s="90"/>
      <c r="N35" s="117"/>
      <c r="O35" s="90"/>
    </row>
    <row r="36" spans="1:15">
      <c r="K36" s="190"/>
    </row>
    <row r="37" spans="1:15">
      <c r="K37" s="190"/>
    </row>
    <row r="38" spans="1:15">
      <c r="K38" s="190"/>
    </row>
  </sheetData>
  <sheetProtection selectLockedCells="1" selectUnlockedCells="1"/>
  <mergeCells count="10"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E29">
    <cfRule type="cellIs" dxfId="3677" priority="53" stopIfTrue="1" operator="lessThan">
      <formula>'1853'!$D$29</formula>
    </cfRule>
    <cfRule type="cellIs" dxfId="3676" priority="54" stopIfTrue="1" operator="equal">
      <formula>'1853'!$D$29</formula>
    </cfRule>
  </conditionalFormatting>
  <conditionalFormatting sqref="D29">
    <cfRule type="cellIs" dxfId="3675" priority="55" stopIfTrue="1" operator="lessThan">
      <formula>'1853'!$C$29</formula>
    </cfRule>
    <cfRule type="cellIs" dxfId="3674" priority="56" stopIfTrue="1" operator="equal">
      <formula>'1853'!$C$29</formula>
    </cfRule>
  </conditionalFormatting>
  <conditionalFormatting sqref="I29">
    <cfRule type="cellIs" dxfId="3673" priority="58" stopIfTrue="1" operator="equal">
      <formula>'1853'!$H$29</formula>
    </cfRule>
    <cfRule type="cellIs" dxfId="3672" priority="59" stopIfTrue="1" operator="lessThan">
      <formula>'1853'!$H$29</formula>
    </cfRule>
  </conditionalFormatting>
  <conditionalFormatting sqref="J29">
    <cfRule type="cellIs" dxfId="3671" priority="60" stopIfTrue="1" operator="equal">
      <formula>'1853'!$I$29</formula>
    </cfRule>
    <cfRule type="cellIs" dxfId="3670" priority="61" stopIfTrue="1" operator="lessThan">
      <formula>'1853'!$I$29</formula>
    </cfRule>
  </conditionalFormatting>
  <conditionalFormatting sqref="H4">
    <cfRule type="cellIs" dxfId="3669" priority="62" stopIfTrue="1" operator="lessThan">
      <formula>'1853'!$G$4</formula>
    </cfRule>
    <cfRule type="cellIs" dxfId="3668" priority="63" stopIfTrue="1" operator="equal">
      <formula>'1853'!$G$4</formula>
    </cfRule>
  </conditionalFormatting>
  <conditionalFormatting sqref="G7">
    <cfRule type="cellIs" dxfId="3667" priority="64" stopIfTrue="1" operator="equal">
      <formula>'1853'!$F$7</formula>
    </cfRule>
    <cfRule type="cellIs" dxfId="3666" priority="65" stopIfTrue="1" operator="lessThan">
      <formula>'1853'!$F$7</formula>
    </cfRule>
  </conditionalFormatting>
  <conditionalFormatting sqref="H5">
    <cfRule type="cellIs" dxfId="3665" priority="66" stopIfTrue="1" operator="equal">
      <formula>'1853'!$G$5</formula>
    </cfRule>
    <cfRule type="cellIs" dxfId="3664" priority="67" stopIfTrue="1" operator="lessThan">
      <formula>'1853'!$G$5</formula>
    </cfRule>
  </conditionalFormatting>
  <conditionalFormatting sqref="I5">
    <cfRule type="cellIs" dxfId="3663" priority="68" stopIfTrue="1" operator="equal">
      <formula>'1853'!$H$5</formula>
    </cfRule>
    <cfRule type="cellIs" dxfId="3662" priority="69" stopIfTrue="1" operator="lessThan">
      <formula>'1853'!$H$5</formula>
    </cfRule>
  </conditionalFormatting>
  <conditionalFormatting sqref="J5">
    <cfRule type="cellIs" dxfId="3661" priority="70" stopIfTrue="1" operator="equal">
      <formula>'1853'!$I$5</formula>
    </cfRule>
    <cfRule type="cellIs" dxfId="3660" priority="71" stopIfTrue="1" operator="lessThan">
      <formula>'1853'!$I$5</formula>
    </cfRule>
  </conditionalFormatting>
  <conditionalFormatting sqref="F4">
    <cfRule type="cellIs" dxfId="3659" priority="72" stopIfTrue="1" operator="equal">
      <formula>'1853'!$E$4</formula>
    </cfRule>
    <cfRule type="cellIs" dxfId="3658" priority="73" stopIfTrue="1" operator="lessThan">
      <formula>'1853'!$E$4</formula>
    </cfRule>
  </conditionalFormatting>
  <conditionalFormatting sqref="D4">
    <cfRule type="cellIs" dxfId="3657" priority="74" stopIfTrue="1" operator="lessThan">
      <formula>'1853'!$C$4</formula>
    </cfRule>
    <cfRule type="cellIs" dxfId="3656" priority="75" stopIfTrue="1" operator="equal">
      <formula>'1853'!$C$4</formula>
    </cfRule>
  </conditionalFormatting>
  <conditionalFormatting sqref="E4">
    <cfRule type="cellIs" dxfId="3655" priority="76" stopIfTrue="1" operator="equal">
      <formula>'1853'!$D$4</formula>
    </cfRule>
    <cfRule type="cellIs" dxfId="3654" priority="77" stopIfTrue="1" operator="lessThan">
      <formula>'1853'!$D$4</formula>
    </cfRule>
  </conditionalFormatting>
  <conditionalFormatting sqref="D5">
    <cfRule type="cellIs" dxfId="3653" priority="78" stopIfTrue="1" operator="equal">
      <formula>'1853'!$C$5</formula>
    </cfRule>
    <cfRule type="cellIs" dxfId="3652" priority="79" stopIfTrue="1" operator="lessThan">
      <formula>'1853'!$C$5</formula>
    </cfRule>
  </conditionalFormatting>
  <conditionalFormatting sqref="F5">
    <cfRule type="cellIs" dxfId="3651" priority="80" stopIfTrue="1" operator="equal">
      <formula>'1853'!$E$5</formula>
    </cfRule>
    <cfRule type="cellIs" dxfId="3650" priority="81" stopIfTrue="1" operator="lessThan">
      <formula>'1853'!$E$5</formula>
    </cfRule>
  </conditionalFormatting>
  <conditionalFormatting sqref="I4">
    <cfRule type="cellIs" dxfId="3649" priority="82" stopIfTrue="1" operator="equal">
      <formula>'1853'!$H$4</formula>
    </cfRule>
  </conditionalFormatting>
  <conditionalFormatting sqref="J4">
    <cfRule type="cellIs" dxfId="3648" priority="83" stopIfTrue="1" operator="lessThan">
      <formula>'1853'!$I$4</formula>
    </cfRule>
    <cfRule type="cellIs" dxfId="3647" priority="84" stopIfTrue="1" operator="equal">
      <formula>'1853'!$I$4</formula>
    </cfRule>
  </conditionalFormatting>
  <conditionalFormatting sqref="D6">
    <cfRule type="cellIs" dxfId="3646" priority="85" stopIfTrue="1" operator="equal">
      <formula>'1853'!$C$6</formula>
    </cfRule>
    <cfRule type="cellIs" dxfId="3645" priority="86" stopIfTrue="1" operator="lessThan">
      <formula>'1853'!$C$6</formula>
    </cfRule>
  </conditionalFormatting>
  <conditionalFormatting sqref="E6">
    <cfRule type="cellIs" dxfId="3644" priority="87" stopIfTrue="1" operator="equal">
      <formula>'1853'!$D$6</formula>
    </cfRule>
    <cfRule type="cellIs" dxfId="3643" priority="88" stopIfTrue="1" operator="lessThan">
      <formula>'1853'!$D$6</formula>
    </cfRule>
  </conditionalFormatting>
  <conditionalFormatting sqref="F6">
    <cfRule type="cellIs" dxfId="3642" priority="89" stopIfTrue="1" operator="equal">
      <formula>'1853'!$E$6</formula>
    </cfRule>
    <cfRule type="cellIs" dxfId="3641" priority="90" stopIfTrue="1" operator="lessThan">
      <formula>'1853'!$E$6</formula>
    </cfRule>
  </conditionalFormatting>
  <conditionalFormatting sqref="G6">
    <cfRule type="cellIs" dxfId="3640" priority="91" stopIfTrue="1" operator="equal">
      <formula>'1853'!$F$6</formula>
    </cfRule>
    <cfRule type="cellIs" dxfId="3639" priority="92" stopIfTrue="1" operator="lessThan">
      <formula>'1853'!$F$6</formula>
    </cfRule>
  </conditionalFormatting>
  <conditionalFormatting sqref="H6">
    <cfRule type="cellIs" dxfId="3638" priority="93" stopIfTrue="1" operator="equal">
      <formula>'1853'!$G$6</formula>
    </cfRule>
    <cfRule type="cellIs" dxfId="3637" priority="94" stopIfTrue="1" operator="lessThan">
      <formula>'1853'!$G$6</formula>
    </cfRule>
  </conditionalFormatting>
  <conditionalFormatting sqref="I6">
    <cfRule type="cellIs" dxfId="3636" priority="95" stopIfTrue="1" operator="equal">
      <formula>'1853'!$H$6</formula>
    </cfRule>
    <cfRule type="cellIs" dxfId="3635" priority="96" stopIfTrue="1" operator="lessThan">
      <formula>'1853'!$H$6</formula>
    </cfRule>
  </conditionalFormatting>
  <conditionalFormatting sqref="J6">
    <cfRule type="cellIs" dxfId="3634" priority="97" stopIfTrue="1" operator="equal">
      <formula>'1853'!$I$6</formula>
    </cfRule>
    <cfRule type="cellIs" dxfId="3633" priority="98" stopIfTrue="1" operator="lessThan">
      <formula>'1853'!$I$6</formula>
    </cfRule>
  </conditionalFormatting>
  <conditionalFormatting sqref="D7">
    <cfRule type="cellIs" dxfId="3632" priority="99" stopIfTrue="1" operator="equal">
      <formula>'1853'!$C$7</formula>
    </cfRule>
    <cfRule type="cellIs" dxfId="3631" priority="100" stopIfTrue="1" operator="lessThan">
      <formula>'1853'!$C$7</formula>
    </cfRule>
  </conditionalFormatting>
  <conditionalFormatting sqref="E7">
    <cfRule type="cellIs" dxfId="3630" priority="101" stopIfTrue="1" operator="equal">
      <formula>'1853'!$D$7</formula>
    </cfRule>
    <cfRule type="cellIs" dxfId="3629" priority="102" stopIfTrue="1" operator="lessThan">
      <formula>'1853'!$D$7</formula>
    </cfRule>
  </conditionalFormatting>
  <conditionalFormatting sqref="F7">
    <cfRule type="cellIs" dxfId="3628" priority="103" stopIfTrue="1" operator="equal">
      <formula>'1853'!$E$7</formula>
    </cfRule>
    <cfRule type="cellIs" dxfId="3627" priority="104" stopIfTrue="1" operator="lessThan">
      <formula>'1853'!$E$7</formula>
    </cfRule>
  </conditionalFormatting>
  <conditionalFormatting sqref="H7">
    <cfRule type="cellIs" dxfId="3626" priority="105" stopIfTrue="1" operator="equal">
      <formula>'1853'!$G$7</formula>
    </cfRule>
    <cfRule type="cellIs" dxfId="3625" priority="106" stopIfTrue="1" operator="lessThan">
      <formula>'1853'!$G$7</formula>
    </cfRule>
  </conditionalFormatting>
  <conditionalFormatting sqref="I7">
    <cfRule type="cellIs" dxfId="3624" priority="107" stopIfTrue="1" operator="equal">
      <formula>'1853'!$H$7</formula>
    </cfRule>
    <cfRule type="cellIs" dxfId="3623" priority="108" stopIfTrue="1" operator="lessThan">
      <formula>'1853'!$H$7</formula>
    </cfRule>
  </conditionalFormatting>
  <conditionalFormatting sqref="J7">
    <cfRule type="cellIs" dxfId="3622" priority="109" stopIfTrue="1" operator="equal">
      <formula>'1853'!$I$7</formula>
    </cfRule>
    <cfRule type="cellIs" dxfId="3621" priority="110" stopIfTrue="1" operator="lessThan">
      <formula>'1853'!$I$7</formula>
    </cfRule>
  </conditionalFormatting>
  <conditionalFormatting sqref="D8">
    <cfRule type="cellIs" dxfId="3620" priority="111" stopIfTrue="1" operator="equal">
      <formula>'1853'!$C$8</formula>
    </cfRule>
    <cfRule type="cellIs" dxfId="3619" priority="112" stopIfTrue="1" operator="lessThan">
      <formula>'1853'!$C$8</formula>
    </cfRule>
  </conditionalFormatting>
  <conditionalFormatting sqref="E8">
    <cfRule type="cellIs" dxfId="3618" priority="113" stopIfTrue="1" operator="equal">
      <formula>'1853'!$D$8</formula>
    </cfRule>
    <cfRule type="cellIs" dxfId="3617" priority="114" stopIfTrue="1" operator="lessThan">
      <formula>'1853'!$D$8</formula>
    </cfRule>
  </conditionalFormatting>
  <conditionalFormatting sqref="F8">
    <cfRule type="cellIs" dxfId="3616" priority="115" stopIfTrue="1" operator="equal">
      <formula>'1853'!$E$8</formula>
    </cfRule>
    <cfRule type="cellIs" dxfId="3615" priority="116" stopIfTrue="1" operator="lessThan">
      <formula>'1853'!$E$8</formula>
    </cfRule>
  </conditionalFormatting>
  <conditionalFormatting sqref="G8">
    <cfRule type="cellIs" dxfId="3614" priority="117" stopIfTrue="1" operator="equal">
      <formula>'1853'!$F$8</formula>
    </cfRule>
    <cfRule type="cellIs" dxfId="3613" priority="118" stopIfTrue="1" operator="lessThan">
      <formula>'1853'!$F$8</formula>
    </cfRule>
  </conditionalFormatting>
  <conditionalFormatting sqref="H8">
    <cfRule type="cellIs" dxfId="3612" priority="119" stopIfTrue="1" operator="equal">
      <formula>'1853'!$G$8</formula>
    </cfRule>
    <cfRule type="cellIs" dxfId="3611" priority="120" stopIfTrue="1" operator="lessThan">
      <formula>'1853'!$G$8</formula>
    </cfRule>
  </conditionalFormatting>
  <conditionalFormatting sqref="I8">
    <cfRule type="cellIs" dxfId="3610" priority="121" stopIfTrue="1" operator="equal">
      <formula>'1853'!$H$8</formula>
    </cfRule>
    <cfRule type="cellIs" dxfId="3609" priority="122" stopIfTrue="1" operator="lessThan">
      <formula>'1853'!$H$8</formula>
    </cfRule>
  </conditionalFormatting>
  <conditionalFormatting sqref="J8">
    <cfRule type="cellIs" dxfId="3608" priority="123" stopIfTrue="1" operator="equal">
      <formula>'1853'!$I$8</formula>
    </cfRule>
    <cfRule type="cellIs" dxfId="3607" priority="124" stopIfTrue="1" operator="lessThan">
      <formula>'1853'!$I$8</formula>
    </cfRule>
  </conditionalFormatting>
  <conditionalFormatting sqref="D9">
    <cfRule type="cellIs" dxfId="3606" priority="125" stopIfTrue="1" operator="equal">
      <formula>'1853'!$C$9</formula>
    </cfRule>
    <cfRule type="cellIs" dxfId="3605" priority="126" stopIfTrue="1" operator="lessThan">
      <formula>'1853'!$C$9</formula>
    </cfRule>
  </conditionalFormatting>
  <conditionalFormatting sqref="E9">
    <cfRule type="cellIs" dxfId="3604" priority="127" stopIfTrue="1" operator="equal">
      <formula>'1853'!$D$9</formula>
    </cfRule>
    <cfRule type="cellIs" dxfId="3603" priority="128" stopIfTrue="1" operator="lessThan">
      <formula>'1853'!$D$9</formula>
    </cfRule>
  </conditionalFormatting>
  <conditionalFormatting sqref="F9">
    <cfRule type="cellIs" dxfId="3602" priority="129" stopIfTrue="1" operator="equal">
      <formula>'1853'!$E$9</formula>
    </cfRule>
    <cfRule type="cellIs" dxfId="3601" priority="130" stopIfTrue="1" operator="lessThan">
      <formula>'1853'!$E$9</formula>
    </cfRule>
  </conditionalFormatting>
  <conditionalFormatting sqref="G9">
    <cfRule type="cellIs" dxfId="3600" priority="131" stopIfTrue="1" operator="equal">
      <formula>'1853'!$F$9</formula>
    </cfRule>
    <cfRule type="cellIs" dxfId="3599" priority="132" stopIfTrue="1" operator="lessThan">
      <formula>'1853'!$F$9</formula>
    </cfRule>
  </conditionalFormatting>
  <conditionalFormatting sqref="H9">
    <cfRule type="cellIs" dxfId="3598" priority="133" stopIfTrue="1" operator="equal">
      <formula>'1853'!$G$9</formula>
    </cfRule>
    <cfRule type="cellIs" dxfId="3597" priority="134" stopIfTrue="1" operator="lessThan">
      <formula>'1853'!$G$9</formula>
    </cfRule>
  </conditionalFormatting>
  <conditionalFormatting sqref="I9">
    <cfRule type="cellIs" dxfId="3596" priority="135" stopIfTrue="1" operator="equal">
      <formula>'1853'!$H$9</formula>
    </cfRule>
    <cfRule type="cellIs" dxfId="3595" priority="136" stopIfTrue="1" operator="lessThan">
      <formula>'1853'!$H$9</formula>
    </cfRule>
  </conditionalFormatting>
  <conditionalFormatting sqref="J9">
    <cfRule type="cellIs" dxfId="3594" priority="137" stopIfTrue="1" operator="equal">
      <formula>'1853'!$I$9</formula>
    </cfRule>
    <cfRule type="cellIs" dxfId="3593" priority="138" stopIfTrue="1" operator="lessThan">
      <formula>'1853'!$I$9</formula>
    </cfRule>
  </conditionalFormatting>
  <conditionalFormatting sqref="D10">
    <cfRule type="cellIs" dxfId="3592" priority="139" stopIfTrue="1" operator="equal">
      <formula>'1853'!$C$10</formula>
    </cfRule>
    <cfRule type="cellIs" dxfId="3591" priority="140" stopIfTrue="1" operator="lessThan">
      <formula>'1853'!$C$10</formula>
    </cfRule>
  </conditionalFormatting>
  <conditionalFormatting sqref="E10">
    <cfRule type="cellIs" dxfId="3590" priority="141" stopIfTrue="1" operator="equal">
      <formula>'1853'!$D$10</formula>
    </cfRule>
    <cfRule type="cellIs" dxfId="3589" priority="142" stopIfTrue="1" operator="lessThan">
      <formula>'1853'!$D$10</formula>
    </cfRule>
  </conditionalFormatting>
  <conditionalFormatting sqref="F10">
    <cfRule type="cellIs" dxfId="3588" priority="143" stopIfTrue="1" operator="equal">
      <formula>'1853'!$E$10</formula>
    </cfRule>
    <cfRule type="cellIs" dxfId="3587" priority="144" stopIfTrue="1" operator="lessThan">
      <formula>'1853'!$E$10</formula>
    </cfRule>
  </conditionalFormatting>
  <conditionalFormatting sqref="G10">
    <cfRule type="cellIs" dxfId="3586" priority="145" stopIfTrue="1" operator="equal">
      <formula>'1853'!$F$10</formula>
    </cfRule>
    <cfRule type="cellIs" dxfId="3585" priority="146" stopIfTrue="1" operator="lessThan">
      <formula>'1853'!$F$10</formula>
    </cfRule>
  </conditionalFormatting>
  <conditionalFormatting sqref="H10">
    <cfRule type="cellIs" dxfId="3584" priority="147" stopIfTrue="1" operator="equal">
      <formula>'1853'!$G$10</formula>
    </cfRule>
    <cfRule type="cellIs" dxfId="3583" priority="148" stopIfTrue="1" operator="lessThan">
      <formula>'1853'!$G$10</formula>
    </cfRule>
  </conditionalFormatting>
  <conditionalFormatting sqref="I10">
    <cfRule type="cellIs" dxfId="3582" priority="149" stopIfTrue="1" operator="equal">
      <formula>'1853'!$H$10</formula>
    </cfRule>
    <cfRule type="cellIs" dxfId="3581" priority="150" stopIfTrue="1" operator="lessThan">
      <formula>'1853'!$H$10</formula>
    </cfRule>
  </conditionalFormatting>
  <conditionalFormatting sqref="J10">
    <cfRule type="cellIs" dxfId="3580" priority="151" stopIfTrue="1" operator="equal">
      <formula>'1853'!$I$10</formula>
    </cfRule>
    <cfRule type="cellIs" dxfId="3579" priority="152" stopIfTrue="1" operator="lessThan">
      <formula>'1853'!$I$10</formula>
    </cfRule>
  </conditionalFormatting>
  <conditionalFormatting sqref="D11">
    <cfRule type="cellIs" dxfId="3578" priority="153" stopIfTrue="1" operator="equal">
      <formula>'1853'!$C$11</formula>
    </cfRule>
    <cfRule type="cellIs" dxfId="3577" priority="154" stopIfTrue="1" operator="lessThan">
      <formula>'1853'!$C$11</formula>
    </cfRule>
  </conditionalFormatting>
  <conditionalFormatting sqref="E11">
    <cfRule type="cellIs" dxfId="3576" priority="155" stopIfTrue="1" operator="equal">
      <formula>'1853'!$D$11</formula>
    </cfRule>
    <cfRule type="cellIs" dxfId="3575" priority="156" stopIfTrue="1" operator="lessThan">
      <formula>'1853'!$D$11</formula>
    </cfRule>
  </conditionalFormatting>
  <conditionalFormatting sqref="F11">
    <cfRule type="cellIs" dxfId="3574" priority="157" stopIfTrue="1" operator="equal">
      <formula>'1853'!$E$11</formula>
    </cfRule>
    <cfRule type="cellIs" dxfId="3573" priority="158" stopIfTrue="1" operator="lessThan">
      <formula>'1853'!$E$11</formula>
    </cfRule>
  </conditionalFormatting>
  <conditionalFormatting sqref="G11">
    <cfRule type="cellIs" dxfId="3572" priority="159" stopIfTrue="1" operator="equal">
      <formula>'1853'!$F$11</formula>
    </cfRule>
    <cfRule type="cellIs" dxfId="3571" priority="160" stopIfTrue="1" operator="lessThan">
      <formula>'1853'!$F$11</formula>
    </cfRule>
  </conditionalFormatting>
  <conditionalFormatting sqref="H11">
    <cfRule type="cellIs" dxfId="3570" priority="161" stopIfTrue="1" operator="equal">
      <formula>'1853'!$G$11</formula>
    </cfRule>
    <cfRule type="cellIs" dxfId="3569" priority="162" stopIfTrue="1" operator="lessThan">
      <formula>'1853'!$G$11</formula>
    </cfRule>
  </conditionalFormatting>
  <conditionalFormatting sqref="I11">
    <cfRule type="cellIs" dxfId="3568" priority="163" stopIfTrue="1" operator="equal">
      <formula>'1853'!$H$11</formula>
    </cfRule>
    <cfRule type="cellIs" dxfId="3567" priority="164" stopIfTrue="1" operator="lessThan">
      <formula>'1853'!$H$11</formula>
    </cfRule>
  </conditionalFormatting>
  <conditionalFormatting sqref="J11">
    <cfRule type="cellIs" dxfId="3566" priority="165" stopIfTrue="1" operator="equal">
      <formula>'1853'!$I$11</formula>
    </cfRule>
    <cfRule type="cellIs" dxfId="3565" priority="166" stopIfTrue="1" operator="lessThan">
      <formula>'1853'!$I$11</formula>
    </cfRule>
  </conditionalFormatting>
  <conditionalFormatting sqref="D12">
    <cfRule type="cellIs" dxfId="3564" priority="167" stopIfTrue="1" operator="equal">
      <formula>'1853'!$C$12</formula>
    </cfRule>
    <cfRule type="cellIs" dxfId="3563" priority="168" stopIfTrue="1" operator="lessThan">
      <formula>'1853'!$C$12</formula>
    </cfRule>
  </conditionalFormatting>
  <conditionalFormatting sqref="E12">
    <cfRule type="cellIs" dxfId="3562" priority="169" stopIfTrue="1" operator="equal">
      <formula>'1853'!$D$12</formula>
    </cfRule>
    <cfRule type="cellIs" dxfId="3561" priority="170" stopIfTrue="1" operator="lessThan">
      <formula>'1853'!$D$12</formula>
    </cfRule>
  </conditionalFormatting>
  <conditionalFormatting sqref="F12">
    <cfRule type="cellIs" dxfId="3560" priority="171" stopIfTrue="1" operator="equal">
      <formula>'1853'!$E$12</formula>
    </cfRule>
    <cfRule type="cellIs" dxfId="3559" priority="172" stopIfTrue="1" operator="lessThan">
      <formula>'1853'!$E$12</formula>
    </cfRule>
  </conditionalFormatting>
  <conditionalFormatting sqref="G12">
    <cfRule type="cellIs" dxfId="3558" priority="173" stopIfTrue="1" operator="equal">
      <formula>'1853'!$F$12</formula>
    </cfRule>
    <cfRule type="cellIs" dxfId="3557" priority="174" stopIfTrue="1" operator="lessThan">
      <formula>'1853'!$F$12</formula>
    </cfRule>
  </conditionalFormatting>
  <conditionalFormatting sqref="H12">
    <cfRule type="cellIs" dxfId="3556" priority="175" stopIfTrue="1" operator="equal">
      <formula>'1853'!$G$12</formula>
    </cfRule>
    <cfRule type="cellIs" dxfId="3555" priority="176" stopIfTrue="1" operator="lessThan">
      <formula>'1853'!$G$12</formula>
    </cfRule>
  </conditionalFormatting>
  <conditionalFormatting sqref="I12">
    <cfRule type="cellIs" dxfId="3554" priority="177" stopIfTrue="1" operator="equal">
      <formula>'1853'!$H$12</formula>
    </cfRule>
    <cfRule type="cellIs" dxfId="3553" priority="178" stopIfTrue="1" operator="lessThan">
      <formula>'1853'!$H$12</formula>
    </cfRule>
  </conditionalFormatting>
  <conditionalFormatting sqref="J12">
    <cfRule type="cellIs" dxfId="3552" priority="179" stopIfTrue="1" operator="equal">
      <formula>'1853'!$I$12</formula>
    </cfRule>
    <cfRule type="cellIs" dxfId="3551" priority="180" stopIfTrue="1" operator="lessThan">
      <formula>'1853'!$I$12</formula>
    </cfRule>
  </conditionalFormatting>
  <conditionalFormatting sqref="D14">
    <cfRule type="cellIs" dxfId="3550" priority="181" stopIfTrue="1" operator="equal">
      <formula>'1853'!$C$14</formula>
    </cfRule>
    <cfRule type="cellIs" dxfId="3549" priority="182" stopIfTrue="1" operator="lessThan">
      <formula>'1853'!$C$14</formula>
    </cfRule>
  </conditionalFormatting>
  <conditionalFormatting sqref="D15">
    <cfRule type="cellIs" dxfId="3548" priority="183" stopIfTrue="1" operator="equal">
      <formula>'1853'!$C$15</formula>
    </cfRule>
    <cfRule type="cellIs" dxfId="3547" priority="184" stopIfTrue="1" operator="lessThan">
      <formula>'1853'!$C$15</formula>
    </cfRule>
  </conditionalFormatting>
  <conditionalFormatting sqref="D16">
    <cfRule type="cellIs" dxfId="3546" priority="185" stopIfTrue="1" operator="equal">
      <formula>'1853'!$C$16</formula>
    </cfRule>
    <cfRule type="cellIs" dxfId="3545" priority="186" stopIfTrue="1" operator="lessThan">
      <formula>'1853'!$C$16</formula>
    </cfRule>
  </conditionalFormatting>
  <conditionalFormatting sqref="D17">
    <cfRule type="cellIs" dxfId="3544" priority="187" stopIfTrue="1" operator="equal">
      <formula>'1853'!$C$17</formula>
    </cfRule>
    <cfRule type="cellIs" dxfId="3543" priority="188" stopIfTrue="1" operator="lessThan">
      <formula>'1853'!$C$17</formula>
    </cfRule>
  </conditionalFormatting>
  <conditionalFormatting sqref="D18">
    <cfRule type="cellIs" dxfId="3542" priority="189" stopIfTrue="1" operator="equal">
      <formula>'1853'!$C$18</formula>
    </cfRule>
    <cfRule type="cellIs" dxfId="3541" priority="190" stopIfTrue="1" operator="lessThan">
      <formula>'1853'!$C$18</formula>
    </cfRule>
  </conditionalFormatting>
  <conditionalFormatting sqref="D19">
    <cfRule type="cellIs" dxfId="3540" priority="191" stopIfTrue="1" operator="equal">
      <formula>'1853'!$C$19</formula>
    </cfRule>
    <cfRule type="cellIs" dxfId="3539" priority="192" stopIfTrue="1" operator="lessThan">
      <formula>'1853'!$C$19</formula>
    </cfRule>
  </conditionalFormatting>
  <conditionalFormatting sqref="D20">
    <cfRule type="cellIs" dxfId="3538" priority="193" stopIfTrue="1" operator="equal">
      <formula>'1853'!$C$20</formula>
    </cfRule>
    <cfRule type="cellIs" dxfId="3537" priority="194" stopIfTrue="1" operator="lessThan">
      <formula>'1853'!$C$20</formula>
    </cfRule>
  </conditionalFormatting>
  <conditionalFormatting sqref="D21">
    <cfRule type="cellIs" dxfId="3536" priority="195" stopIfTrue="1" operator="equal">
      <formula>'1853'!$C$21</formula>
    </cfRule>
    <cfRule type="cellIs" dxfId="3535" priority="196" stopIfTrue="1" operator="lessThan">
      <formula>'1853'!$C$21</formula>
    </cfRule>
  </conditionalFormatting>
  <conditionalFormatting sqref="D22">
    <cfRule type="cellIs" dxfId="3534" priority="197" stopIfTrue="1" operator="equal">
      <formula>'1853'!$C$22</formula>
    </cfRule>
    <cfRule type="cellIs" dxfId="3533" priority="198" stopIfTrue="1" operator="lessThan">
      <formula>'1853'!$C$22</formula>
    </cfRule>
  </conditionalFormatting>
  <conditionalFormatting sqref="D23">
    <cfRule type="cellIs" dxfId="3532" priority="199" stopIfTrue="1" operator="equal">
      <formula>'1853'!$C$23</formula>
    </cfRule>
    <cfRule type="cellIs" dxfId="3531" priority="200" stopIfTrue="1" operator="lessThan">
      <formula>'1853'!$C$23</formula>
    </cfRule>
  </conditionalFormatting>
  <conditionalFormatting sqref="D25">
    <cfRule type="cellIs" dxfId="3530" priority="201" stopIfTrue="1" operator="equal">
      <formula>'1853'!$C$25</formula>
    </cfRule>
    <cfRule type="cellIs" dxfId="3529" priority="202" stopIfTrue="1" operator="lessThan">
      <formula>'1853'!$C$25</formula>
    </cfRule>
  </conditionalFormatting>
  <conditionalFormatting sqref="D26">
    <cfRule type="cellIs" dxfId="3528" priority="203" stopIfTrue="1" operator="equal">
      <formula>'1853'!$C$26</formula>
    </cfRule>
    <cfRule type="cellIs" dxfId="3527" priority="204" stopIfTrue="1" operator="lessThan">
      <formula>'1853'!$C$26</formula>
    </cfRule>
  </conditionalFormatting>
  <conditionalFormatting sqref="D27">
    <cfRule type="cellIs" dxfId="3526" priority="205" stopIfTrue="1" operator="equal">
      <formula>'1853'!$C$27</formula>
    </cfRule>
    <cfRule type="cellIs" dxfId="3525" priority="206" stopIfTrue="1" operator="lessThan">
      <formula>'1853'!$C$27</formula>
    </cfRule>
  </conditionalFormatting>
  <conditionalFormatting sqref="D28">
    <cfRule type="cellIs" dxfId="3524" priority="207" stopIfTrue="1" operator="equal">
      <formula>'1853'!$C$28</formula>
    </cfRule>
    <cfRule type="cellIs" dxfId="3523" priority="208" stopIfTrue="1" operator="lessThan">
      <formula>'1853'!$C$28</formula>
    </cfRule>
  </conditionalFormatting>
  <conditionalFormatting sqref="E13">
    <cfRule type="cellIs" dxfId="3522" priority="209" stopIfTrue="1" operator="equal">
      <formula>'1853'!$D$13</formula>
    </cfRule>
    <cfRule type="cellIs" dxfId="3521" priority="210" stopIfTrue="1" operator="lessThan">
      <formula>'1853'!$D$13</formula>
    </cfRule>
  </conditionalFormatting>
  <conditionalFormatting sqref="E14">
    <cfRule type="cellIs" dxfId="3520" priority="211" stopIfTrue="1" operator="equal">
      <formula>'1853'!$D$14</formula>
    </cfRule>
    <cfRule type="cellIs" dxfId="3519" priority="212" stopIfTrue="1" operator="lessThan">
      <formula>'1853'!$D$14</formula>
    </cfRule>
  </conditionalFormatting>
  <conditionalFormatting sqref="E15">
    <cfRule type="cellIs" dxfId="3518" priority="213" stopIfTrue="1" operator="equal">
      <formula>'1853'!$D$15</formula>
    </cfRule>
    <cfRule type="cellIs" dxfId="3517" priority="214" stopIfTrue="1" operator="lessThan">
      <formula>'1853'!$D$15</formula>
    </cfRule>
  </conditionalFormatting>
  <conditionalFormatting sqref="E16">
    <cfRule type="cellIs" dxfId="3516" priority="215" stopIfTrue="1" operator="equal">
      <formula>'1853'!$D$16</formula>
    </cfRule>
    <cfRule type="cellIs" dxfId="3515" priority="216" stopIfTrue="1" operator="lessThan">
      <formula>'1853'!$D$16</formula>
    </cfRule>
  </conditionalFormatting>
  <conditionalFormatting sqref="E17">
    <cfRule type="cellIs" dxfId="3514" priority="217" stopIfTrue="1" operator="equal">
      <formula>'1853'!$D$17</formula>
    </cfRule>
    <cfRule type="cellIs" dxfId="3513" priority="218" stopIfTrue="1" operator="lessThan">
      <formula>'1853'!$D$17</formula>
    </cfRule>
  </conditionalFormatting>
  <conditionalFormatting sqref="E18">
    <cfRule type="cellIs" dxfId="3512" priority="219" stopIfTrue="1" operator="equal">
      <formula>'1853'!$D$18</formula>
    </cfRule>
    <cfRule type="cellIs" dxfId="3511" priority="220" stopIfTrue="1" operator="lessThan">
      <formula>'1853'!$D$18</formula>
    </cfRule>
  </conditionalFormatting>
  <conditionalFormatting sqref="E19">
    <cfRule type="cellIs" dxfId="3510" priority="221" stopIfTrue="1" operator="equal">
      <formula>'1853'!$D$19</formula>
    </cfRule>
    <cfRule type="cellIs" dxfId="3509" priority="222" stopIfTrue="1" operator="lessThan">
      <formula>'1853'!$D$19</formula>
    </cfRule>
  </conditionalFormatting>
  <conditionalFormatting sqref="E20">
    <cfRule type="cellIs" dxfId="3508" priority="223" stopIfTrue="1" operator="equal">
      <formula>'1853'!$D$20</formula>
    </cfRule>
    <cfRule type="cellIs" dxfId="3507" priority="224" stopIfTrue="1" operator="lessThan">
      <formula>'1853'!$D$20</formula>
    </cfRule>
  </conditionalFormatting>
  <conditionalFormatting sqref="E21">
    <cfRule type="cellIs" dxfId="3506" priority="225" stopIfTrue="1" operator="equal">
      <formula>'1853'!$D$21</formula>
    </cfRule>
    <cfRule type="cellIs" dxfId="3505" priority="226" stopIfTrue="1" operator="lessThan">
      <formula>'1853'!$D$21</formula>
    </cfRule>
  </conditionalFormatting>
  <conditionalFormatting sqref="E22">
    <cfRule type="cellIs" dxfId="3504" priority="227" stopIfTrue="1" operator="equal">
      <formula>'1853'!$D$22</formula>
    </cfRule>
    <cfRule type="cellIs" dxfId="3503" priority="228" stopIfTrue="1" operator="lessThan">
      <formula>'1853'!$D$22</formula>
    </cfRule>
  </conditionalFormatting>
  <conditionalFormatting sqref="E23">
    <cfRule type="cellIs" dxfId="3502" priority="229" stopIfTrue="1" operator="equal">
      <formula>'1853'!$D$23</formula>
    </cfRule>
    <cfRule type="cellIs" dxfId="3501" priority="230" stopIfTrue="1" operator="lessThan">
      <formula>'1853'!$D$23</formula>
    </cfRule>
  </conditionalFormatting>
  <conditionalFormatting sqref="E25">
    <cfRule type="cellIs" dxfId="3500" priority="231" stopIfTrue="1" operator="equal">
      <formula>'1853'!$D$25</formula>
    </cfRule>
    <cfRule type="cellIs" dxfId="3499" priority="232" stopIfTrue="1" operator="lessThan">
      <formula>'1853'!$D$25</formula>
    </cfRule>
  </conditionalFormatting>
  <conditionalFormatting sqref="E26">
    <cfRule type="cellIs" dxfId="3498" priority="233" stopIfTrue="1" operator="equal">
      <formula>'1853'!$D$26</formula>
    </cfRule>
    <cfRule type="cellIs" dxfId="3497" priority="234" stopIfTrue="1" operator="lessThan">
      <formula>'1853'!$D$26</formula>
    </cfRule>
  </conditionalFormatting>
  <conditionalFormatting sqref="E27">
    <cfRule type="cellIs" dxfId="3496" priority="235" stopIfTrue="1" operator="equal">
      <formula>'1853'!$D$27</formula>
    </cfRule>
    <cfRule type="cellIs" dxfId="3495" priority="236" stopIfTrue="1" operator="lessThan">
      <formula>'1853'!$D$27</formula>
    </cfRule>
  </conditionalFormatting>
  <conditionalFormatting sqref="E28">
    <cfRule type="cellIs" dxfId="3494" priority="237" stopIfTrue="1" operator="equal">
      <formula>'1853'!$D$28</formula>
    </cfRule>
    <cfRule type="cellIs" dxfId="3493" priority="238" stopIfTrue="1" operator="lessThan">
      <formula>'1853'!$D$28</formula>
    </cfRule>
  </conditionalFormatting>
  <conditionalFormatting sqref="F13">
    <cfRule type="cellIs" dxfId="3492" priority="239" stopIfTrue="1" operator="equal">
      <formula>'1853'!$E$13</formula>
    </cfRule>
    <cfRule type="cellIs" dxfId="3491" priority="240" stopIfTrue="1" operator="lessThan">
      <formula>'1853'!$E$13</formula>
    </cfRule>
  </conditionalFormatting>
  <conditionalFormatting sqref="F14">
    <cfRule type="cellIs" dxfId="3490" priority="241" stopIfTrue="1" operator="equal">
      <formula>'1853'!$E$14</formula>
    </cfRule>
    <cfRule type="cellIs" dxfId="3489" priority="242" stopIfTrue="1" operator="lessThan">
      <formula>'1853'!$E$14</formula>
    </cfRule>
  </conditionalFormatting>
  <conditionalFormatting sqref="F15">
    <cfRule type="cellIs" dxfId="3488" priority="243" stopIfTrue="1" operator="equal">
      <formula>'1853'!$E$15</formula>
    </cfRule>
    <cfRule type="cellIs" dxfId="3487" priority="244" stopIfTrue="1" operator="lessThan">
      <formula>'1853'!$E$15</formula>
    </cfRule>
  </conditionalFormatting>
  <conditionalFormatting sqref="F16">
    <cfRule type="cellIs" dxfId="3486" priority="245" stopIfTrue="1" operator="equal">
      <formula>'1853'!$E$16</formula>
    </cfRule>
    <cfRule type="cellIs" dxfId="3485" priority="246" stopIfTrue="1" operator="lessThan">
      <formula>'1853'!$E$16</formula>
    </cfRule>
  </conditionalFormatting>
  <conditionalFormatting sqref="F17">
    <cfRule type="cellIs" dxfId="3484" priority="247" stopIfTrue="1" operator="equal">
      <formula>'1853'!$E$17</formula>
    </cfRule>
    <cfRule type="cellIs" dxfId="3483" priority="248" stopIfTrue="1" operator="lessThan">
      <formula>'1853'!$E$17</formula>
    </cfRule>
  </conditionalFormatting>
  <conditionalFormatting sqref="F18">
    <cfRule type="cellIs" dxfId="3482" priority="249" stopIfTrue="1" operator="equal">
      <formula>'1853'!$E$18</formula>
    </cfRule>
    <cfRule type="cellIs" dxfId="3481" priority="250" stopIfTrue="1" operator="lessThan">
      <formula>'1853'!$E$18</formula>
    </cfRule>
  </conditionalFormatting>
  <conditionalFormatting sqref="F19">
    <cfRule type="cellIs" dxfId="3480" priority="251" stopIfTrue="1" operator="equal">
      <formula>'1853'!$E$19</formula>
    </cfRule>
    <cfRule type="cellIs" dxfId="3479" priority="252" stopIfTrue="1" operator="lessThan">
      <formula>'1853'!$E$19</formula>
    </cfRule>
  </conditionalFormatting>
  <conditionalFormatting sqref="F20">
    <cfRule type="cellIs" dxfId="3478" priority="253" stopIfTrue="1" operator="equal">
      <formula>'1853'!$E$20</formula>
    </cfRule>
    <cfRule type="cellIs" dxfId="3477" priority="254" stopIfTrue="1" operator="lessThan">
      <formula>'1853'!$E$20</formula>
    </cfRule>
  </conditionalFormatting>
  <conditionalFormatting sqref="F21">
    <cfRule type="cellIs" dxfId="3476" priority="255" stopIfTrue="1" operator="equal">
      <formula>'1853'!$E$21</formula>
    </cfRule>
    <cfRule type="cellIs" dxfId="3475" priority="256" stopIfTrue="1" operator="lessThan">
      <formula>'1853'!$E$21</formula>
    </cfRule>
  </conditionalFormatting>
  <conditionalFormatting sqref="F22">
    <cfRule type="cellIs" dxfId="3474" priority="257" stopIfTrue="1" operator="equal">
      <formula>'1853'!$E$22</formula>
    </cfRule>
    <cfRule type="cellIs" dxfId="3473" priority="258" stopIfTrue="1" operator="lessThan">
      <formula>'1853'!$E$22</formula>
    </cfRule>
  </conditionalFormatting>
  <conditionalFormatting sqref="F23">
    <cfRule type="cellIs" dxfId="3472" priority="259" stopIfTrue="1" operator="equal">
      <formula>'1853'!$E$23</formula>
    </cfRule>
    <cfRule type="cellIs" dxfId="3471" priority="260" stopIfTrue="1" operator="lessThan">
      <formula>'1853'!$E$23</formula>
    </cfRule>
  </conditionalFormatting>
  <conditionalFormatting sqref="F25">
    <cfRule type="cellIs" dxfId="3470" priority="261" stopIfTrue="1" operator="equal">
      <formula>'1853'!$E$25</formula>
    </cfRule>
    <cfRule type="cellIs" dxfId="3469" priority="262" stopIfTrue="1" operator="lessThan">
      <formula>'1853'!$E$25</formula>
    </cfRule>
  </conditionalFormatting>
  <conditionalFormatting sqref="F26">
    <cfRule type="cellIs" dxfId="3468" priority="263" stopIfTrue="1" operator="equal">
      <formula>'1853'!$E$26</formula>
    </cfRule>
    <cfRule type="cellIs" dxfId="3467" priority="264" stopIfTrue="1" operator="lessThan">
      <formula>'1853'!$E$26</formula>
    </cfRule>
  </conditionalFormatting>
  <conditionalFormatting sqref="F27">
    <cfRule type="cellIs" dxfId="3466" priority="265" stopIfTrue="1" operator="equal">
      <formula>'1853'!$E$27</formula>
    </cfRule>
    <cfRule type="cellIs" dxfId="3465" priority="266" stopIfTrue="1" operator="lessThan">
      <formula>'1853'!$E$27</formula>
    </cfRule>
  </conditionalFormatting>
  <conditionalFormatting sqref="F28">
    <cfRule type="cellIs" dxfId="3464" priority="267" stopIfTrue="1" operator="equal">
      <formula>'1853'!$E$28</formula>
    </cfRule>
    <cfRule type="cellIs" dxfId="3463" priority="268" stopIfTrue="1" operator="lessThan">
      <formula>'1853'!$E$28</formula>
    </cfRule>
  </conditionalFormatting>
  <conditionalFormatting sqref="G13">
    <cfRule type="cellIs" dxfId="3462" priority="269" stopIfTrue="1" operator="equal">
      <formula>'1853'!$F$13</formula>
    </cfRule>
    <cfRule type="cellIs" dxfId="3461" priority="270" stopIfTrue="1" operator="lessThan">
      <formula>'1853'!$F$13</formula>
    </cfRule>
  </conditionalFormatting>
  <conditionalFormatting sqref="G14">
    <cfRule type="cellIs" dxfId="3460" priority="271" stopIfTrue="1" operator="equal">
      <formula>'1853'!$F$14</formula>
    </cfRule>
    <cfRule type="cellIs" dxfId="3459" priority="272" stopIfTrue="1" operator="lessThan">
      <formula>'1853'!$F$14</formula>
    </cfRule>
  </conditionalFormatting>
  <conditionalFormatting sqref="G15">
    <cfRule type="cellIs" dxfId="3458" priority="273" stopIfTrue="1" operator="equal">
      <formula>'1853'!$F$15</formula>
    </cfRule>
    <cfRule type="cellIs" dxfId="3457" priority="274" stopIfTrue="1" operator="lessThan">
      <formula>'1853'!$F$15</formula>
    </cfRule>
  </conditionalFormatting>
  <conditionalFormatting sqref="G16">
    <cfRule type="cellIs" dxfId="3456" priority="275" stopIfTrue="1" operator="equal">
      <formula>'1853'!$F$16</formula>
    </cfRule>
    <cfRule type="cellIs" dxfId="3455" priority="276" stopIfTrue="1" operator="lessThan">
      <formula>'1853'!$F$16</formula>
    </cfRule>
  </conditionalFormatting>
  <conditionalFormatting sqref="G17">
    <cfRule type="cellIs" dxfId="3454" priority="277" stopIfTrue="1" operator="equal">
      <formula>'1853'!$F$17</formula>
    </cfRule>
    <cfRule type="cellIs" dxfId="3453" priority="278" stopIfTrue="1" operator="lessThan">
      <formula>'1853'!$F$17</formula>
    </cfRule>
  </conditionalFormatting>
  <conditionalFormatting sqref="G18">
    <cfRule type="cellIs" dxfId="3452" priority="279" stopIfTrue="1" operator="equal">
      <formula>'1853'!$F$18</formula>
    </cfRule>
    <cfRule type="cellIs" dxfId="3451" priority="280" stopIfTrue="1" operator="lessThan">
      <formula>'1853'!$F$18</formula>
    </cfRule>
  </conditionalFormatting>
  <conditionalFormatting sqref="G19">
    <cfRule type="cellIs" dxfId="3450" priority="281" stopIfTrue="1" operator="equal">
      <formula>'1853'!$F$19</formula>
    </cfRule>
    <cfRule type="cellIs" dxfId="3449" priority="282" stopIfTrue="1" operator="lessThan">
      <formula>'1853'!$F$19</formula>
    </cfRule>
  </conditionalFormatting>
  <conditionalFormatting sqref="G20">
    <cfRule type="cellIs" dxfId="3448" priority="283" stopIfTrue="1" operator="equal">
      <formula>'1853'!$F$20</formula>
    </cfRule>
    <cfRule type="cellIs" dxfId="3447" priority="284" stopIfTrue="1" operator="lessThan">
      <formula>'1853'!$F$20</formula>
    </cfRule>
  </conditionalFormatting>
  <conditionalFormatting sqref="G21">
    <cfRule type="cellIs" dxfId="3446" priority="285" stopIfTrue="1" operator="equal">
      <formula>'1853'!$F$21</formula>
    </cfRule>
    <cfRule type="cellIs" dxfId="3445" priority="286" stopIfTrue="1" operator="lessThan">
      <formula>'1853'!$F$21</formula>
    </cfRule>
  </conditionalFormatting>
  <conditionalFormatting sqref="G22">
    <cfRule type="cellIs" dxfId="3444" priority="287" stopIfTrue="1" operator="equal">
      <formula>'1853'!$F$22</formula>
    </cfRule>
    <cfRule type="cellIs" dxfId="3443" priority="288" stopIfTrue="1" operator="lessThan">
      <formula>'1853'!$F$22</formula>
    </cfRule>
  </conditionalFormatting>
  <conditionalFormatting sqref="G23">
    <cfRule type="cellIs" dxfId="3442" priority="289" stopIfTrue="1" operator="equal">
      <formula>'1853'!$F$23</formula>
    </cfRule>
    <cfRule type="cellIs" dxfId="3441" priority="290" stopIfTrue="1" operator="lessThan">
      <formula>'1853'!$F$23</formula>
    </cfRule>
  </conditionalFormatting>
  <conditionalFormatting sqref="G25">
    <cfRule type="cellIs" dxfId="3440" priority="291" stopIfTrue="1" operator="equal">
      <formula>'1853'!$F$25</formula>
    </cfRule>
    <cfRule type="cellIs" dxfId="3439" priority="292" stopIfTrue="1" operator="lessThan">
      <formula>'1853'!$F$25</formula>
    </cfRule>
  </conditionalFormatting>
  <conditionalFormatting sqref="G26">
    <cfRule type="cellIs" dxfId="3438" priority="293" stopIfTrue="1" operator="equal">
      <formula>'1853'!$F$26</formula>
    </cfRule>
    <cfRule type="cellIs" dxfId="3437" priority="294" stopIfTrue="1" operator="lessThan">
      <formula>'1853'!$F$26</formula>
    </cfRule>
  </conditionalFormatting>
  <conditionalFormatting sqref="G27">
    <cfRule type="cellIs" dxfId="3436" priority="295" stopIfTrue="1" operator="equal">
      <formula>'1853'!$F$27</formula>
    </cfRule>
    <cfRule type="cellIs" dxfId="3435" priority="296" stopIfTrue="1" operator="lessThan">
      <formula>'1853'!$F$27</formula>
    </cfRule>
  </conditionalFormatting>
  <conditionalFormatting sqref="G28">
    <cfRule type="cellIs" dxfId="3434" priority="297" stopIfTrue="1" operator="equal">
      <formula>'1853'!$F$28</formula>
    </cfRule>
    <cfRule type="cellIs" dxfId="3433" priority="298" stopIfTrue="1" operator="lessThan">
      <formula>'1853'!$F$28</formula>
    </cfRule>
  </conditionalFormatting>
  <conditionalFormatting sqref="D13">
    <cfRule type="cellIs" dxfId="3432" priority="299" stopIfTrue="1" operator="equal">
      <formula>'1853'!$C$13</formula>
    </cfRule>
    <cfRule type="cellIs" dxfId="3431" priority="300" stopIfTrue="1" operator="lessThan">
      <formula>'1853'!$C$13</formula>
    </cfRule>
  </conditionalFormatting>
  <conditionalFormatting sqref="H13">
    <cfRule type="cellIs" dxfId="3430" priority="301" stopIfTrue="1" operator="equal">
      <formula>'1853'!$G$13</formula>
    </cfRule>
    <cfRule type="cellIs" dxfId="3429" priority="302" stopIfTrue="1" operator="lessThan">
      <formula>'1853'!$G$13</formula>
    </cfRule>
  </conditionalFormatting>
  <conditionalFormatting sqref="H14">
    <cfRule type="cellIs" dxfId="3428" priority="303" stopIfTrue="1" operator="equal">
      <formula>'1853'!$G$14</formula>
    </cfRule>
    <cfRule type="cellIs" dxfId="3427" priority="304" stopIfTrue="1" operator="lessThan">
      <formula>'1853'!$G$14</formula>
    </cfRule>
  </conditionalFormatting>
  <conditionalFormatting sqref="H15">
    <cfRule type="cellIs" dxfId="3426" priority="305" stopIfTrue="1" operator="equal">
      <formula>'1853'!$G$15</formula>
    </cfRule>
    <cfRule type="cellIs" dxfId="3425" priority="306" stopIfTrue="1" operator="lessThan">
      <formula>'1853'!$G$15</formula>
    </cfRule>
  </conditionalFormatting>
  <conditionalFormatting sqref="H16">
    <cfRule type="cellIs" dxfId="3424" priority="307" stopIfTrue="1" operator="equal">
      <formula>'1853'!$G$16</formula>
    </cfRule>
    <cfRule type="cellIs" dxfId="3423" priority="308" stopIfTrue="1" operator="lessThan">
      <formula>'1853'!$G$16</formula>
    </cfRule>
  </conditionalFormatting>
  <conditionalFormatting sqref="H17">
    <cfRule type="cellIs" dxfId="3422" priority="309" stopIfTrue="1" operator="equal">
      <formula>'1853'!$G$17</formula>
    </cfRule>
    <cfRule type="cellIs" dxfId="3421" priority="310" stopIfTrue="1" operator="lessThan">
      <formula>'1853'!$G$17</formula>
    </cfRule>
  </conditionalFormatting>
  <conditionalFormatting sqref="H18">
    <cfRule type="cellIs" dxfId="3420" priority="311" stopIfTrue="1" operator="equal">
      <formula>'1853'!$G$18</formula>
    </cfRule>
    <cfRule type="cellIs" dxfId="3419" priority="312" stopIfTrue="1" operator="lessThan">
      <formula>'1853'!$G$18</formula>
    </cfRule>
  </conditionalFormatting>
  <conditionalFormatting sqref="H19">
    <cfRule type="cellIs" dxfId="3418" priority="313" stopIfTrue="1" operator="equal">
      <formula>'1853'!$G$19</formula>
    </cfRule>
    <cfRule type="cellIs" dxfId="3417" priority="314" stopIfTrue="1" operator="lessThan">
      <formula>'1853'!$G$19</formula>
    </cfRule>
  </conditionalFormatting>
  <conditionalFormatting sqref="H20">
    <cfRule type="cellIs" dxfId="3416" priority="315" stopIfTrue="1" operator="equal">
      <formula>'1853'!$G$20</formula>
    </cfRule>
    <cfRule type="cellIs" dxfId="3415" priority="316" stopIfTrue="1" operator="lessThan">
      <formula>'1853'!$G$20</formula>
    </cfRule>
  </conditionalFormatting>
  <conditionalFormatting sqref="H21">
    <cfRule type="cellIs" dxfId="3414" priority="317" stopIfTrue="1" operator="equal">
      <formula>'1853'!$G$21</formula>
    </cfRule>
    <cfRule type="cellIs" dxfId="3413" priority="318" stopIfTrue="1" operator="lessThan">
      <formula>'1853'!$G$21</formula>
    </cfRule>
  </conditionalFormatting>
  <conditionalFormatting sqref="H22">
    <cfRule type="cellIs" dxfId="3412" priority="319" stopIfTrue="1" operator="equal">
      <formula>'1853'!$G$22</formula>
    </cfRule>
    <cfRule type="cellIs" dxfId="3411" priority="320" stopIfTrue="1" operator="lessThan">
      <formula>'1853'!$G$22</formula>
    </cfRule>
  </conditionalFormatting>
  <conditionalFormatting sqref="H23">
    <cfRule type="cellIs" dxfId="3410" priority="321" stopIfTrue="1" operator="equal">
      <formula>'1853'!$G$23</formula>
    </cfRule>
    <cfRule type="cellIs" dxfId="3409" priority="322" stopIfTrue="1" operator="lessThan">
      <formula>'1853'!$G$23</formula>
    </cfRule>
  </conditionalFormatting>
  <conditionalFormatting sqref="H25">
    <cfRule type="cellIs" dxfId="3408" priority="323" stopIfTrue="1" operator="equal">
      <formula>'1853'!$G$25</formula>
    </cfRule>
    <cfRule type="cellIs" dxfId="3407" priority="324" stopIfTrue="1" operator="lessThan">
      <formula>'1853'!$G$25</formula>
    </cfRule>
  </conditionalFormatting>
  <conditionalFormatting sqref="H26">
    <cfRule type="cellIs" dxfId="3406" priority="325" stopIfTrue="1" operator="equal">
      <formula>'1853'!$G$26</formula>
    </cfRule>
    <cfRule type="cellIs" dxfId="3405" priority="326" stopIfTrue="1" operator="lessThan">
      <formula>'1853'!$G$26</formula>
    </cfRule>
  </conditionalFormatting>
  <conditionalFormatting sqref="H27">
    <cfRule type="cellIs" dxfId="3404" priority="327" stopIfTrue="1" operator="equal">
      <formula>'1853'!$G$27</formula>
    </cfRule>
    <cfRule type="cellIs" dxfId="3403" priority="328" stopIfTrue="1" operator="lessThan">
      <formula>'1853'!$G$27</formula>
    </cfRule>
  </conditionalFormatting>
  <conditionalFormatting sqref="H28">
    <cfRule type="cellIs" dxfId="3402" priority="329" stopIfTrue="1" operator="equal">
      <formula>'1853'!$G$28</formula>
    </cfRule>
    <cfRule type="cellIs" dxfId="3401" priority="330" stopIfTrue="1" operator="lessThan">
      <formula>'1853'!$G$28</formula>
    </cfRule>
  </conditionalFormatting>
  <conditionalFormatting sqref="D24">
    <cfRule type="cellIs" dxfId="3400" priority="331" stopIfTrue="1" operator="equal">
      <formula>'1853'!$C$24</formula>
    </cfRule>
    <cfRule type="cellIs" dxfId="3399" priority="332" stopIfTrue="1" operator="lessThan">
      <formula>'1853'!$C$24</formula>
    </cfRule>
  </conditionalFormatting>
  <conditionalFormatting sqref="E24">
    <cfRule type="cellIs" dxfId="3398" priority="333" stopIfTrue="1" operator="equal">
      <formula>'1853'!$D$24</formula>
    </cfRule>
    <cfRule type="cellIs" dxfId="3397" priority="334" stopIfTrue="1" operator="lessThan">
      <formula>'1853'!$D$24</formula>
    </cfRule>
  </conditionalFormatting>
  <conditionalFormatting sqref="F24">
    <cfRule type="cellIs" dxfId="3396" priority="335" stopIfTrue="1" operator="equal">
      <formula>'1853'!$E$24</formula>
    </cfRule>
    <cfRule type="cellIs" dxfId="3395" priority="336" stopIfTrue="1" operator="lessThan">
      <formula>'1853'!$E$24</formula>
    </cfRule>
  </conditionalFormatting>
  <conditionalFormatting sqref="G24">
    <cfRule type="cellIs" dxfId="3394" priority="337" stopIfTrue="1" operator="equal">
      <formula>'1853'!$F$24</formula>
    </cfRule>
    <cfRule type="cellIs" dxfId="3393" priority="338" stopIfTrue="1" operator="lessThan">
      <formula>'1853'!$F$24</formula>
    </cfRule>
  </conditionalFormatting>
  <conditionalFormatting sqref="H24">
    <cfRule type="cellIs" dxfId="3392" priority="339" stopIfTrue="1" operator="equal">
      <formula>'1853'!$G$24</formula>
    </cfRule>
    <cfRule type="cellIs" dxfId="3391" priority="340" stopIfTrue="1" operator="lessThan">
      <formula>'1853'!$G$24</formula>
    </cfRule>
  </conditionalFormatting>
  <conditionalFormatting sqref="E5">
    <cfRule type="cellIs" dxfId="3390" priority="341" stopIfTrue="1" operator="equal">
      <formula>'1853'!$D$5</formula>
    </cfRule>
    <cfRule type="cellIs" dxfId="3389" priority="342" stopIfTrue="1" operator="lessThan">
      <formula>'1853'!$D$5</formula>
    </cfRule>
  </conditionalFormatting>
  <conditionalFormatting sqref="G5">
    <cfRule type="cellIs" dxfId="3388" priority="343" stopIfTrue="1" operator="equal">
      <formula>'1853'!$F$5</formula>
    </cfRule>
    <cfRule type="cellIs" dxfId="3387" priority="344" stopIfTrue="1" operator="lessThan">
      <formula>'1853'!$F$5</formula>
    </cfRule>
  </conditionalFormatting>
  <conditionalFormatting sqref="G4">
    <cfRule type="cellIs" dxfId="3386" priority="345" stopIfTrue="1" operator="equal">
      <formula>'1853'!$F$4</formula>
    </cfRule>
  </conditionalFormatting>
  <conditionalFormatting sqref="I13">
    <cfRule type="cellIs" dxfId="3385" priority="346" stopIfTrue="1" operator="equal">
      <formula>'1853'!$H$13</formula>
    </cfRule>
    <cfRule type="cellIs" dxfId="3384" priority="347" stopIfTrue="1" operator="lessThan">
      <formula>'1853'!$H$13</formula>
    </cfRule>
  </conditionalFormatting>
  <conditionalFormatting sqref="I14">
    <cfRule type="cellIs" dxfId="3383" priority="348" stopIfTrue="1" operator="equal">
      <formula>'1853'!$H$14</formula>
    </cfRule>
    <cfRule type="cellIs" dxfId="3382" priority="349" stopIfTrue="1" operator="lessThan">
      <formula>'1853'!$H$14</formula>
    </cfRule>
  </conditionalFormatting>
  <conditionalFormatting sqref="I15">
    <cfRule type="cellIs" dxfId="3381" priority="350" stopIfTrue="1" operator="equal">
      <formula>'1853'!$H$15</formula>
    </cfRule>
    <cfRule type="cellIs" dxfId="3380" priority="351" stopIfTrue="1" operator="lessThan">
      <formula>'1853'!$H$15</formula>
    </cfRule>
  </conditionalFormatting>
  <conditionalFormatting sqref="I16">
    <cfRule type="cellIs" dxfId="3379" priority="352" stopIfTrue="1" operator="equal">
      <formula>'1853'!$H$16</formula>
    </cfRule>
    <cfRule type="cellIs" dxfId="3378" priority="353" stopIfTrue="1" operator="lessThan">
      <formula>'1853'!$H$16</formula>
    </cfRule>
  </conditionalFormatting>
  <conditionalFormatting sqref="I17">
    <cfRule type="cellIs" dxfId="3377" priority="354" stopIfTrue="1" operator="equal">
      <formula>'1853'!$H$17</formula>
    </cfRule>
    <cfRule type="cellIs" dxfId="3376" priority="355" stopIfTrue="1" operator="lessThan">
      <formula>'1853'!$H$17</formula>
    </cfRule>
  </conditionalFormatting>
  <conditionalFormatting sqref="I18">
    <cfRule type="cellIs" dxfId="3375" priority="356" stopIfTrue="1" operator="equal">
      <formula>'1853'!$H$18</formula>
    </cfRule>
    <cfRule type="cellIs" dxfId="3374" priority="357" stopIfTrue="1" operator="lessThan">
      <formula>'1853'!$H$18</formula>
    </cfRule>
  </conditionalFormatting>
  <conditionalFormatting sqref="I19">
    <cfRule type="cellIs" dxfId="3373" priority="358" stopIfTrue="1" operator="equal">
      <formula>'1853'!$H$19</formula>
    </cfRule>
    <cfRule type="cellIs" dxfId="3372" priority="359" stopIfTrue="1" operator="lessThan">
      <formula>'1853'!$H$19</formula>
    </cfRule>
  </conditionalFormatting>
  <conditionalFormatting sqref="I20">
    <cfRule type="cellIs" dxfId="3371" priority="360" stopIfTrue="1" operator="equal">
      <formula>'1853'!$H$20</formula>
    </cfRule>
    <cfRule type="cellIs" dxfId="3370" priority="361" stopIfTrue="1" operator="lessThan">
      <formula>'1853'!$H$20</formula>
    </cfRule>
  </conditionalFormatting>
  <conditionalFormatting sqref="I21">
    <cfRule type="cellIs" dxfId="3369" priority="362" stopIfTrue="1" operator="equal">
      <formula>'1853'!$H$21</formula>
    </cfRule>
    <cfRule type="cellIs" dxfId="3368" priority="363" stopIfTrue="1" operator="lessThan">
      <formula>'1853'!$H$21</formula>
    </cfRule>
  </conditionalFormatting>
  <conditionalFormatting sqref="I22">
    <cfRule type="cellIs" dxfId="3367" priority="364" stopIfTrue="1" operator="equal">
      <formula>'1853'!$H$22</formula>
    </cfRule>
    <cfRule type="cellIs" dxfId="3366" priority="365" stopIfTrue="1" operator="lessThan">
      <formula>'1853'!$H$22</formula>
    </cfRule>
  </conditionalFormatting>
  <conditionalFormatting sqref="I23">
    <cfRule type="cellIs" dxfId="3365" priority="366" stopIfTrue="1" operator="equal">
      <formula>'1853'!$H$23</formula>
    </cfRule>
    <cfRule type="cellIs" dxfId="3364" priority="367" stopIfTrue="1" operator="lessThan">
      <formula>'1853'!$H$23</formula>
    </cfRule>
  </conditionalFormatting>
  <conditionalFormatting sqref="I24">
    <cfRule type="cellIs" dxfId="3363" priority="368" stopIfTrue="1" operator="equal">
      <formula>'1853'!$H$24</formula>
    </cfRule>
    <cfRule type="cellIs" dxfId="3362" priority="369" stopIfTrue="1" operator="lessThan">
      <formula>'1853'!$H$24</formula>
    </cfRule>
  </conditionalFormatting>
  <conditionalFormatting sqref="I25">
    <cfRule type="cellIs" dxfId="3361" priority="370" stopIfTrue="1" operator="equal">
      <formula>'1853'!$H$25</formula>
    </cfRule>
    <cfRule type="cellIs" dxfId="3360" priority="371" stopIfTrue="1" operator="lessThan">
      <formula>'1853'!$H$25</formula>
    </cfRule>
  </conditionalFormatting>
  <conditionalFormatting sqref="I26">
    <cfRule type="cellIs" dxfId="3359" priority="372" stopIfTrue="1" operator="equal">
      <formula>'1853'!$H$26</formula>
    </cfRule>
    <cfRule type="cellIs" dxfId="3358" priority="373" stopIfTrue="1" operator="lessThan">
      <formula>'1853'!$H$26</formula>
    </cfRule>
  </conditionalFormatting>
  <conditionalFormatting sqref="I27">
    <cfRule type="cellIs" dxfId="3357" priority="374" stopIfTrue="1" operator="equal">
      <formula>'1853'!$H$27</formula>
    </cfRule>
    <cfRule type="cellIs" dxfId="3356" priority="375" stopIfTrue="1" operator="lessThan">
      <formula>'1853'!$H$27</formula>
    </cfRule>
    <cfRule type="cellIs" dxfId="3355" priority="376" stopIfTrue="1" operator="lessThan">
      <formula>'1853'!$H$27</formula>
    </cfRule>
  </conditionalFormatting>
  <conditionalFormatting sqref="I28">
    <cfRule type="cellIs" dxfId="3354" priority="377" stopIfTrue="1" operator="equal">
      <formula>'1853'!$H$28</formula>
    </cfRule>
    <cfRule type="cellIs" dxfId="3353" priority="378" stopIfTrue="1" operator="lessThan">
      <formula>'1853'!$H$28</formula>
    </cfRule>
  </conditionalFormatting>
  <conditionalFormatting sqref="J13">
    <cfRule type="cellIs" dxfId="3352" priority="379" stopIfTrue="1" operator="equal">
      <formula>'1853'!$I$13</formula>
    </cfRule>
    <cfRule type="cellIs" dxfId="3351" priority="380" stopIfTrue="1" operator="lessThan">
      <formula>'1853'!$I$13</formula>
    </cfRule>
  </conditionalFormatting>
  <conditionalFormatting sqref="J14">
    <cfRule type="cellIs" dxfId="3350" priority="381" stopIfTrue="1" operator="equal">
      <formula>'1853'!$I$14</formula>
    </cfRule>
    <cfRule type="cellIs" dxfId="3349" priority="382" stopIfTrue="1" operator="lessThan">
      <formula>'1853'!$I$14</formula>
    </cfRule>
  </conditionalFormatting>
  <conditionalFormatting sqref="J15">
    <cfRule type="cellIs" dxfId="3348" priority="383" stopIfTrue="1" operator="equal">
      <formula>'1853'!$I$15</formula>
    </cfRule>
    <cfRule type="cellIs" dxfId="3347" priority="384" stopIfTrue="1" operator="lessThan">
      <formula>'1853'!$I$15</formula>
    </cfRule>
  </conditionalFormatting>
  <conditionalFormatting sqref="J16">
    <cfRule type="cellIs" dxfId="3346" priority="385" stopIfTrue="1" operator="equal">
      <formula>'1853'!$I$16</formula>
    </cfRule>
    <cfRule type="cellIs" dxfId="3345" priority="386" stopIfTrue="1" operator="lessThan">
      <formula>'1853'!$I$16</formula>
    </cfRule>
  </conditionalFormatting>
  <conditionalFormatting sqref="J17">
    <cfRule type="cellIs" dxfId="3344" priority="387" stopIfTrue="1" operator="equal">
      <formula>'1853'!$I$17</formula>
    </cfRule>
    <cfRule type="cellIs" dxfId="3343" priority="388" stopIfTrue="1" operator="lessThan">
      <formula>'1853'!$I$17</formula>
    </cfRule>
  </conditionalFormatting>
  <conditionalFormatting sqref="J18">
    <cfRule type="cellIs" dxfId="3342" priority="389" stopIfTrue="1" operator="equal">
      <formula>'1853'!$I$18</formula>
    </cfRule>
    <cfRule type="cellIs" dxfId="3341" priority="390" stopIfTrue="1" operator="lessThan">
      <formula>'1853'!$I$18</formula>
    </cfRule>
  </conditionalFormatting>
  <conditionalFormatting sqref="J19">
    <cfRule type="cellIs" dxfId="3340" priority="391" stopIfTrue="1" operator="equal">
      <formula>'1853'!$I$19</formula>
    </cfRule>
    <cfRule type="cellIs" dxfId="3339" priority="392" stopIfTrue="1" operator="lessThan">
      <formula>'1853'!$I$19</formula>
    </cfRule>
  </conditionalFormatting>
  <conditionalFormatting sqref="J20">
    <cfRule type="cellIs" dxfId="3338" priority="393" stopIfTrue="1" operator="equal">
      <formula>'1853'!$I$20</formula>
    </cfRule>
    <cfRule type="cellIs" dxfId="3337" priority="394" stopIfTrue="1" operator="lessThan">
      <formula>'1853'!$I$20</formula>
    </cfRule>
  </conditionalFormatting>
  <conditionalFormatting sqref="J21">
    <cfRule type="cellIs" dxfId="3336" priority="395" stopIfTrue="1" operator="equal">
      <formula>'1853'!$I$21</formula>
    </cfRule>
    <cfRule type="cellIs" dxfId="3335" priority="396" stopIfTrue="1" operator="lessThan">
      <formula>'1853'!$I$21</formula>
    </cfRule>
  </conditionalFormatting>
  <conditionalFormatting sqref="J22">
    <cfRule type="cellIs" dxfId="3334" priority="397" stopIfTrue="1" operator="equal">
      <formula>'1853'!$I$22</formula>
    </cfRule>
    <cfRule type="cellIs" dxfId="3333" priority="398" stopIfTrue="1" operator="lessThan">
      <formula>'1853'!$I$22</formula>
    </cfRule>
  </conditionalFormatting>
  <conditionalFormatting sqref="J23">
    <cfRule type="cellIs" dxfId="3332" priority="399" stopIfTrue="1" operator="equal">
      <formula>'1853'!$I$23</formula>
    </cfRule>
    <cfRule type="cellIs" dxfId="3331" priority="400" stopIfTrue="1" operator="lessThan">
      <formula>'1853'!$I$23</formula>
    </cfRule>
  </conditionalFormatting>
  <conditionalFormatting sqref="J24">
    <cfRule type="cellIs" dxfId="3330" priority="401" stopIfTrue="1" operator="equal">
      <formula>'1853'!$I$24</formula>
    </cfRule>
    <cfRule type="cellIs" dxfId="3329" priority="402" stopIfTrue="1" operator="lessThan">
      <formula>'1853'!$I$24</formula>
    </cfRule>
  </conditionalFormatting>
  <conditionalFormatting sqref="J25">
    <cfRule type="cellIs" dxfId="3328" priority="403" stopIfTrue="1" operator="equal">
      <formula>'1853'!$I$25</formula>
    </cfRule>
    <cfRule type="cellIs" dxfId="3327" priority="404" stopIfTrue="1" operator="lessThan">
      <formula>'1853'!$I$25</formula>
    </cfRule>
  </conditionalFormatting>
  <conditionalFormatting sqref="J26">
    <cfRule type="cellIs" dxfId="3326" priority="405" stopIfTrue="1" operator="equal">
      <formula>'1853'!$I$26</formula>
    </cfRule>
    <cfRule type="cellIs" dxfId="3325" priority="406" stopIfTrue="1" operator="lessThan">
      <formula>'1853'!$I$26</formula>
    </cfRule>
  </conditionalFormatting>
  <conditionalFormatting sqref="J27">
    <cfRule type="cellIs" dxfId="3324" priority="407" stopIfTrue="1" operator="equal">
      <formula>'1853'!$I$27</formula>
    </cfRule>
    <cfRule type="cellIs" dxfId="3323" priority="408" stopIfTrue="1" operator="lessThan">
      <formula>'1853'!$I$27</formula>
    </cfRule>
  </conditionalFormatting>
  <conditionalFormatting sqref="J28">
    <cfRule type="cellIs" dxfId="3322" priority="409" stopIfTrue="1" operator="equal">
      <formula>'1853'!$I$28</formula>
    </cfRule>
    <cfRule type="cellIs" dxfId="3321" priority="410" stopIfTrue="1" operator="lessThan">
      <formula>'1853'!$I$28</formula>
    </cfRule>
  </conditionalFormatting>
  <conditionalFormatting sqref="F29">
    <cfRule type="cellIs" dxfId="3320" priority="411" stopIfTrue="1" operator="equal">
      <formula>'1853'!$E$29</formula>
    </cfRule>
    <cfRule type="cellIs" dxfId="3319" priority="412" stopIfTrue="1" operator="lessThan">
      <formula>'1853'!$E$29</formula>
    </cfRule>
  </conditionalFormatting>
  <conditionalFormatting sqref="G29">
    <cfRule type="cellIs" dxfId="3318" priority="413" stopIfTrue="1" operator="equal">
      <formula>'1853'!$F$29</formula>
    </cfRule>
    <cfRule type="cellIs" dxfId="3317" priority="414" stopIfTrue="1" operator="lessThan">
      <formula>'1853'!$F$29</formula>
    </cfRule>
  </conditionalFormatting>
  <conditionalFormatting sqref="H29">
    <cfRule type="cellIs" dxfId="3316" priority="415" stopIfTrue="1" operator="equal">
      <formula>'1853'!$G$29</formula>
    </cfRule>
    <cfRule type="cellIs" dxfId="3315" priority="416" stopIfTrue="1" operator="lessThan">
      <formula>'1853'!$G$29</formula>
    </cfRule>
  </conditionalFormatting>
  <conditionalFormatting sqref="K4">
    <cfRule type="cellIs" dxfId="3314" priority="417" stopIfTrue="1" operator="equal">
      <formula>'1853'!$J$4</formula>
    </cfRule>
    <cfRule type="cellIs" dxfId="3313" priority="418" stopIfTrue="1" operator="lessThan">
      <formula>'1853'!$J$4</formula>
    </cfRule>
  </conditionalFormatting>
  <conditionalFormatting sqref="K5">
    <cfRule type="cellIs" dxfId="3312" priority="419" stopIfTrue="1" operator="equal">
      <formula>'1853'!$J$5</formula>
    </cfRule>
    <cfRule type="cellIs" dxfId="3311" priority="420" stopIfTrue="1" operator="lessThan">
      <formula>'1853'!$J$5</formula>
    </cfRule>
  </conditionalFormatting>
  <conditionalFormatting sqref="K6">
    <cfRule type="cellIs" dxfId="3310" priority="421" stopIfTrue="1" operator="equal">
      <formula>'1853'!$J$6</formula>
    </cfRule>
    <cfRule type="cellIs" dxfId="3309" priority="422" stopIfTrue="1" operator="lessThan">
      <formula>'1853'!$J$6</formula>
    </cfRule>
  </conditionalFormatting>
  <conditionalFormatting sqref="K7">
    <cfRule type="cellIs" dxfId="3308" priority="423" stopIfTrue="1" operator="equal">
      <formula>'1853'!$J$7</formula>
    </cfRule>
    <cfRule type="cellIs" dxfId="3307" priority="424" stopIfTrue="1" operator="lessThan">
      <formula>'1853'!$J$7</formula>
    </cfRule>
  </conditionalFormatting>
  <conditionalFormatting sqref="K8">
    <cfRule type="cellIs" dxfId="3306" priority="425" stopIfTrue="1" operator="equal">
      <formula>'1853'!$J$8</formula>
    </cfRule>
    <cfRule type="cellIs" dxfId="3305" priority="426" stopIfTrue="1" operator="lessThan">
      <formula>'1853'!$J$8</formula>
    </cfRule>
  </conditionalFormatting>
  <conditionalFormatting sqref="K9">
    <cfRule type="cellIs" dxfId="3304" priority="427" stopIfTrue="1" operator="equal">
      <formula>'1853'!$J$9</formula>
    </cfRule>
    <cfRule type="cellIs" dxfId="3303" priority="428" stopIfTrue="1" operator="lessThan">
      <formula>'1853'!$J$9</formula>
    </cfRule>
  </conditionalFormatting>
  <conditionalFormatting sqref="K10">
    <cfRule type="cellIs" dxfId="3302" priority="429" stopIfTrue="1" operator="equal">
      <formula>'1853'!$J$10</formula>
    </cfRule>
    <cfRule type="cellIs" dxfId="3301" priority="430" stopIfTrue="1" operator="lessThan">
      <formula>'1853'!$J$10</formula>
    </cfRule>
  </conditionalFormatting>
  <conditionalFormatting sqref="K11">
    <cfRule type="cellIs" dxfId="3300" priority="431" stopIfTrue="1" operator="equal">
      <formula>'1853'!$J$11</formula>
    </cfRule>
    <cfRule type="cellIs" dxfId="3299" priority="432" stopIfTrue="1" operator="lessThan">
      <formula>'1853'!$J$11</formula>
    </cfRule>
  </conditionalFormatting>
  <conditionalFormatting sqref="K12">
    <cfRule type="cellIs" dxfId="3298" priority="433" stopIfTrue="1" operator="equal">
      <formula>'1853'!$J$12</formula>
    </cfRule>
    <cfRule type="cellIs" dxfId="3297" priority="434" stopIfTrue="1" operator="lessThan">
      <formula>'1853'!$J$12</formula>
    </cfRule>
  </conditionalFormatting>
  <conditionalFormatting sqref="K13">
    <cfRule type="cellIs" dxfId="3296" priority="435" stopIfTrue="1" operator="equal">
      <formula>'1853'!$J$13</formula>
    </cfRule>
    <cfRule type="cellIs" dxfId="3295" priority="436" stopIfTrue="1" operator="lessThan">
      <formula>'1853'!$J$13</formula>
    </cfRule>
  </conditionalFormatting>
  <conditionalFormatting sqref="K14">
    <cfRule type="cellIs" dxfId="3294" priority="437" stopIfTrue="1" operator="equal">
      <formula>'1853'!$J$14</formula>
    </cfRule>
    <cfRule type="cellIs" dxfId="3293" priority="438" stopIfTrue="1" operator="lessThan">
      <formula>'1853'!$J$14</formula>
    </cfRule>
  </conditionalFormatting>
  <conditionalFormatting sqref="K15">
    <cfRule type="cellIs" dxfId="3292" priority="439" stopIfTrue="1" operator="equal">
      <formula>'1853'!$J$15</formula>
    </cfRule>
    <cfRule type="cellIs" dxfId="3291" priority="440" stopIfTrue="1" operator="lessThan">
      <formula>'1853'!$J$15</formula>
    </cfRule>
  </conditionalFormatting>
  <conditionalFormatting sqref="K16">
    <cfRule type="cellIs" dxfId="3290" priority="441" stopIfTrue="1" operator="equal">
      <formula>'1853'!$J$16</formula>
    </cfRule>
    <cfRule type="cellIs" dxfId="3289" priority="442" stopIfTrue="1" operator="lessThan">
      <formula>'1853'!$J$16</formula>
    </cfRule>
  </conditionalFormatting>
  <conditionalFormatting sqref="K17">
    <cfRule type="cellIs" dxfId="3288" priority="443" stopIfTrue="1" operator="equal">
      <formula>'1853'!$J$17</formula>
    </cfRule>
    <cfRule type="cellIs" dxfId="3287" priority="444" stopIfTrue="1" operator="lessThan">
      <formula>'1853'!$J$17</formula>
    </cfRule>
  </conditionalFormatting>
  <conditionalFormatting sqref="K18">
    <cfRule type="cellIs" dxfId="3286" priority="445" stopIfTrue="1" operator="equal">
      <formula>'1853'!$J$18</formula>
    </cfRule>
    <cfRule type="cellIs" dxfId="3285" priority="446" stopIfTrue="1" operator="lessThan">
      <formula>'1853'!$J$18</formula>
    </cfRule>
  </conditionalFormatting>
  <conditionalFormatting sqref="K19">
    <cfRule type="cellIs" dxfId="3284" priority="447" stopIfTrue="1" operator="equal">
      <formula>'1853'!$J$19</formula>
    </cfRule>
    <cfRule type="cellIs" dxfId="3283" priority="448" stopIfTrue="1" operator="lessThan">
      <formula>'1853'!$J$19</formula>
    </cfRule>
  </conditionalFormatting>
  <conditionalFormatting sqref="K20">
    <cfRule type="cellIs" dxfId="3282" priority="449" stopIfTrue="1" operator="equal">
      <formula>'1853'!$J$20</formula>
    </cfRule>
    <cfRule type="cellIs" dxfId="3281" priority="450" stopIfTrue="1" operator="lessThan">
      <formula>'1853'!$J$20</formula>
    </cfRule>
  </conditionalFormatting>
  <conditionalFormatting sqref="K21">
    <cfRule type="cellIs" dxfId="3280" priority="451" stopIfTrue="1" operator="equal">
      <formula>'1853'!$J$21</formula>
    </cfRule>
    <cfRule type="cellIs" dxfId="3279" priority="452" stopIfTrue="1" operator="lessThan">
      <formula>'1853'!$J$21</formula>
    </cfRule>
  </conditionalFormatting>
  <conditionalFormatting sqref="K22">
    <cfRule type="cellIs" dxfId="3278" priority="453" stopIfTrue="1" operator="equal">
      <formula>'1853'!$J$22</formula>
    </cfRule>
    <cfRule type="cellIs" dxfId="3277" priority="454" stopIfTrue="1" operator="lessThan">
      <formula>'1853'!$J$22</formula>
    </cfRule>
  </conditionalFormatting>
  <conditionalFormatting sqref="K23">
    <cfRule type="cellIs" dxfId="3276" priority="455" stopIfTrue="1" operator="equal">
      <formula>'1853'!$J$23</formula>
    </cfRule>
    <cfRule type="cellIs" dxfId="3275" priority="456" stopIfTrue="1" operator="lessThan">
      <formula>'1853'!$J$23</formula>
    </cfRule>
  </conditionalFormatting>
  <conditionalFormatting sqref="K24">
    <cfRule type="cellIs" dxfId="3274" priority="457" stopIfTrue="1" operator="equal">
      <formula>'1853'!$J$24</formula>
    </cfRule>
    <cfRule type="cellIs" dxfId="3273" priority="458" stopIfTrue="1" operator="lessThan">
      <formula>'1853'!$J$24</formula>
    </cfRule>
  </conditionalFormatting>
  <conditionalFormatting sqref="K25">
    <cfRule type="cellIs" dxfId="3272" priority="459" stopIfTrue="1" operator="equal">
      <formula>'1853'!$J$25</formula>
    </cfRule>
    <cfRule type="cellIs" dxfId="3271" priority="460" stopIfTrue="1" operator="lessThan">
      <formula>'1853'!$J$25</formula>
    </cfRule>
  </conditionalFormatting>
  <conditionalFormatting sqref="K26">
    <cfRule type="cellIs" dxfId="3270" priority="461" stopIfTrue="1" operator="equal">
      <formula>'1853'!$J$26</formula>
    </cfRule>
    <cfRule type="cellIs" dxfId="3269" priority="462" stopIfTrue="1" operator="lessThan">
      <formula>'1853'!$J$26</formula>
    </cfRule>
  </conditionalFormatting>
  <conditionalFormatting sqref="K27">
    <cfRule type="cellIs" dxfId="3268" priority="463" stopIfTrue="1" operator="equal">
      <formula>'1853'!$J$27</formula>
    </cfRule>
    <cfRule type="cellIs" dxfId="3267" priority="464" stopIfTrue="1" operator="lessThan">
      <formula>'1853'!$J$27</formula>
    </cfRule>
  </conditionalFormatting>
  <conditionalFormatting sqref="K28">
    <cfRule type="cellIs" dxfId="3266" priority="465" stopIfTrue="1" operator="lessThan">
      <formula>'1853'!$J$28</formula>
    </cfRule>
    <cfRule type="cellIs" dxfId="3265" priority="466" stopIfTrue="1" operator="equal">
      <formula>'1853'!$J$28</formula>
    </cfRule>
  </conditionalFormatting>
  <conditionalFormatting sqref="K29">
    <cfRule type="cellIs" dxfId="3264" priority="467" stopIfTrue="1" operator="equal">
      <formula>'1853'!$J$29</formula>
    </cfRule>
    <cfRule type="cellIs" dxfId="3263" priority="468" stopIfTrue="1" operator="lessThan">
      <formula>'1853'!$J$29</formula>
    </cfRule>
  </conditionalFormatting>
  <conditionalFormatting sqref="L4:M4">
    <cfRule type="cellIs" dxfId="3262" priority="469" stopIfTrue="1" operator="equal">
      <formula>'1853'!$K$4</formula>
    </cfRule>
    <cfRule type="cellIs" dxfId="3261" priority="470" stopIfTrue="1" operator="lessThan">
      <formula>'1853'!$K$4</formula>
    </cfRule>
  </conditionalFormatting>
  <conditionalFormatting sqref="L5:M5">
    <cfRule type="cellIs" dxfId="3260" priority="471" stopIfTrue="1" operator="equal">
      <formula>'1853'!$K$5</formula>
    </cfRule>
    <cfRule type="cellIs" dxfId="3259" priority="472" stopIfTrue="1" operator="lessThan">
      <formula>'1853'!$K$5</formula>
    </cfRule>
  </conditionalFormatting>
  <conditionalFormatting sqref="L6:M6">
    <cfRule type="cellIs" dxfId="3258" priority="473" stopIfTrue="1" operator="equal">
      <formula>'1853'!$K$6</formula>
    </cfRule>
    <cfRule type="cellIs" dxfId="3257" priority="474" stopIfTrue="1" operator="lessThan">
      <formula>'1853'!$K$6</formula>
    </cfRule>
  </conditionalFormatting>
  <conditionalFormatting sqref="L7:M7">
    <cfRule type="cellIs" dxfId="3256" priority="475" stopIfTrue="1" operator="equal">
      <formula>'1853'!$K$7</formula>
    </cfRule>
    <cfRule type="cellIs" dxfId="3255" priority="476" stopIfTrue="1" operator="lessThan">
      <formula>'1853'!$K$7</formula>
    </cfRule>
  </conditionalFormatting>
  <conditionalFormatting sqref="L8:M8">
    <cfRule type="cellIs" dxfId="3254" priority="477" stopIfTrue="1" operator="equal">
      <formula>'1853'!$K$8</formula>
    </cfRule>
    <cfRule type="cellIs" dxfId="3253" priority="478" stopIfTrue="1" operator="lessThan">
      <formula>'1853'!$K$8</formula>
    </cfRule>
  </conditionalFormatting>
  <conditionalFormatting sqref="L9:M9">
    <cfRule type="cellIs" dxfId="3252" priority="479" stopIfTrue="1" operator="equal">
      <formula>'1853'!$K$9</formula>
    </cfRule>
    <cfRule type="cellIs" dxfId="3251" priority="480" stopIfTrue="1" operator="lessThan">
      <formula>'1853'!$K$9</formula>
    </cfRule>
  </conditionalFormatting>
  <conditionalFormatting sqref="L10:M10">
    <cfRule type="cellIs" dxfId="3250" priority="481" stopIfTrue="1" operator="equal">
      <formula>'1853'!$K$10</formula>
    </cfRule>
    <cfRule type="cellIs" dxfId="3249" priority="482" stopIfTrue="1" operator="lessThan">
      <formula>'1853'!$K$10</formula>
    </cfRule>
  </conditionalFormatting>
  <conditionalFormatting sqref="L12:M12">
    <cfRule type="cellIs" dxfId="3248" priority="483" stopIfTrue="1" operator="equal">
      <formula>'1853'!$K$12</formula>
    </cfRule>
    <cfRule type="cellIs" dxfId="3247" priority="484" stopIfTrue="1" operator="lessThan">
      <formula>'1853'!$K$12</formula>
    </cfRule>
  </conditionalFormatting>
  <conditionalFormatting sqref="L13:M13">
    <cfRule type="cellIs" dxfId="3246" priority="485" stopIfTrue="1" operator="equal">
      <formula>'1853'!$K$13</formula>
    </cfRule>
    <cfRule type="cellIs" dxfId="3245" priority="486" stopIfTrue="1" operator="lessThan">
      <formula>'1853'!$K$13</formula>
    </cfRule>
  </conditionalFormatting>
  <conditionalFormatting sqref="L14:M14">
    <cfRule type="cellIs" dxfId="3244" priority="487" stopIfTrue="1" operator="equal">
      <formula>'1853'!$K$14</formula>
    </cfRule>
    <cfRule type="cellIs" dxfId="3243" priority="488" stopIfTrue="1" operator="lessThan">
      <formula>'1853'!$K$14</formula>
    </cfRule>
  </conditionalFormatting>
  <conditionalFormatting sqref="L15:M15">
    <cfRule type="cellIs" dxfId="3242" priority="489" stopIfTrue="1" operator="equal">
      <formula>'1853'!$K$15</formula>
    </cfRule>
    <cfRule type="cellIs" dxfId="3241" priority="490" stopIfTrue="1" operator="lessThan">
      <formula>'1853'!$K$15</formula>
    </cfRule>
  </conditionalFormatting>
  <conditionalFormatting sqref="L16:M16">
    <cfRule type="cellIs" dxfId="3240" priority="491" stopIfTrue="1" operator="equal">
      <formula>'1853'!$K$16</formula>
    </cfRule>
    <cfRule type="cellIs" dxfId="3239" priority="492" stopIfTrue="1" operator="lessThan">
      <formula>'1853'!$K$16</formula>
    </cfRule>
  </conditionalFormatting>
  <conditionalFormatting sqref="L17:M17">
    <cfRule type="cellIs" dxfId="3238" priority="493" stopIfTrue="1" operator="equal">
      <formula>'1853'!$K$17</formula>
    </cfRule>
    <cfRule type="cellIs" dxfId="3237" priority="494" stopIfTrue="1" operator="lessThan">
      <formula>'1853'!$K$17</formula>
    </cfRule>
  </conditionalFormatting>
  <conditionalFormatting sqref="L18:M18">
    <cfRule type="cellIs" dxfId="3236" priority="495" stopIfTrue="1" operator="equal">
      <formula>'1853'!$K$18</formula>
    </cfRule>
    <cfRule type="cellIs" dxfId="3235" priority="496" stopIfTrue="1" operator="lessThan">
      <formula>'1853'!$K$18</formula>
    </cfRule>
  </conditionalFormatting>
  <conditionalFormatting sqref="L19:M19">
    <cfRule type="cellIs" dxfId="3234" priority="497" stopIfTrue="1" operator="equal">
      <formula>'1853'!$K$19</formula>
    </cfRule>
    <cfRule type="cellIs" dxfId="3233" priority="498" stopIfTrue="1" operator="lessThan">
      <formula>'1853'!$K$19</formula>
    </cfRule>
  </conditionalFormatting>
  <conditionalFormatting sqref="L20:M20">
    <cfRule type="cellIs" dxfId="3232" priority="499" stopIfTrue="1" operator="equal">
      <formula>'1853'!$K$20</formula>
    </cfRule>
    <cfRule type="cellIs" dxfId="3231" priority="500" stopIfTrue="1" operator="lessThan">
      <formula>'1853'!$K$20</formula>
    </cfRule>
  </conditionalFormatting>
  <conditionalFormatting sqref="L21:M21">
    <cfRule type="cellIs" dxfId="3230" priority="501" stopIfTrue="1" operator="equal">
      <formula>'1853'!$K$21</formula>
    </cfRule>
    <cfRule type="cellIs" dxfId="3229" priority="502" stopIfTrue="1" operator="lessThan">
      <formula>'1853'!$K$21</formula>
    </cfRule>
  </conditionalFormatting>
  <conditionalFormatting sqref="L11:M11">
    <cfRule type="cellIs" dxfId="3228" priority="503" stopIfTrue="1" operator="equal">
      <formula>'1853'!$K$11</formula>
    </cfRule>
    <cfRule type="cellIs" dxfId="3227" priority="504" stopIfTrue="1" operator="lessThan">
      <formula>'1853'!$K$11</formula>
    </cfRule>
  </conditionalFormatting>
  <conditionalFormatting sqref="L22:M22">
    <cfRule type="cellIs" dxfId="3226" priority="505" stopIfTrue="1" operator="equal">
      <formula>'1853'!$K$22</formula>
    </cfRule>
    <cfRule type="cellIs" dxfId="3225" priority="506" stopIfTrue="1" operator="lessThan">
      <formula>'1853'!$K$22</formula>
    </cfRule>
  </conditionalFormatting>
  <conditionalFormatting sqref="L23:M23">
    <cfRule type="cellIs" dxfId="3224" priority="507" stopIfTrue="1" operator="equal">
      <formula>'1853'!$K$23</formula>
    </cfRule>
    <cfRule type="cellIs" dxfId="3223" priority="508" stopIfTrue="1" operator="lessThan">
      <formula>'1853'!$K$23</formula>
    </cfRule>
  </conditionalFormatting>
  <conditionalFormatting sqref="L24:M24">
    <cfRule type="cellIs" dxfId="3222" priority="509" stopIfTrue="1" operator="equal">
      <formula>'1853'!$K$24</formula>
    </cfRule>
    <cfRule type="cellIs" dxfId="3221" priority="510" stopIfTrue="1" operator="lessThan">
      <formula>'1853'!$K$24</formula>
    </cfRule>
  </conditionalFormatting>
  <conditionalFormatting sqref="L25:M25">
    <cfRule type="cellIs" dxfId="3220" priority="511" stopIfTrue="1" operator="equal">
      <formula>'1853'!$K$25</formula>
    </cfRule>
    <cfRule type="cellIs" dxfId="3219" priority="512" stopIfTrue="1" operator="lessThan">
      <formula>'1853'!$K$25</formula>
    </cfRule>
  </conditionalFormatting>
  <conditionalFormatting sqref="L26:M26">
    <cfRule type="cellIs" dxfId="3218" priority="513" stopIfTrue="1" operator="equal">
      <formula>'1853'!$K$26</formula>
    </cfRule>
    <cfRule type="cellIs" dxfId="3217" priority="514" stopIfTrue="1" operator="lessThan">
      <formula>'1853'!$K$26</formula>
    </cfRule>
  </conditionalFormatting>
  <conditionalFormatting sqref="L27:M27">
    <cfRule type="cellIs" dxfId="3216" priority="515" stopIfTrue="1" operator="equal">
      <formula>'1853'!$K$27</formula>
    </cfRule>
    <cfRule type="cellIs" dxfId="3215" priority="516" stopIfTrue="1" operator="lessThan">
      <formula>'1853'!$K$27</formula>
    </cfRule>
  </conditionalFormatting>
  <conditionalFormatting sqref="L28:M28">
    <cfRule type="cellIs" dxfId="3214" priority="517" stopIfTrue="1" operator="equal">
      <formula>'1853'!$K$28</formula>
    </cfRule>
    <cfRule type="cellIs" dxfId="3213" priority="518" stopIfTrue="1" operator="lessThan">
      <formula>'1853'!$K$28</formula>
    </cfRule>
  </conditionalFormatting>
  <conditionalFormatting sqref="L29:M29">
    <cfRule type="cellIs" dxfId="3212" priority="519" stopIfTrue="1" operator="equal">
      <formula>'1853'!$K$29</formula>
    </cfRule>
    <cfRule type="cellIs" dxfId="3211" priority="520" stopIfTrue="1" operator="lessThan">
      <formula>'1853'!$K$29</formula>
    </cfRule>
  </conditionalFormatting>
  <conditionalFormatting sqref="N4">
    <cfRule type="cellIs" dxfId="3210" priority="521" stopIfTrue="1" operator="lessThan">
      <formula>'1853'!$L$4</formula>
    </cfRule>
    <cfRule type="cellIs" dxfId="3209" priority="522" stopIfTrue="1" operator="equal">
      <formula>'1853'!$L$4</formula>
    </cfRule>
  </conditionalFormatting>
  <conditionalFormatting sqref="N5">
    <cfRule type="cellIs" dxfId="3208" priority="523" stopIfTrue="1" operator="equal">
      <formula>'1853'!$L$5</formula>
    </cfRule>
    <cfRule type="cellIs" dxfId="3207" priority="524" stopIfTrue="1" operator="lessThan">
      <formula>'1853'!$L$5</formula>
    </cfRule>
  </conditionalFormatting>
  <conditionalFormatting sqref="N6">
    <cfRule type="cellIs" dxfId="3206" priority="525" stopIfTrue="1" operator="equal">
      <formula>'1853'!$L$6</formula>
    </cfRule>
    <cfRule type="cellIs" dxfId="3205" priority="526" stopIfTrue="1" operator="lessThan">
      <formula>'1853'!$L$6</formula>
    </cfRule>
  </conditionalFormatting>
  <conditionalFormatting sqref="N7">
    <cfRule type="cellIs" dxfId="3204" priority="527" stopIfTrue="1" operator="equal">
      <formula>'1853'!$L$7</formula>
    </cfRule>
    <cfRule type="cellIs" dxfId="3203" priority="528" stopIfTrue="1" operator="lessThan">
      <formula>'1853'!$L$7</formula>
    </cfRule>
  </conditionalFormatting>
  <conditionalFormatting sqref="N8">
    <cfRule type="cellIs" dxfId="3202" priority="529" stopIfTrue="1" operator="equal">
      <formula>'1853'!$L$8</formula>
    </cfRule>
    <cfRule type="cellIs" dxfId="3201" priority="530" stopIfTrue="1" operator="lessThan">
      <formula>'1853'!$L$8</formula>
    </cfRule>
  </conditionalFormatting>
  <conditionalFormatting sqref="N9">
    <cfRule type="cellIs" dxfId="3200" priority="531" stopIfTrue="1" operator="equal">
      <formula>'1853'!$L$9</formula>
    </cfRule>
    <cfRule type="cellIs" dxfId="3199" priority="532" stopIfTrue="1" operator="lessThan">
      <formula>'1853'!$L$9</formula>
    </cfRule>
  </conditionalFormatting>
  <conditionalFormatting sqref="N10">
    <cfRule type="cellIs" dxfId="3198" priority="533" stopIfTrue="1" operator="equal">
      <formula>'1853'!$L$10</formula>
    </cfRule>
    <cfRule type="cellIs" dxfId="3197" priority="534" stopIfTrue="1" operator="lessThan">
      <formula>'1853'!$L$10</formula>
    </cfRule>
  </conditionalFormatting>
  <conditionalFormatting sqref="N11">
    <cfRule type="cellIs" dxfId="3196" priority="535" stopIfTrue="1" operator="equal">
      <formula>'1853'!$L$11</formula>
    </cfRule>
    <cfRule type="cellIs" dxfId="3195" priority="536" stopIfTrue="1" operator="lessThan">
      <formula>'1853'!$L$11</formula>
    </cfRule>
  </conditionalFormatting>
  <conditionalFormatting sqref="N12">
    <cfRule type="cellIs" dxfId="3194" priority="537" stopIfTrue="1" operator="equal">
      <formula>'1853'!$L$12</formula>
    </cfRule>
    <cfRule type="cellIs" dxfId="3193" priority="538" stopIfTrue="1" operator="lessThan">
      <formula>'1853'!$L$12</formula>
    </cfRule>
  </conditionalFormatting>
  <conditionalFormatting sqref="N13">
    <cfRule type="cellIs" dxfId="3192" priority="539" stopIfTrue="1" operator="equal">
      <formula>'1853'!$L$13</formula>
    </cfRule>
    <cfRule type="cellIs" dxfId="3191" priority="540" stopIfTrue="1" operator="lessThan">
      <formula>'1853'!$L$13</formula>
    </cfRule>
  </conditionalFormatting>
  <conditionalFormatting sqref="N14">
    <cfRule type="cellIs" dxfId="3190" priority="541" stopIfTrue="1" operator="equal">
      <formula>'1853'!$L$14</formula>
    </cfRule>
    <cfRule type="cellIs" dxfId="3189" priority="542" stopIfTrue="1" operator="lessThan">
      <formula>'1853'!$L$14</formula>
    </cfRule>
  </conditionalFormatting>
  <conditionalFormatting sqref="N15">
    <cfRule type="cellIs" dxfId="3188" priority="543" stopIfTrue="1" operator="equal">
      <formula>'1853'!$L$15</formula>
    </cfRule>
    <cfRule type="cellIs" dxfId="3187" priority="544" stopIfTrue="1" operator="lessThan">
      <formula>'1853'!$L$15</formula>
    </cfRule>
  </conditionalFormatting>
  <conditionalFormatting sqref="N16">
    <cfRule type="cellIs" dxfId="3186" priority="545" stopIfTrue="1" operator="equal">
      <formula>'1853'!$L$16</formula>
    </cfRule>
    <cfRule type="cellIs" dxfId="3185" priority="546" stopIfTrue="1" operator="lessThan">
      <formula>'1853'!$L$16</formula>
    </cfRule>
  </conditionalFormatting>
  <conditionalFormatting sqref="N17">
    <cfRule type="cellIs" dxfId="3184" priority="547" stopIfTrue="1" operator="equal">
      <formula>'1853'!$L$17</formula>
    </cfRule>
    <cfRule type="cellIs" dxfId="3183" priority="548" stopIfTrue="1" operator="lessThan">
      <formula>'1853'!$L$17</formula>
    </cfRule>
  </conditionalFormatting>
  <conditionalFormatting sqref="N18">
    <cfRule type="cellIs" dxfId="3182" priority="549" stopIfTrue="1" operator="equal">
      <formula>'1853'!$L$18</formula>
    </cfRule>
    <cfRule type="cellIs" dxfId="3181" priority="550" stopIfTrue="1" operator="lessThan">
      <formula>'1853'!$L$18</formula>
    </cfRule>
  </conditionalFormatting>
  <conditionalFormatting sqref="N19">
    <cfRule type="cellIs" dxfId="3180" priority="551" stopIfTrue="1" operator="equal">
      <formula>'1853'!$L$19</formula>
    </cfRule>
    <cfRule type="cellIs" dxfId="3179" priority="552" stopIfTrue="1" operator="lessThan">
      <formula>'1853'!$L$19</formula>
    </cfRule>
  </conditionalFormatting>
  <conditionalFormatting sqref="N20">
    <cfRule type="cellIs" dxfId="3178" priority="553" stopIfTrue="1" operator="equal">
      <formula>'1853'!$L$20</formula>
    </cfRule>
    <cfRule type="cellIs" dxfId="3177" priority="554" stopIfTrue="1" operator="lessThan">
      <formula>'1853'!$L$20</formula>
    </cfRule>
  </conditionalFormatting>
  <conditionalFormatting sqref="N21">
    <cfRule type="cellIs" dxfId="3176" priority="555" stopIfTrue="1" operator="equal">
      <formula>'1853'!$L$21</formula>
    </cfRule>
    <cfRule type="cellIs" dxfId="3175" priority="556" stopIfTrue="1" operator="lessThan">
      <formula>'1853'!$L$21</formula>
    </cfRule>
  </conditionalFormatting>
  <conditionalFormatting sqref="N22">
    <cfRule type="cellIs" dxfId="3174" priority="557" stopIfTrue="1" operator="equal">
      <formula>'1853'!$L$22</formula>
    </cfRule>
    <cfRule type="cellIs" dxfId="3173" priority="558" stopIfTrue="1" operator="lessThan">
      <formula>'1853'!$L$22</formula>
    </cfRule>
  </conditionalFormatting>
  <conditionalFormatting sqref="N23">
    <cfRule type="cellIs" dxfId="3172" priority="559" stopIfTrue="1" operator="equal">
      <formula>'1853'!$L$23</formula>
    </cfRule>
    <cfRule type="cellIs" dxfId="3171" priority="560" stopIfTrue="1" operator="lessThan">
      <formula>'1853'!$L$23</formula>
    </cfRule>
  </conditionalFormatting>
  <conditionalFormatting sqref="N24">
    <cfRule type="cellIs" dxfId="3170" priority="561" stopIfTrue="1" operator="equal">
      <formula>'1853'!$L$24</formula>
    </cfRule>
    <cfRule type="cellIs" dxfId="3169" priority="562" stopIfTrue="1" operator="lessThan">
      <formula>'1853'!$L$24</formula>
    </cfRule>
  </conditionalFormatting>
  <conditionalFormatting sqref="N25">
    <cfRule type="cellIs" dxfId="3168" priority="563" stopIfTrue="1" operator="equal">
      <formula>'1853'!$L$25</formula>
    </cfRule>
    <cfRule type="cellIs" dxfId="3167" priority="564" stopIfTrue="1" operator="lessThan">
      <formula>'1853'!$L$25</formula>
    </cfRule>
  </conditionalFormatting>
  <conditionalFormatting sqref="N26">
    <cfRule type="cellIs" dxfId="3166" priority="565" stopIfTrue="1" operator="equal">
      <formula>'1853'!$L$26</formula>
    </cfRule>
    <cfRule type="cellIs" dxfId="3165" priority="566" stopIfTrue="1" operator="lessThan">
      <formula>'1853'!$L$26</formula>
    </cfRule>
  </conditionalFormatting>
  <conditionalFormatting sqref="N27">
    <cfRule type="cellIs" dxfId="3164" priority="567" stopIfTrue="1" operator="equal">
      <formula>'1853'!$L$27</formula>
    </cfRule>
    <cfRule type="cellIs" dxfId="3163" priority="568" stopIfTrue="1" operator="lessThan">
      <formula>'1853'!$L$27</formula>
    </cfRule>
  </conditionalFormatting>
  <conditionalFormatting sqref="N28">
    <cfRule type="cellIs" dxfId="3162" priority="569" stopIfTrue="1" operator="equal">
      <formula>'1853'!$L$28</formula>
    </cfRule>
    <cfRule type="cellIs" dxfId="3161" priority="570" stopIfTrue="1" operator="lessThan">
      <formula>'1853'!$L$28</formula>
    </cfRule>
  </conditionalFormatting>
  <conditionalFormatting sqref="N29">
    <cfRule type="cellIs" dxfId="3160" priority="571" stopIfTrue="1" operator="equal">
      <formula>'1853'!$L$29</formula>
    </cfRule>
    <cfRule type="cellIs" dxfId="3159" priority="572" stopIfTrue="1" operator="lessThan">
      <formula>'1853'!$L$29</formula>
    </cfRule>
  </conditionalFormatting>
  <conditionalFormatting sqref="O4">
    <cfRule type="cellIs" dxfId="3158" priority="573" stopIfTrue="1" operator="equal">
      <formula>'1853'!$M$4</formula>
    </cfRule>
    <cfRule type="cellIs" dxfId="3157" priority="574" stopIfTrue="1" operator="lessThan">
      <formula>'1853'!$M$4</formula>
    </cfRule>
  </conditionalFormatting>
  <conditionalFormatting sqref="O5">
    <cfRule type="cellIs" dxfId="3156" priority="575" stopIfTrue="1" operator="equal">
      <formula>'1853'!$M$5</formula>
    </cfRule>
    <cfRule type="cellIs" dxfId="3155" priority="576" stopIfTrue="1" operator="lessThan">
      <formula>'1853'!$M$5</formula>
    </cfRule>
  </conditionalFormatting>
  <conditionalFormatting sqref="O6">
    <cfRule type="cellIs" dxfId="3154" priority="577" stopIfTrue="1" operator="equal">
      <formula>'1853'!$M$6</formula>
    </cfRule>
    <cfRule type="cellIs" dxfId="3153" priority="578" stopIfTrue="1" operator="lessThan">
      <formula>'1853'!$M$6</formula>
    </cfRule>
  </conditionalFormatting>
  <conditionalFormatting sqref="O7">
    <cfRule type="cellIs" dxfId="3152" priority="579" stopIfTrue="1" operator="equal">
      <formula>'1853'!$M$7</formula>
    </cfRule>
    <cfRule type="cellIs" dxfId="3151" priority="580" stopIfTrue="1" operator="lessThan">
      <formula>'1853'!$M$7</formula>
    </cfRule>
  </conditionalFormatting>
  <conditionalFormatting sqref="O8">
    <cfRule type="cellIs" dxfId="3150" priority="581" stopIfTrue="1" operator="equal">
      <formula>'1853'!$M$8</formula>
    </cfRule>
    <cfRule type="cellIs" dxfId="3149" priority="582" stopIfTrue="1" operator="lessThan">
      <formula>'1853'!$M$8</formula>
    </cfRule>
  </conditionalFormatting>
  <conditionalFormatting sqref="O9">
    <cfRule type="cellIs" dxfId="3148" priority="583" stopIfTrue="1" operator="equal">
      <formula>'1853'!$M$9</formula>
    </cfRule>
    <cfRule type="cellIs" dxfId="3147" priority="584" stopIfTrue="1" operator="lessThan">
      <formula>'1853'!$M$9</formula>
    </cfRule>
  </conditionalFormatting>
  <conditionalFormatting sqref="O10">
    <cfRule type="cellIs" dxfId="3146" priority="585" stopIfTrue="1" operator="equal">
      <formula>'1853'!$M$10</formula>
    </cfRule>
    <cfRule type="cellIs" dxfId="3145" priority="586" stopIfTrue="1" operator="lessThan">
      <formula>'1853'!$M$10</formula>
    </cfRule>
  </conditionalFormatting>
  <conditionalFormatting sqref="O11">
    <cfRule type="cellIs" dxfId="3144" priority="587" stopIfTrue="1" operator="equal">
      <formula>'1853'!$M$11</formula>
    </cfRule>
    <cfRule type="cellIs" dxfId="3143" priority="588" stopIfTrue="1" operator="lessThan">
      <formula>'1853'!$M$11</formula>
    </cfRule>
  </conditionalFormatting>
  <conditionalFormatting sqref="O12">
    <cfRule type="cellIs" dxfId="3142" priority="589" stopIfTrue="1" operator="equal">
      <formula>'1853'!$M$12</formula>
    </cfRule>
    <cfRule type="cellIs" dxfId="3141" priority="590" stopIfTrue="1" operator="lessThan">
      <formula>'1853'!$M$12</formula>
    </cfRule>
  </conditionalFormatting>
  <conditionalFormatting sqref="O13">
    <cfRule type="cellIs" dxfId="3140" priority="591" stopIfTrue="1" operator="equal">
      <formula>'1853'!$M$13</formula>
    </cfRule>
    <cfRule type="cellIs" dxfId="3139" priority="592" stopIfTrue="1" operator="lessThan">
      <formula>'1853'!$M$13</formula>
    </cfRule>
  </conditionalFormatting>
  <conditionalFormatting sqref="O14">
    <cfRule type="cellIs" dxfId="3138" priority="593" stopIfTrue="1" operator="equal">
      <formula>'1853'!$M$14</formula>
    </cfRule>
    <cfRule type="cellIs" dxfId="3137" priority="594" stopIfTrue="1" operator="lessThan">
      <formula>'1853'!$M$14</formula>
    </cfRule>
  </conditionalFormatting>
  <conditionalFormatting sqref="O15">
    <cfRule type="cellIs" dxfId="3136" priority="595" stopIfTrue="1" operator="equal">
      <formula>'1853'!$M$15</formula>
    </cfRule>
    <cfRule type="cellIs" dxfId="3135" priority="596" stopIfTrue="1" operator="lessThan">
      <formula>'1853'!$M$15</formula>
    </cfRule>
  </conditionalFormatting>
  <conditionalFormatting sqref="O16">
    <cfRule type="cellIs" dxfId="3134" priority="597" stopIfTrue="1" operator="equal">
      <formula>'1853'!$M$16</formula>
    </cfRule>
    <cfRule type="cellIs" dxfId="3133" priority="598" stopIfTrue="1" operator="lessThan">
      <formula>'1853'!$M$16</formula>
    </cfRule>
  </conditionalFormatting>
  <conditionalFormatting sqref="O17">
    <cfRule type="cellIs" dxfId="3132" priority="599" stopIfTrue="1" operator="equal">
      <formula>'1853'!$M$17</formula>
    </cfRule>
    <cfRule type="cellIs" dxfId="3131" priority="600" stopIfTrue="1" operator="lessThan">
      <formula>'1853'!$M$17</formula>
    </cfRule>
  </conditionalFormatting>
  <conditionalFormatting sqref="O18">
    <cfRule type="cellIs" dxfId="3130" priority="601" stopIfTrue="1" operator="equal">
      <formula>'1853'!$M$18</formula>
    </cfRule>
    <cfRule type="cellIs" dxfId="3129" priority="602" stopIfTrue="1" operator="lessThan">
      <formula>'1853'!$M$18</formula>
    </cfRule>
  </conditionalFormatting>
  <conditionalFormatting sqref="O19">
    <cfRule type="cellIs" dxfId="3128" priority="603" stopIfTrue="1" operator="equal">
      <formula>'1853'!$M$19</formula>
    </cfRule>
    <cfRule type="cellIs" dxfId="3127" priority="604" stopIfTrue="1" operator="lessThan">
      <formula>'1853'!$M$19</formula>
    </cfRule>
  </conditionalFormatting>
  <conditionalFormatting sqref="O20">
    <cfRule type="cellIs" dxfId="3126" priority="605" stopIfTrue="1" operator="equal">
      <formula>'1853'!$M$20</formula>
    </cfRule>
    <cfRule type="cellIs" dxfId="3125" priority="606" stopIfTrue="1" operator="lessThan">
      <formula>'1853'!$M$20</formula>
    </cfRule>
  </conditionalFormatting>
  <conditionalFormatting sqref="O21">
    <cfRule type="cellIs" dxfId="3124" priority="607" stopIfTrue="1" operator="equal">
      <formula>'1853'!$M$21</formula>
    </cfRule>
    <cfRule type="cellIs" dxfId="3123" priority="608" stopIfTrue="1" operator="lessThan">
      <formula>'1853'!$M$21</formula>
    </cfRule>
  </conditionalFormatting>
  <conditionalFormatting sqref="O22">
    <cfRule type="cellIs" dxfId="3122" priority="609" stopIfTrue="1" operator="equal">
      <formula>'1853'!$M$22</formula>
    </cfRule>
    <cfRule type="cellIs" dxfId="3121" priority="610" stopIfTrue="1" operator="lessThan">
      <formula>'1853'!$M$22</formula>
    </cfRule>
  </conditionalFormatting>
  <conditionalFormatting sqref="O23">
    <cfRule type="cellIs" dxfId="3120" priority="611" stopIfTrue="1" operator="equal">
      <formula>'1853'!$M$23</formula>
    </cfRule>
    <cfRule type="cellIs" dxfId="3119" priority="612" stopIfTrue="1" operator="lessThan">
      <formula>'1853'!$M$23</formula>
    </cfRule>
  </conditionalFormatting>
  <conditionalFormatting sqref="O24">
    <cfRule type="cellIs" dxfId="3118" priority="613" stopIfTrue="1" operator="equal">
      <formula>'1853'!$M$24</formula>
    </cfRule>
    <cfRule type="cellIs" dxfId="3117" priority="614" stopIfTrue="1" operator="lessThan">
      <formula>'1853'!$M$24</formula>
    </cfRule>
  </conditionalFormatting>
  <conditionalFormatting sqref="O25">
    <cfRule type="cellIs" dxfId="3116" priority="615" stopIfTrue="1" operator="equal">
      <formula>'1853'!$M$25</formula>
    </cfRule>
    <cfRule type="cellIs" dxfId="3115" priority="616" stopIfTrue="1" operator="lessThan">
      <formula>'1853'!$M$25</formula>
    </cfRule>
  </conditionalFormatting>
  <conditionalFormatting sqref="O26">
    <cfRule type="cellIs" dxfId="3114" priority="617" stopIfTrue="1" operator="equal">
      <formula>'1853'!$M$26</formula>
    </cfRule>
    <cfRule type="cellIs" dxfId="3113" priority="618" stopIfTrue="1" operator="lessThan">
      <formula>'1853'!$M$26</formula>
    </cfRule>
  </conditionalFormatting>
  <conditionalFormatting sqref="O27">
    <cfRule type="cellIs" dxfId="3112" priority="619" stopIfTrue="1" operator="equal">
      <formula>'1853'!$M$27</formula>
    </cfRule>
    <cfRule type="cellIs" dxfId="3111" priority="620" stopIfTrue="1" operator="lessThan">
      <formula>'1853'!$M$27</formula>
    </cfRule>
  </conditionalFormatting>
  <conditionalFormatting sqref="O28">
    <cfRule type="cellIs" dxfId="3110" priority="621" stopIfTrue="1" operator="equal">
      <formula>'1853'!$M$28</formula>
    </cfRule>
    <cfRule type="cellIs" dxfId="3109" priority="622" stopIfTrue="1" operator="lessThan">
      <formula>'1853'!$M$28</formula>
    </cfRule>
  </conditionalFormatting>
  <conditionalFormatting sqref="O29">
    <cfRule type="cellIs" dxfId="3108" priority="623" stopIfTrue="1" operator="equal">
      <formula>'1853'!$M$29</formula>
    </cfRule>
    <cfRule type="cellIs" dxfId="3107" priority="624" stopIfTrue="1" operator="lessThan">
      <formula>'1853'!$M$29</formula>
    </cfRule>
  </conditionalFormatting>
  <conditionalFormatting sqref="P4">
    <cfRule type="cellIs" dxfId="3106" priority="626" stopIfTrue="1" operator="lessThan">
      <formula>'1853'!$N$4</formula>
    </cfRule>
  </conditionalFormatting>
  <conditionalFormatting sqref="P5">
    <cfRule type="cellIs" dxfId="3105" priority="627" stopIfTrue="1" operator="equal">
      <formula>'1853'!$N$5</formula>
    </cfRule>
    <cfRule type="cellIs" dxfId="3104" priority="628" stopIfTrue="1" operator="lessThan">
      <formula>'1853'!$N$5</formula>
    </cfRule>
  </conditionalFormatting>
  <conditionalFormatting sqref="P6">
    <cfRule type="cellIs" dxfId="3103" priority="629" stopIfTrue="1" operator="equal">
      <formula>'1853'!$N$6</formula>
    </cfRule>
    <cfRule type="cellIs" dxfId="3102" priority="630" stopIfTrue="1" operator="lessThan">
      <formula>'1853'!$N$6</formula>
    </cfRule>
  </conditionalFormatting>
  <conditionalFormatting sqref="P7">
    <cfRule type="cellIs" dxfId="3101" priority="631" stopIfTrue="1" operator="equal">
      <formula>'1853'!$N$7</formula>
    </cfRule>
    <cfRule type="cellIs" dxfId="3100" priority="632" stopIfTrue="1" operator="lessThan">
      <formula>'1853'!$N$7</formula>
    </cfRule>
  </conditionalFormatting>
  <conditionalFormatting sqref="P8">
    <cfRule type="cellIs" dxfId="3099" priority="633" stopIfTrue="1" operator="equal">
      <formula>'1853'!$N$8</formula>
    </cfRule>
    <cfRule type="cellIs" dxfId="3098" priority="634" stopIfTrue="1" operator="lessThan">
      <formula>'1853'!$N$8</formula>
    </cfRule>
  </conditionalFormatting>
  <conditionalFormatting sqref="P9">
    <cfRule type="cellIs" dxfId="3097" priority="635" stopIfTrue="1" operator="equal">
      <formula>'1853'!$N$9</formula>
    </cfRule>
    <cfRule type="cellIs" dxfId="3096" priority="636" stopIfTrue="1" operator="lessThan">
      <formula>'1853'!$N$9</formula>
    </cfRule>
  </conditionalFormatting>
  <conditionalFormatting sqref="P10">
    <cfRule type="cellIs" dxfId="3095" priority="637" stopIfTrue="1" operator="equal">
      <formula>'1853'!$N$10</formula>
    </cfRule>
    <cfRule type="cellIs" dxfId="3094" priority="638" stopIfTrue="1" operator="lessThan">
      <formula>'1853'!$N$10</formula>
    </cfRule>
  </conditionalFormatting>
  <conditionalFormatting sqref="P11">
    <cfRule type="cellIs" dxfId="3093" priority="639" stopIfTrue="1" operator="equal">
      <formula>'1853'!$N$11</formula>
    </cfRule>
    <cfRule type="cellIs" dxfId="3092" priority="640" stopIfTrue="1" operator="lessThan">
      <formula>'1853'!$N$11</formula>
    </cfRule>
  </conditionalFormatting>
  <conditionalFormatting sqref="P12">
    <cfRule type="cellIs" dxfId="3091" priority="641" stopIfTrue="1" operator="equal">
      <formula>'1853'!$N$12</formula>
    </cfRule>
    <cfRule type="cellIs" dxfId="3090" priority="642" stopIfTrue="1" operator="lessThan">
      <formula>'1853'!$N$12</formula>
    </cfRule>
  </conditionalFormatting>
  <conditionalFormatting sqref="P13">
    <cfRule type="cellIs" dxfId="3089" priority="643" stopIfTrue="1" operator="equal">
      <formula>'1853'!$N$13</formula>
    </cfRule>
    <cfRule type="cellIs" dxfId="3088" priority="644" stopIfTrue="1" operator="lessThan">
      <formula>'1853'!$N$13</formula>
    </cfRule>
  </conditionalFormatting>
  <conditionalFormatting sqref="P14">
    <cfRule type="cellIs" dxfId="3087" priority="645" stopIfTrue="1" operator="equal">
      <formula>'1853'!$N$14</formula>
    </cfRule>
    <cfRule type="cellIs" dxfId="3086" priority="646" stopIfTrue="1" operator="lessThan">
      <formula>'1853'!$N$14</formula>
    </cfRule>
  </conditionalFormatting>
  <conditionalFormatting sqref="P15">
    <cfRule type="cellIs" dxfId="3085" priority="647" stopIfTrue="1" operator="equal">
      <formula>'1853'!$N$15</formula>
    </cfRule>
    <cfRule type="cellIs" dxfId="3084" priority="648" stopIfTrue="1" operator="lessThan">
      <formula>'1853'!$N$15</formula>
    </cfRule>
  </conditionalFormatting>
  <conditionalFormatting sqref="P16">
    <cfRule type="cellIs" dxfId="3083" priority="649" stopIfTrue="1" operator="equal">
      <formula>'1853'!$N$16</formula>
    </cfRule>
    <cfRule type="cellIs" dxfId="3082" priority="650" stopIfTrue="1" operator="lessThan">
      <formula>'1853'!$N$16</formula>
    </cfRule>
  </conditionalFormatting>
  <conditionalFormatting sqref="P17">
    <cfRule type="cellIs" dxfId="3081" priority="651" stopIfTrue="1" operator="equal">
      <formula>'1853'!$N$17</formula>
    </cfRule>
    <cfRule type="cellIs" dxfId="3080" priority="652" stopIfTrue="1" operator="lessThan">
      <formula>'1853'!$N$17</formula>
    </cfRule>
  </conditionalFormatting>
  <conditionalFormatting sqref="P18">
    <cfRule type="cellIs" dxfId="3079" priority="653" stopIfTrue="1" operator="equal">
      <formula>'1853'!$N$18</formula>
    </cfRule>
    <cfRule type="cellIs" dxfId="3078" priority="654" stopIfTrue="1" operator="lessThan">
      <formula>'1853'!$N$18</formula>
    </cfRule>
  </conditionalFormatting>
  <conditionalFormatting sqref="P19">
    <cfRule type="cellIs" dxfId="3077" priority="655" stopIfTrue="1" operator="equal">
      <formula>'1853'!$N$19</formula>
    </cfRule>
    <cfRule type="cellIs" dxfId="3076" priority="656" stopIfTrue="1" operator="lessThan">
      <formula>'1853'!$N$19</formula>
    </cfRule>
  </conditionalFormatting>
  <conditionalFormatting sqref="P20">
    <cfRule type="cellIs" dxfId="3075" priority="657" stopIfTrue="1" operator="equal">
      <formula>'1853'!$N$20</formula>
    </cfRule>
    <cfRule type="cellIs" dxfId="3074" priority="658" stopIfTrue="1" operator="lessThan">
      <formula>'1853'!$N$20</formula>
    </cfRule>
  </conditionalFormatting>
  <conditionalFormatting sqref="P21">
    <cfRule type="cellIs" dxfId="3073" priority="659" stopIfTrue="1" operator="equal">
      <formula>'1853'!$N$21</formula>
    </cfRule>
    <cfRule type="cellIs" dxfId="3072" priority="660" stopIfTrue="1" operator="lessThan">
      <formula>'1853'!$N$21</formula>
    </cfRule>
  </conditionalFormatting>
  <conditionalFormatting sqref="P22">
    <cfRule type="cellIs" dxfId="3071" priority="661" stopIfTrue="1" operator="equal">
      <formula>'1853'!$N$22</formula>
    </cfRule>
    <cfRule type="cellIs" dxfId="3070" priority="662" stopIfTrue="1" operator="lessThan">
      <formula>'1853'!$N$22</formula>
    </cfRule>
  </conditionalFormatting>
  <conditionalFormatting sqref="P23">
    <cfRule type="cellIs" dxfId="3069" priority="663" stopIfTrue="1" operator="equal">
      <formula>'1853'!$N$23</formula>
    </cfRule>
    <cfRule type="cellIs" dxfId="3068" priority="664" stopIfTrue="1" operator="lessThan">
      <formula>'1853'!$N$23</formula>
    </cfRule>
  </conditionalFormatting>
  <conditionalFormatting sqref="P24">
    <cfRule type="cellIs" dxfId="3067" priority="665" stopIfTrue="1" operator="equal">
      <formula>'1853'!$N$24</formula>
    </cfRule>
    <cfRule type="cellIs" dxfId="3066" priority="666" stopIfTrue="1" operator="lessThan">
      <formula>'1853'!$N$24</formula>
    </cfRule>
  </conditionalFormatting>
  <conditionalFormatting sqref="P25">
    <cfRule type="cellIs" dxfId="3065" priority="667" stopIfTrue="1" operator="equal">
      <formula>'1853'!$N$25</formula>
    </cfRule>
    <cfRule type="cellIs" dxfId="3064" priority="668" stopIfTrue="1" operator="lessThan">
      <formula>'1853'!$N$25</formula>
    </cfRule>
  </conditionalFormatting>
  <conditionalFormatting sqref="P26">
    <cfRule type="cellIs" dxfId="3063" priority="669" stopIfTrue="1" operator="equal">
      <formula>'1853'!$N$26</formula>
    </cfRule>
    <cfRule type="cellIs" dxfId="3062" priority="670" stopIfTrue="1" operator="lessThan">
      <formula>'1853'!$N$26</formula>
    </cfRule>
  </conditionalFormatting>
  <conditionalFormatting sqref="P27">
    <cfRule type="cellIs" dxfId="3061" priority="671" stopIfTrue="1" operator="equal">
      <formula>'1853'!$N$27</formula>
    </cfRule>
    <cfRule type="cellIs" dxfId="3060" priority="672" stopIfTrue="1" operator="lessThan">
      <formula>'1853'!$N$27</formula>
    </cfRule>
  </conditionalFormatting>
  <conditionalFormatting sqref="P28">
    <cfRule type="cellIs" dxfId="3059" priority="673" stopIfTrue="1" operator="equal">
      <formula>'1853'!$N$28</formula>
    </cfRule>
    <cfRule type="cellIs" dxfId="3058" priority="674" stopIfTrue="1" operator="lessThan">
      <formula>'1853'!$N$28</formula>
    </cfRule>
  </conditionalFormatting>
  <conditionalFormatting sqref="P29">
    <cfRule type="cellIs" dxfId="3057" priority="675" stopIfTrue="1" operator="equal">
      <formula>'1853'!$N$29</formula>
    </cfRule>
    <cfRule type="cellIs" dxfId="3056" priority="676" stopIfTrue="1" operator="lessThan">
      <formula>'1853'!$N$29</formula>
    </cfRule>
  </conditionalFormatting>
  <pageMargins left="0.7" right="0.7" top="0.78749999999999998" bottom="0.78749999999999998" header="0.51180555555555551" footer="0.51180555555555551"/>
  <pageSetup paperSize="9" scale="96" firstPageNumber="0" orientation="landscape" r:id="rId1"/>
  <headerFooter alignWithMargins="0"/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AH33"/>
  <sheetViews>
    <sheetView topLeftCell="O1" workbookViewId="0">
      <selection activeCell="AF26" sqref="AF26"/>
    </sheetView>
  </sheetViews>
  <sheetFormatPr defaultRowHeight="15"/>
  <cols>
    <col min="1" max="1" width="8.5703125" style="30" customWidth="1"/>
    <col min="2" max="2" width="26.140625" customWidth="1"/>
    <col min="3" max="17" width="10.140625" customWidth="1"/>
    <col min="18" max="18" width="10.140625" bestFit="1" customWidth="1"/>
    <col min="19" max="19" width="9.85546875" bestFit="1" customWidth="1"/>
    <col min="20" max="20" width="9.28515625" bestFit="1" customWidth="1"/>
  </cols>
  <sheetData>
    <row r="1" spans="1:34" ht="15.75" thickBot="1"/>
    <row r="2" spans="1:34" s="1" customFormat="1" ht="21" customHeight="1" thickBot="1">
      <c r="A2" s="172">
        <v>1854</v>
      </c>
      <c r="B2" s="2"/>
      <c r="C2" s="3">
        <f>'1850'!C2</f>
        <v>43466</v>
      </c>
      <c r="D2" s="3">
        <f>'1850'!D2</f>
        <v>43497</v>
      </c>
      <c r="E2" s="3">
        <f>'1850'!E2</f>
        <v>43526</v>
      </c>
      <c r="F2" s="3">
        <f>'1850'!F2</f>
        <v>43556</v>
      </c>
      <c r="G2" s="3">
        <f>'1850'!G2</f>
        <v>43588</v>
      </c>
      <c r="H2" s="3">
        <f>'1850'!H2</f>
        <v>43620</v>
      </c>
      <c r="I2" s="3">
        <f>'1850'!I2</f>
        <v>43647</v>
      </c>
      <c r="J2" s="3">
        <f>'1850'!J2</f>
        <v>43678</v>
      </c>
      <c r="K2" s="3">
        <f>'1850'!K2</f>
        <v>43679</v>
      </c>
      <c r="L2" s="3">
        <f>'1850'!L2</f>
        <v>43739</v>
      </c>
      <c r="M2" s="221">
        <f>'1850'!M2</f>
        <v>43742</v>
      </c>
      <c r="N2" s="4">
        <f>'1850'!N2</f>
        <v>43770</v>
      </c>
      <c r="O2" s="4">
        <f>'1850'!O2</f>
        <v>43798</v>
      </c>
      <c r="P2" s="246">
        <f>'1850'!P2</f>
        <v>43804</v>
      </c>
      <c r="Q2" s="246">
        <f>'1850'!Q2</f>
        <v>43804</v>
      </c>
      <c r="R2" s="3">
        <f>'1850'!R2</f>
        <v>43831</v>
      </c>
      <c r="S2" s="1" t="s">
        <v>0</v>
      </c>
      <c r="T2" s="1" t="s">
        <v>1</v>
      </c>
      <c r="W2" s="234"/>
      <c r="X2" s="235"/>
      <c r="Y2" s="235"/>
      <c r="Z2" s="235"/>
      <c r="AA2" s="235" t="s">
        <v>320</v>
      </c>
      <c r="AB2" s="235"/>
      <c r="AC2" s="235"/>
      <c r="AD2" s="235"/>
      <c r="AE2" s="238"/>
      <c r="AF2" s="236"/>
      <c r="AG2" s="236" t="s">
        <v>319</v>
      </c>
      <c r="AH2" s="237"/>
    </row>
    <row r="3" spans="1:34" s="1" customFormat="1" ht="15.75" thickBot="1">
      <c r="A3" s="173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222" t="s">
        <v>228</v>
      </c>
      <c r="N3" s="5" t="s">
        <v>13</v>
      </c>
      <c r="O3" s="5" t="s">
        <v>14</v>
      </c>
      <c r="P3" s="249" t="s">
        <v>326</v>
      </c>
      <c r="Q3" s="249" t="s">
        <v>228</v>
      </c>
      <c r="R3" s="5" t="s">
        <v>3</v>
      </c>
      <c r="S3" s="1" t="s">
        <v>178</v>
      </c>
      <c r="T3" s="1" t="s">
        <v>177</v>
      </c>
      <c r="V3" s="1" t="s">
        <v>321</v>
      </c>
      <c r="W3" s="5" t="s">
        <v>4</v>
      </c>
      <c r="X3" s="5" t="s">
        <v>5</v>
      </c>
      <c r="Y3" s="5" t="s">
        <v>6</v>
      </c>
      <c r="Z3" s="5" t="s">
        <v>7</v>
      </c>
      <c r="AA3" s="5" t="s">
        <v>8</v>
      </c>
      <c r="AB3" s="5" t="s">
        <v>9</v>
      </c>
      <c r="AC3" s="5" t="s">
        <v>10</v>
      </c>
      <c r="AD3" s="5" t="s">
        <v>11</v>
      </c>
      <c r="AE3" s="5" t="s">
        <v>12</v>
      </c>
      <c r="AF3" s="227" t="s">
        <v>13</v>
      </c>
      <c r="AG3" s="227" t="s">
        <v>14</v>
      </c>
      <c r="AH3" s="227" t="s">
        <v>3</v>
      </c>
    </row>
    <row r="4" spans="1:34" ht="15.75" thickBot="1">
      <c r="A4" s="276">
        <v>1</v>
      </c>
      <c r="B4" s="223" t="s">
        <v>288</v>
      </c>
      <c r="C4" s="110">
        <v>36.996000000000002</v>
      </c>
      <c r="D4" s="110">
        <v>41.875</v>
      </c>
      <c r="E4" s="110">
        <v>48.537999999999997</v>
      </c>
      <c r="F4" s="110">
        <v>56.048999999999999</v>
      </c>
      <c r="G4" s="110">
        <v>61.1</v>
      </c>
      <c r="H4" s="110">
        <v>68.296999999999997</v>
      </c>
      <c r="I4" s="110">
        <v>72.546000000000006</v>
      </c>
      <c r="J4" s="110">
        <v>77.14</v>
      </c>
      <c r="K4" s="110">
        <v>82.605999999999995</v>
      </c>
      <c r="L4" s="111">
        <v>89.54</v>
      </c>
      <c r="M4" s="110">
        <v>0.01</v>
      </c>
      <c r="N4" s="110">
        <v>7.2510000000000003</v>
      </c>
      <c r="O4" s="110">
        <v>14.459</v>
      </c>
      <c r="P4" s="110">
        <v>16.087</v>
      </c>
      <c r="Q4" s="110">
        <v>16.087</v>
      </c>
      <c r="R4" s="110">
        <v>21.315000000000001</v>
      </c>
      <c r="S4" s="9">
        <f>R4-M4+L4-C4</f>
        <v>73.84899999999999</v>
      </c>
      <c r="V4" s="1">
        <v>1</v>
      </c>
      <c r="W4" s="228">
        <f>D4-C4</f>
        <v>4.8789999999999978</v>
      </c>
      <c r="X4" s="228">
        <f t="shared" ref="X4:AE4" si="0">E4-D4</f>
        <v>6.6629999999999967</v>
      </c>
      <c r="Y4" s="228">
        <f t="shared" si="0"/>
        <v>7.5110000000000028</v>
      </c>
      <c r="Z4" s="228">
        <f t="shared" si="0"/>
        <v>5.0510000000000019</v>
      </c>
      <c r="AA4" s="228">
        <f t="shared" si="0"/>
        <v>7.1969999999999956</v>
      </c>
      <c r="AB4" s="228">
        <f t="shared" si="0"/>
        <v>4.2490000000000094</v>
      </c>
      <c r="AC4" s="228">
        <f t="shared" si="0"/>
        <v>4.5939999999999941</v>
      </c>
      <c r="AD4" s="228">
        <f t="shared" si="0"/>
        <v>5.465999999999994</v>
      </c>
      <c r="AE4" s="228">
        <f t="shared" si="0"/>
        <v>6.9340000000000117</v>
      </c>
      <c r="AF4" s="228">
        <f>N4-M4</f>
        <v>7.2410000000000005</v>
      </c>
      <c r="AG4" s="228">
        <f t="shared" ref="AG4" si="1">O4-N4</f>
        <v>7.2079999999999993</v>
      </c>
      <c r="AH4" s="228">
        <f>R4-Q4</f>
        <v>5.2280000000000015</v>
      </c>
    </row>
    <row r="5" spans="1:34">
      <c r="A5" s="276"/>
      <c r="B5" s="10" t="s">
        <v>79</v>
      </c>
      <c r="C5" s="34">
        <v>10.936999999999999</v>
      </c>
      <c r="D5" s="34">
        <v>15.779</v>
      </c>
      <c r="E5" s="34">
        <v>19.433</v>
      </c>
      <c r="F5" s="34">
        <v>22.364999999999998</v>
      </c>
      <c r="G5" s="34">
        <v>23.856999999999999</v>
      </c>
      <c r="H5" s="34">
        <v>25.114999999999998</v>
      </c>
      <c r="I5" s="34">
        <v>25.373000000000001</v>
      </c>
      <c r="J5" s="34">
        <v>25.651</v>
      </c>
      <c r="K5" s="34">
        <v>25.981000000000002</v>
      </c>
      <c r="L5" s="112">
        <v>26.367000000000001</v>
      </c>
      <c r="M5" s="112"/>
      <c r="N5" s="34">
        <v>27.693999999999999</v>
      </c>
      <c r="O5" s="34">
        <v>30.341999999999999</v>
      </c>
      <c r="P5" s="34"/>
      <c r="Q5" s="34"/>
      <c r="R5" s="34">
        <v>34.212000000000003</v>
      </c>
      <c r="S5" s="9"/>
      <c r="T5" s="9">
        <f>R5-C5</f>
        <v>23.275000000000006</v>
      </c>
      <c r="V5" s="1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</row>
    <row r="6" spans="1:34">
      <c r="A6" s="275">
        <v>2</v>
      </c>
      <c r="B6" s="224" t="s">
        <v>289</v>
      </c>
      <c r="C6" s="34">
        <v>138.59</v>
      </c>
      <c r="D6" s="34">
        <v>143.059</v>
      </c>
      <c r="E6" s="34">
        <v>147.73599999999999</v>
      </c>
      <c r="F6" s="34">
        <v>153.42699999999999</v>
      </c>
      <c r="G6" s="34">
        <v>158.72499999999999</v>
      </c>
      <c r="H6" s="34">
        <v>164.119</v>
      </c>
      <c r="I6" s="34">
        <v>168.708</v>
      </c>
      <c r="J6" s="34">
        <v>174.56100000000001</v>
      </c>
      <c r="K6" s="34">
        <v>177.64099999999999</v>
      </c>
      <c r="L6" s="34">
        <v>182.34</v>
      </c>
      <c r="M6" s="34">
        <v>0.01</v>
      </c>
      <c r="N6" s="34">
        <v>4.7949999999999999</v>
      </c>
      <c r="O6" s="34">
        <v>9.4809999999999999</v>
      </c>
      <c r="P6" s="34">
        <v>10.473000000000001</v>
      </c>
      <c r="Q6" s="34">
        <v>10.473000000000001</v>
      </c>
      <c r="R6" s="34">
        <v>13.675000000000001</v>
      </c>
      <c r="S6" s="9">
        <f t="shared" ref="S6" si="2">R6-M6+L6-C6</f>
        <v>57.414999999999992</v>
      </c>
      <c r="V6" s="1">
        <v>2</v>
      </c>
      <c r="W6" s="230">
        <f t="shared" ref="W6:AE6" si="3">D6-C6</f>
        <v>4.4689999999999941</v>
      </c>
      <c r="X6" s="230">
        <f t="shared" si="3"/>
        <v>4.6769999999999925</v>
      </c>
      <c r="Y6" s="230">
        <f t="shared" si="3"/>
        <v>5.6910000000000025</v>
      </c>
      <c r="Z6" s="230">
        <f t="shared" si="3"/>
        <v>5.2980000000000018</v>
      </c>
      <c r="AA6" s="230">
        <f t="shared" si="3"/>
        <v>5.3940000000000055</v>
      </c>
      <c r="AB6" s="230">
        <f t="shared" si="3"/>
        <v>4.5889999999999986</v>
      </c>
      <c r="AC6" s="230">
        <f t="shared" si="3"/>
        <v>5.8530000000000086</v>
      </c>
      <c r="AD6" s="230">
        <f t="shared" si="3"/>
        <v>3.0799999999999841</v>
      </c>
      <c r="AE6" s="230">
        <f t="shared" si="3"/>
        <v>4.6990000000000123</v>
      </c>
      <c r="AF6" s="232">
        <f t="shared" ref="AF6:AG6" si="4">N6-M6</f>
        <v>4.7850000000000001</v>
      </c>
      <c r="AG6" s="232">
        <f t="shared" si="4"/>
        <v>4.6859999999999999</v>
      </c>
      <c r="AH6" s="230">
        <f>R6-Q6</f>
        <v>3.202</v>
      </c>
    </row>
    <row r="7" spans="1:34">
      <c r="A7" s="275"/>
      <c r="B7" s="10" t="s">
        <v>80</v>
      </c>
      <c r="C7" s="34">
        <v>58.262999999999998</v>
      </c>
      <c r="D7" s="34">
        <v>65.114000000000004</v>
      </c>
      <c r="E7" s="34">
        <v>70.326999999999998</v>
      </c>
      <c r="F7" s="34">
        <v>74.450999999999993</v>
      </c>
      <c r="G7" s="34">
        <v>77.513000000000005</v>
      </c>
      <c r="H7" s="34">
        <v>79.796999999999997</v>
      </c>
      <c r="I7" s="34">
        <v>80.117999999999995</v>
      </c>
      <c r="J7" s="34">
        <v>80.501000000000005</v>
      </c>
      <c r="K7" s="34">
        <v>80.784999999999997</v>
      </c>
      <c r="L7" s="34">
        <v>81.183000000000007</v>
      </c>
      <c r="M7" s="34"/>
      <c r="N7" s="34">
        <v>82.590999999999994</v>
      </c>
      <c r="O7" s="34">
        <v>86.247</v>
      </c>
      <c r="P7" s="34"/>
      <c r="Q7" s="34"/>
      <c r="R7" s="34">
        <v>91.287000000000006</v>
      </c>
      <c r="S7" s="9"/>
      <c r="T7" s="9">
        <f>R7-C7</f>
        <v>33.024000000000008</v>
      </c>
      <c r="V7" s="1"/>
      <c r="W7" s="229"/>
      <c r="X7" s="229"/>
      <c r="Y7" s="229"/>
      <c r="Z7" s="229"/>
      <c r="AA7" s="229"/>
      <c r="AB7" s="229"/>
      <c r="AC7" s="229"/>
      <c r="AD7" s="229"/>
      <c r="AE7" s="229"/>
      <c r="AF7" s="233"/>
      <c r="AG7" s="233"/>
      <c r="AH7" s="229"/>
    </row>
    <row r="8" spans="1:34">
      <c r="A8" s="275">
        <v>3</v>
      </c>
      <c r="B8" s="224" t="s">
        <v>290</v>
      </c>
      <c r="C8" s="34">
        <v>212.78399999999999</v>
      </c>
      <c r="D8" s="34">
        <v>219.22800000000001</v>
      </c>
      <c r="E8" s="34">
        <v>226.47399999999999</v>
      </c>
      <c r="F8" s="34">
        <v>232.422</v>
      </c>
      <c r="G8" s="34">
        <v>239.232</v>
      </c>
      <c r="H8" s="34">
        <v>246.965</v>
      </c>
      <c r="I8" s="34">
        <v>254.20099999999999</v>
      </c>
      <c r="J8" s="34">
        <v>260.30900000000003</v>
      </c>
      <c r="K8" s="34">
        <v>268.08300000000003</v>
      </c>
      <c r="L8" s="34">
        <v>274.89</v>
      </c>
      <c r="M8" s="34">
        <v>0.01</v>
      </c>
      <c r="N8" s="34">
        <v>5.9630000000000001</v>
      </c>
      <c r="O8" s="34">
        <v>12.108000000000001</v>
      </c>
      <c r="P8" s="34">
        <v>13.379</v>
      </c>
      <c r="Q8" s="34">
        <v>13.379</v>
      </c>
      <c r="R8" s="34">
        <v>18.036000000000001</v>
      </c>
      <c r="S8" s="9">
        <f t="shared" ref="S8" si="5">R8-M8+L8-C8</f>
        <v>80.132000000000005</v>
      </c>
      <c r="V8" s="1">
        <v>3</v>
      </c>
      <c r="W8" s="230">
        <f t="shared" ref="W8:AE8" si="6">D8-C8</f>
        <v>6.4440000000000168</v>
      </c>
      <c r="X8" s="230">
        <f t="shared" si="6"/>
        <v>7.2459999999999809</v>
      </c>
      <c r="Y8" s="230">
        <f t="shared" si="6"/>
        <v>5.9480000000000075</v>
      </c>
      <c r="Z8" s="230">
        <f t="shared" si="6"/>
        <v>6.8100000000000023</v>
      </c>
      <c r="AA8" s="230">
        <f t="shared" si="6"/>
        <v>7.7330000000000041</v>
      </c>
      <c r="AB8" s="230">
        <f t="shared" si="6"/>
        <v>7.23599999999999</v>
      </c>
      <c r="AC8" s="230">
        <f t="shared" si="6"/>
        <v>6.1080000000000325</v>
      </c>
      <c r="AD8" s="230">
        <f t="shared" si="6"/>
        <v>7.7740000000000009</v>
      </c>
      <c r="AE8" s="230">
        <f t="shared" si="6"/>
        <v>6.8069999999999595</v>
      </c>
      <c r="AF8" s="232">
        <f t="shared" ref="AF8:AG8" si="7">N8-M8</f>
        <v>5.9530000000000003</v>
      </c>
      <c r="AG8" s="232">
        <f t="shared" si="7"/>
        <v>6.1450000000000005</v>
      </c>
      <c r="AH8" s="230">
        <f t="shared" ref="AH8" si="8">R8-Q8</f>
        <v>4.6570000000000018</v>
      </c>
    </row>
    <row r="9" spans="1:34">
      <c r="A9" s="275"/>
      <c r="B9" s="10" t="s">
        <v>81</v>
      </c>
      <c r="C9" s="34">
        <v>50.313000000000002</v>
      </c>
      <c r="D9" s="34">
        <v>56.106999999999999</v>
      </c>
      <c r="E9" s="34">
        <v>60.783000000000001</v>
      </c>
      <c r="F9" s="34">
        <v>64.885000000000005</v>
      </c>
      <c r="G9" s="34">
        <v>67.768000000000001</v>
      </c>
      <c r="H9" s="34">
        <v>70.123000000000005</v>
      </c>
      <c r="I9" s="34">
        <v>70.38</v>
      </c>
      <c r="J9" s="34">
        <v>70.558000000000007</v>
      </c>
      <c r="K9" s="34">
        <v>70.789000000000001</v>
      </c>
      <c r="L9" s="34">
        <v>71.677999999999997</v>
      </c>
      <c r="M9" s="34"/>
      <c r="N9" s="34">
        <v>73.772000000000006</v>
      </c>
      <c r="O9" s="34">
        <v>77.453000000000003</v>
      </c>
      <c r="P9" s="34"/>
      <c r="Q9" s="34"/>
      <c r="R9" s="34">
        <v>83.194000000000003</v>
      </c>
      <c r="S9" s="9"/>
      <c r="T9" s="9">
        <f>R9-C9</f>
        <v>32.881</v>
      </c>
      <c r="V9" s="1"/>
      <c r="W9" s="229"/>
      <c r="X9" s="229"/>
      <c r="Y9" s="229"/>
      <c r="Z9" s="229"/>
      <c r="AA9" s="229"/>
      <c r="AB9" s="229"/>
      <c r="AC9" s="229"/>
      <c r="AD9" s="229"/>
      <c r="AE9" s="229"/>
      <c r="AF9" s="233"/>
      <c r="AG9" s="233"/>
      <c r="AH9" s="229"/>
    </row>
    <row r="10" spans="1:34">
      <c r="A10" s="275">
        <v>4</v>
      </c>
      <c r="B10" s="224" t="s">
        <v>291</v>
      </c>
      <c r="C10" s="34">
        <v>214.857</v>
      </c>
      <c r="D10" s="34">
        <v>220.083</v>
      </c>
      <c r="E10" s="34">
        <v>224.596</v>
      </c>
      <c r="F10" s="34">
        <v>228.69</v>
      </c>
      <c r="G10" s="34">
        <v>233.71600000000001</v>
      </c>
      <c r="H10" s="34">
        <v>238.21700000000001</v>
      </c>
      <c r="I10" s="34">
        <v>241.99600000000001</v>
      </c>
      <c r="J10" s="34">
        <v>247.32300000000001</v>
      </c>
      <c r="K10" s="34">
        <v>251.005</v>
      </c>
      <c r="L10" s="34">
        <v>255.83</v>
      </c>
      <c r="M10" s="34">
        <v>0.01</v>
      </c>
      <c r="N10" s="34">
        <v>4.1909999999999998</v>
      </c>
      <c r="O10" s="34">
        <v>8.3550000000000004</v>
      </c>
      <c r="P10" s="34">
        <v>9.3960000000000008</v>
      </c>
      <c r="Q10" s="34">
        <v>9.3960000000000008</v>
      </c>
      <c r="R10" s="34">
        <v>14.048</v>
      </c>
      <c r="S10" s="9">
        <f t="shared" ref="S10" si="9">R10-M10+L10-C10</f>
        <v>55.010999999999996</v>
      </c>
      <c r="V10" s="1">
        <v>4</v>
      </c>
      <c r="W10" s="230">
        <f t="shared" ref="W10:AE10" si="10">D10-C10</f>
        <v>5.2259999999999991</v>
      </c>
      <c r="X10" s="230">
        <f t="shared" si="10"/>
        <v>4.5130000000000052</v>
      </c>
      <c r="Y10" s="230">
        <f t="shared" si="10"/>
        <v>4.0939999999999941</v>
      </c>
      <c r="Z10" s="230">
        <f t="shared" si="10"/>
        <v>5.0260000000000105</v>
      </c>
      <c r="AA10" s="230">
        <f t="shared" si="10"/>
        <v>4.5010000000000048</v>
      </c>
      <c r="AB10" s="230">
        <f t="shared" si="10"/>
        <v>3.7789999999999964</v>
      </c>
      <c r="AC10" s="230">
        <f t="shared" si="10"/>
        <v>5.3269999999999982</v>
      </c>
      <c r="AD10" s="230">
        <f t="shared" si="10"/>
        <v>3.6819999999999879</v>
      </c>
      <c r="AE10" s="230">
        <f t="shared" si="10"/>
        <v>4.8250000000000171</v>
      </c>
      <c r="AF10" s="232">
        <f t="shared" ref="AF10:AG10" si="11">N10-M10</f>
        <v>4.181</v>
      </c>
      <c r="AG10" s="232">
        <f t="shared" si="11"/>
        <v>4.1640000000000006</v>
      </c>
      <c r="AH10" s="230">
        <f t="shared" ref="AH10" si="12">R10-Q10</f>
        <v>4.6519999999999992</v>
      </c>
    </row>
    <row r="11" spans="1:34">
      <c r="A11" s="275"/>
      <c r="B11" s="10" t="s">
        <v>193</v>
      </c>
      <c r="C11" s="34">
        <v>15.817</v>
      </c>
      <c r="D11" s="34">
        <v>20.149999999999999</v>
      </c>
      <c r="E11" s="34">
        <v>23.696000000000002</v>
      </c>
      <c r="F11" s="34">
        <v>26.216999999999999</v>
      </c>
      <c r="G11" s="34">
        <v>27.913</v>
      </c>
      <c r="H11" s="34">
        <v>29.106000000000002</v>
      </c>
      <c r="I11" s="34">
        <v>29.452000000000002</v>
      </c>
      <c r="J11" s="34">
        <v>29.832999999999998</v>
      </c>
      <c r="K11" s="34">
        <v>30.125</v>
      </c>
      <c r="L11" s="34">
        <v>30.797000000000001</v>
      </c>
      <c r="M11" s="34"/>
      <c r="N11" s="34">
        <v>31.751000000000001</v>
      </c>
      <c r="O11" s="34">
        <v>33.378999999999998</v>
      </c>
      <c r="P11" s="34"/>
      <c r="Q11" s="34"/>
      <c r="R11" s="34">
        <v>35.905000000000001</v>
      </c>
      <c r="S11" s="9"/>
      <c r="T11" s="9">
        <f>R11-C11</f>
        <v>20.088000000000001</v>
      </c>
      <c r="V11" s="1"/>
      <c r="W11" s="229"/>
      <c r="X11" s="229"/>
      <c r="Y11" s="229"/>
      <c r="Z11" s="229"/>
      <c r="AA11" s="229"/>
      <c r="AB11" s="229"/>
      <c r="AC11" s="229"/>
      <c r="AD11" s="229"/>
      <c r="AE11" s="229"/>
      <c r="AF11" s="233"/>
      <c r="AG11" s="233"/>
      <c r="AH11" s="229"/>
    </row>
    <row r="12" spans="1:34">
      <c r="A12" s="275">
        <v>5</v>
      </c>
      <c r="B12" s="224" t="s">
        <v>292</v>
      </c>
      <c r="C12" s="34">
        <v>3.306</v>
      </c>
      <c r="D12" s="34">
        <v>3.3319999999999999</v>
      </c>
      <c r="E12" s="34">
        <v>3.335</v>
      </c>
      <c r="F12" s="34">
        <v>3.335</v>
      </c>
      <c r="G12" s="34">
        <v>3.335</v>
      </c>
      <c r="H12" s="34">
        <v>3.335</v>
      </c>
      <c r="I12" s="34">
        <v>3.335</v>
      </c>
      <c r="J12" s="34">
        <v>3.335</v>
      </c>
      <c r="K12" s="34">
        <v>3.335</v>
      </c>
      <c r="L12" s="34">
        <v>3.335</v>
      </c>
      <c r="M12" s="34">
        <v>0.01</v>
      </c>
      <c r="N12" s="34">
        <v>7.0999999999999994E-2</v>
      </c>
      <c r="O12" s="34">
        <v>9.0999999999999998E-2</v>
      </c>
      <c r="P12" s="34">
        <v>9.0999999999999998E-2</v>
      </c>
      <c r="Q12" s="34">
        <v>9.0999999999999998E-2</v>
      </c>
      <c r="R12" s="34">
        <v>0.11600000000000001</v>
      </c>
      <c r="S12" s="9">
        <f t="shared" ref="S12" si="13">R12-M12+L12-C12</f>
        <v>0.13499999999999979</v>
      </c>
      <c r="V12" s="1">
        <v>5</v>
      </c>
      <c r="W12" s="230">
        <f t="shared" ref="W12:AE12" si="14">D12-C12</f>
        <v>2.5999999999999801E-2</v>
      </c>
      <c r="X12" s="230">
        <f t="shared" si="14"/>
        <v>3.0000000000001137E-3</v>
      </c>
      <c r="Y12" s="230">
        <f t="shared" si="14"/>
        <v>0</v>
      </c>
      <c r="Z12" s="230">
        <f t="shared" si="14"/>
        <v>0</v>
      </c>
      <c r="AA12" s="230">
        <f t="shared" si="14"/>
        <v>0</v>
      </c>
      <c r="AB12" s="230">
        <f t="shared" si="14"/>
        <v>0</v>
      </c>
      <c r="AC12" s="230">
        <f t="shared" si="14"/>
        <v>0</v>
      </c>
      <c r="AD12" s="230">
        <f t="shared" si="14"/>
        <v>0</v>
      </c>
      <c r="AE12" s="230">
        <f t="shared" si="14"/>
        <v>0</v>
      </c>
      <c r="AF12" s="232">
        <f t="shared" ref="AF12:AG12" si="15">N12-M12</f>
        <v>6.0999999999999992E-2</v>
      </c>
      <c r="AG12" s="232">
        <f t="shared" si="15"/>
        <v>2.0000000000000004E-2</v>
      </c>
      <c r="AH12" s="230">
        <f t="shared" ref="AH12" si="16">R12-Q12</f>
        <v>2.5000000000000008E-2</v>
      </c>
    </row>
    <row r="13" spans="1:34">
      <c r="A13" s="275"/>
      <c r="B13" s="10" t="s">
        <v>82</v>
      </c>
      <c r="C13" s="34">
        <v>6.899</v>
      </c>
      <c r="D13" s="34">
        <v>8.5709999999999997</v>
      </c>
      <c r="E13" s="34">
        <v>9.1609999999999996</v>
      </c>
      <c r="F13" s="34">
        <v>9.9369999999999994</v>
      </c>
      <c r="G13" s="34">
        <v>10.093</v>
      </c>
      <c r="H13" s="34">
        <v>10.824999999999999</v>
      </c>
      <c r="I13" s="34">
        <v>10.957000000000001</v>
      </c>
      <c r="J13" s="34">
        <v>11.089</v>
      </c>
      <c r="K13" s="34">
        <v>11.223000000000001</v>
      </c>
      <c r="L13" s="34">
        <v>11.353</v>
      </c>
      <c r="M13" s="34"/>
      <c r="N13" s="34">
        <v>11.661</v>
      </c>
      <c r="O13" s="34">
        <v>11.787000000000001</v>
      </c>
      <c r="P13" s="34"/>
      <c r="Q13" s="34"/>
      <c r="R13" s="34">
        <v>11.968999999999999</v>
      </c>
      <c r="S13" s="9"/>
      <c r="T13" s="9">
        <f>R13-C13</f>
        <v>5.0699999999999994</v>
      </c>
      <c r="V13" s="1"/>
      <c r="W13" s="229"/>
      <c r="X13" s="229"/>
      <c r="Y13" s="229"/>
      <c r="Z13" s="229"/>
      <c r="AA13" s="229"/>
      <c r="AB13" s="229"/>
      <c r="AC13" s="229"/>
      <c r="AD13" s="229"/>
      <c r="AE13" s="229"/>
      <c r="AF13" s="233"/>
      <c r="AG13" s="233"/>
      <c r="AH13" s="229"/>
    </row>
    <row r="14" spans="1:34">
      <c r="A14" s="275">
        <v>6</v>
      </c>
      <c r="B14" s="224" t="s">
        <v>293</v>
      </c>
      <c r="C14" s="34">
        <v>332.30900000000003</v>
      </c>
      <c r="D14" s="34">
        <v>340.85199999999998</v>
      </c>
      <c r="E14" s="34">
        <v>350.12900000000002</v>
      </c>
      <c r="F14" s="34">
        <v>359.19099999999997</v>
      </c>
      <c r="G14" s="34">
        <v>369.09500000000003</v>
      </c>
      <c r="H14" s="34">
        <v>380</v>
      </c>
      <c r="I14" s="34">
        <v>388.59500000000003</v>
      </c>
      <c r="J14" s="34">
        <v>395.392</v>
      </c>
      <c r="K14" s="34">
        <v>404.03899999999999</v>
      </c>
      <c r="L14" s="34">
        <v>412.15</v>
      </c>
      <c r="M14" s="34">
        <v>0.01</v>
      </c>
      <c r="N14" s="34">
        <v>7.1420000000000003</v>
      </c>
      <c r="O14" s="34">
        <v>14.146000000000001</v>
      </c>
      <c r="P14" s="34">
        <v>16.213999999999999</v>
      </c>
      <c r="Q14" s="34">
        <v>16.213999999999999</v>
      </c>
      <c r="R14" s="34">
        <v>24.468</v>
      </c>
      <c r="S14" s="9">
        <f t="shared" ref="S14" si="17">R14-M14+L14-C14</f>
        <v>104.29899999999992</v>
      </c>
      <c r="V14" s="1">
        <v>6</v>
      </c>
      <c r="W14" s="230">
        <f t="shared" ref="W14:AE14" si="18">D14-C14</f>
        <v>8.5429999999999495</v>
      </c>
      <c r="X14" s="230">
        <f t="shared" si="18"/>
        <v>9.2770000000000437</v>
      </c>
      <c r="Y14" s="230">
        <f t="shared" si="18"/>
        <v>9.061999999999955</v>
      </c>
      <c r="Z14" s="230">
        <f t="shared" si="18"/>
        <v>9.9040000000000532</v>
      </c>
      <c r="AA14" s="230">
        <f t="shared" si="18"/>
        <v>10.904999999999973</v>
      </c>
      <c r="AB14" s="230">
        <f t="shared" si="18"/>
        <v>8.5950000000000273</v>
      </c>
      <c r="AC14" s="230">
        <f t="shared" si="18"/>
        <v>6.7969999999999686</v>
      </c>
      <c r="AD14" s="230">
        <f t="shared" si="18"/>
        <v>8.6469999999999914</v>
      </c>
      <c r="AE14" s="230">
        <f t="shared" si="18"/>
        <v>8.11099999999999</v>
      </c>
      <c r="AF14" s="232">
        <f t="shared" ref="AF14:AG14" si="19">N14-M14</f>
        <v>7.1320000000000006</v>
      </c>
      <c r="AG14" s="232">
        <f t="shared" si="19"/>
        <v>7.0040000000000004</v>
      </c>
      <c r="AH14" s="230">
        <f t="shared" ref="AH14" si="20">R14-Q14</f>
        <v>8.2540000000000013</v>
      </c>
    </row>
    <row r="15" spans="1:34">
      <c r="A15" s="275"/>
      <c r="B15" s="10" t="s">
        <v>83</v>
      </c>
      <c r="C15" s="34">
        <v>44.447000000000003</v>
      </c>
      <c r="D15" s="34">
        <v>49.274000000000001</v>
      </c>
      <c r="E15" s="34">
        <v>51.79</v>
      </c>
      <c r="F15" s="34">
        <v>53.374000000000002</v>
      </c>
      <c r="G15" s="34">
        <v>54.542000000000002</v>
      </c>
      <c r="H15" s="34">
        <v>55.856000000000002</v>
      </c>
      <c r="I15" s="34">
        <v>56.307000000000002</v>
      </c>
      <c r="J15" s="34">
        <v>56.683999999999997</v>
      </c>
      <c r="K15" s="34">
        <v>57.113999999999997</v>
      </c>
      <c r="L15" s="34">
        <v>57.802</v>
      </c>
      <c r="M15" s="34"/>
      <c r="N15" s="34">
        <v>58.811999999999998</v>
      </c>
      <c r="O15" s="34">
        <v>60.942</v>
      </c>
      <c r="P15" s="34"/>
      <c r="Q15" s="34"/>
      <c r="R15" s="34">
        <v>63.795000000000002</v>
      </c>
      <c r="S15" s="9"/>
      <c r="T15" s="9">
        <f>R15-C15</f>
        <v>19.347999999999999</v>
      </c>
      <c r="V15" s="1"/>
      <c r="W15" s="229"/>
      <c r="X15" s="229"/>
      <c r="Y15" s="229"/>
      <c r="Z15" s="229"/>
      <c r="AA15" s="229"/>
      <c r="AB15" s="229"/>
      <c r="AC15" s="229"/>
      <c r="AD15" s="229"/>
      <c r="AE15" s="229"/>
      <c r="AF15" s="233"/>
      <c r="AG15" s="233"/>
      <c r="AH15" s="229"/>
    </row>
    <row r="16" spans="1:34">
      <c r="A16" s="275">
        <v>7</v>
      </c>
      <c r="B16" s="224" t="s">
        <v>294</v>
      </c>
      <c r="C16" s="34">
        <v>80.790999999999997</v>
      </c>
      <c r="D16" s="34">
        <v>82.363</v>
      </c>
      <c r="E16" s="34">
        <v>84.153999999999996</v>
      </c>
      <c r="F16" s="34">
        <v>86.37</v>
      </c>
      <c r="G16" s="34">
        <v>89.325999999999993</v>
      </c>
      <c r="H16" s="34">
        <v>91.445999999999998</v>
      </c>
      <c r="I16" s="34">
        <v>93.96</v>
      </c>
      <c r="J16" s="34">
        <v>97.418999999999997</v>
      </c>
      <c r="K16" s="34">
        <v>100.678</v>
      </c>
      <c r="L16" s="34">
        <v>104.21</v>
      </c>
      <c r="M16" s="34">
        <v>0.02</v>
      </c>
      <c r="N16" s="34">
        <v>3.43</v>
      </c>
      <c r="O16" s="34">
        <v>6.2750000000000004</v>
      </c>
      <c r="P16" s="34">
        <v>7.0979999999999999</v>
      </c>
      <c r="Q16" s="34">
        <v>7.0979999999999999</v>
      </c>
      <c r="R16" s="34">
        <v>9.6790000000000003</v>
      </c>
      <c r="S16" s="9">
        <f t="shared" ref="S16" si="21">R16-M16+L16-C16</f>
        <v>33.078000000000003</v>
      </c>
      <c r="V16" s="1">
        <v>7</v>
      </c>
      <c r="W16" s="230">
        <f t="shared" ref="W16:AE16" si="22">D16-C16</f>
        <v>1.5720000000000027</v>
      </c>
      <c r="X16" s="230">
        <f t="shared" si="22"/>
        <v>1.7909999999999968</v>
      </c>
      <c r="Y16" s="230">
        <f t="shared" si="22"/>
        <v>2.2160000000000082</v>
      </c>
      <c r="Z16" s="230">
        <f t="shared" si="22"/>
        <v>2.9559999999999889</v>
      </c>
      <c r="AA16" s="230">
        <f t="shared" si="22"/>
        <v>2.1200000000000045</v>
      </c>
      <c r="AB16" s="230">
        <f t="shared" si="22"/>
        <v>2.5139999999999958</v>
      </c>
      <c r="AC16" s="230">
        <f t="shared" si="22"/>
        <v>3.4590000000000032</v>
      </c>
      <c r="AD16" s="230">
        <f t="shared" si="22"/>
        <v>3.2590000000000003</v>
      </c>
      <c r="AE16" s="230">
        <f t="shared" si="22"/>
        <v>3.5319999999999965</v>
      </c>
      <c r="AF16" s="232">
        <f t="shared" ref="AF16:AG16" si="23">N16-M16</f>
        <v>3.41</v>
      </c>
      <c r="AG16" s="232">
        <f t="shared" si="23"/>
        <v>2.8450000000000002</v>
      </c>
      <c r="AH16" s="230">
        <f t="shared" ref="AH16" si="24">R16-Q16</f>
        <v>2.5810000000000004</v>
      </c>
    </row>
    <row r="17" spans="1:34">
      <c r="A17" s="275"/>
      <c r="B17" s="10" t="s">
        <v>84</v>
      </c>
      <c r="C17" s="34">
        <v>8.6549999999999994</v>
      </c>
      <c r="D17" s="34">
        <v>9.3970000000000002</v>
      </c>
      <c r="E17" s="34">
        <v>9.8360000000000003</v>
      </c>
      <c r="F17" s="34">
        <v>10.164</v>
      </c>
      <c r="G17" s="34">
        <v>10.590999999999999</v>
      </c>
      <c r="H17" s="34">
        <v>10.903</v>
      </c>
      <c r="I17" s="34">
        <v>11.164999999999999</v>
      </c>
      <c r="J17" s="34">
        <v>11.439</v>
      </c>
      <c r="K17" s="34">
        <v>11.694000000000001</v>
      </c>
      <c r="L17" s="34">
        <v>12.013</v>
      </c>
      <c r="M17" s="34"/>
      <c r="N17" s="34">
        <v>12.445</v>
      </c>
      <c r="O17" s="34">
        <v>12.952</v>
      </c>
      <c r="P17" s="34"/>
      <c r="Q17" s="34"/>
      <c r="R17" s="34">
        <v>13.728</v>
      </c>
      <c r="S17" s="9"/>
      <c r="T17" s="9">
        <f>R17-C17</f>
        <v>5.0730000000000004</v>
      </c>
      <c r="V17" s="1"/>
      <c r="W17" s="229"/>
      <c r="X17" s="229"/>
      <c r="Y17" s="229"/>
      <c r="Z17" s="229"/>
      <c r="AA17" s="229"/>
      <c r="AB17" s="229"/>
      <c r="AC17" s="229"/>
      <c r="AD17" s="229"/>
      <c r="AE17" s="229"/>
      <c r="AF17" s="229"/>
      <c r="AG17" s="229"/>
      <c r="AH17" s="229"/>
    </row>
    <row r="18" spans="1:34">
      <c r="A18" s="275">
        <v>8</v>
      </c>
      <c r="B18" s="248" t="s">
        <v>349</v>
      </c>
      <c r="C18" s="34">
        <v>167</v>
      </c>
      <c r="D18" s="34">
        <v>172.66499999999999</v>
      </c>
      <c r="E18" s="34">
        <v>178.20099999999999</v>
      </c>
      <c r="F18" s="34">
        <v>184.60499999999999</v>
      </c>
      <c r="G18" s="34">
        <v>190.851</v>
      </c>
      <c r="H18" s="34">
        <v>197.39</v>
      </c>
      <c r="I18" s="34">
        <v>203.256</v>
      </c>
      <c r="J18" s="34">
        <v>210.107</v>
      </c>
      <c r="K18" s="34">
        <v>217.39699999999999</v>
      </c>
      <c r="L18" s="34">
        <v>225.27</v>
      </c>
      <c r="M18" s="34">
        <v>0.01</v>
      </c>
      <c r="N18" s="34">
        <v>0.56799999999999995</v>
      </c>
      <c r="O18" s="34">
        <v>0.622</v>
      </c>
      <c r="P18" s="247">
        <v>0.63</v>
      </c>
      <c r="Q18" s="247">
        <v>8.5000000000000006E-2</v>
      </c>
      <c r="R18" s="34">
        <v>5.7629999999999999</v>
      </c>
      <c r="S18" s="9">
        <f>R18-Q18+P18-M18+L18-C18</f>
        <v>64.568000000000012</v>
      </c>
      <c r="V18" s="1">
        <v>8</v>
      </c>
      <c r="W18" s="230">
        <f t="shared" ref="W18:AE18" si="25">D18-C18</f>
        <v>5.664999999999992</v>
      </c>
      <c r="X18" s="230">
        <f t="shared" si="25"/>
        <v>5.5360000000000014</v>
      </c>
      <c r="Y18" s="230">
        <f t="shared" si="25"/>
        <v>6.4039999999999964</v>
      </c>
      <c r="Z18" s="230">
        <f t="shared" si="25"/>
        <v>6.2460000000000093</v>
      </c>
      <c r="AA18" s="230">
        <f t="shared" si="25"/>
        <v>6.5389999999999873</v>
      </c>
      <c r="AB18" s="230">
        <f t="shared" si="25"/>
        <v>5.8660000000000139</v>
      </c>
      <c r="AC18" s="230">
        <f t="shared" si="25"/>
        <v>6.8509999999999991</v>
      </c>
      <c r="AD18" s="230">
        <f t="shared" si="25"/>
        <v>7.289999999999992</v>
      </c>
      <c r="AE18" s="230">
        <f t="shared" si="25"/>
        <v>7.8730000000000189</v>
      </c>
      <c r="AF18" s="231">
        <f t="shared" ref="AF18:AG18" si="26">N18-M18</f>
        <v>0.55799999999999994</v>
      </c>
      <c r="AG18" s="231">
        <f t="shared" si="26"/>
        <v>5.4000000000000048E-2</v>
      </c>
      <c r="AH18" s="230">
        <f t="shared" ref="AH18" si="27">R18-Q18</f>
        <v>5.6779999999999999</v>
      </c>
    </row>
    <row r="19" spans="1:34">
      <c r="A19" s="275"/>
      <c r="B19" s="10" t="s">
        <v>85</v>
      </c>
      <c r="C19" s="34">
        <v>41.639000000000003</v>
      </c>
      <c r="D19" s="34">
        <v>47.232999999999997</v>
      </c>
      <c r="E19" s="34">
        <v>51.353000000000002</v>
      </c>
      <c r="F19" s="34">
        <v>53.822000000000003</v>
      </c>
      <c r="G19" s="34">
        <v>55.036999999999999</v>
      </c>
      <c r="H19" s="34">
        <v>55.944000000000003</v>
      </c>
      <c r="I19" s="34">
        <v>56.314999999999998</v>
      </c>
      <c r="J19" s="34">
        <v>56.747999999999998</v>
      </c>
      <c r="K19" s="34">
        <v>57.213999999999999</v>
      </c>
      <c r="L19" s="34">
        <v>57.686</v>
      </c>
      <c r="M19" s="34"/>
      <c r="N19" s="34">
        <v>59.225000000000001</v>
      </c>
      <c r="O19" s="34">
        <v>63.058999999999997</v>
      </c>
      <c r="P19" s="34"/>
      <c r="Q19" s="34"/>
      <c r="R19" s="34">
        <v>68.834000000000003</v>
      </c>
      <c r="S19" s="9"/>
      <c r="T19" s="9">
        <f>R19-C19</f>
        <v>27.195</v>
      </c>
      <c r="V19" s="1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  <c r="AH19" s="229"/>
    </row>
    <row r="20" spans="1:34">
      <c r="A20" s="275">
        <v>9</v>
      </c>
      <c r="B20" s="224" t="s">
        <v>295</v>
      </c>
      <c r="C20" s="34">
        <v>625.14700000000005</v>
      </c>
      <c r="D20" s="34">
        <v>635.56200000000001</v>
      </c>
      <c r="E20" s="34">
        <v>647.02</v>
      </c>
      <c r="F20" s="34">
        <v>657.54</v>
      </c>
      <c r="G20" s="34">
        <v>671.30100000000004</v>
      </c>
      <c r="H20" s="34">
        <v>682.72799999999995</v>
      </c>
      <c r="I20" s="34">
        <v>694.86500000000001</v>
      </c>
      <c r="J20" s="34">
        <v>706.61800000000005</v>
      </c>
      <c r="K20" s="34">
        <v>718.63599999999997</v>
      </c>
      <c r="L20" s="34">
        <v>731.5</v>
      </c>
      <c r="M20" s="34">
        <v>0.01</v>
      </c>
      <c r="N20" s="34">
        <v>9.9359999999999999</v>
      </c>
      <c r="O20" s="34">
        <v>20.51</v>
      </c>
      <c r="P20" s="34">
        <v>21.341000000000001</v>
      </c>
      <c r="Q20" s="34">
        <v>21.341000000000001</v>
      </c>
      <c r="R20" s="34">
        <v>30.728000000000002</v>
      </c>
      <c r="S20" s="9">
        <f t="shared" ref="S20" si="28">R20-M20+L20-C20</f>
        <v>137.07099999999991</v>
      </c>
      <c r="V20" s="1">
        <v>9</v>
      </c>
      <c r="W20" s="230">
        <f t="shared" ref="W20:AE20" si="29">D20-C20</f>
        <v>10.414999999999964</v>
      </c>
      <c r="X20" s="230">
        <f t="shared" si="29"/>
        <v>11.45799999999997</v>
      </c>
      <c r="Y20" s="230">
        <f t="shared" si="29"/>
        <v>10.519999999999982</v>
      </c>
      <c r="Z20" s="230">
        <f t="shared" si="29"/>
        <v>13.761000000000081</v>
      </c>
      <c r="AA20" s="230">
        <f t="shared" si="29"/>
        <v>11.426999999999907</v>
      </c>
      <c r="AB20" s="230">
        <f t="shared" si="29"/>
        <v>12.137000000000057</v>
      </c>
      <c r="AC20" s="230">
        <f t="shared" si="29"/>
        <v>11.753000000000043</v>
      </c>
      <c r="AD20" s="230">
        <f t="shared" si="29"/>
        <v>12.017999999999915</v>
      </c>
      <c r="AE20" s="230">
        <f t="shared" si="29"/>
        <v>12.864000000000033</v>
      </c>
      <c r="AF20" s="230">
        <f t="shared" ref="AF20:AG20" si="30">N20-M20</f>
        <v>9.9260000000000002</v>
      </c>
      <c r="AG20" s="230">
        <f t="shared" si="30"/>
        <v>10.574000000000002</v>
      </c>
      <c r="AH20" s="230">
        <f t="shared" ref="AH20" si="31">R20-Q20</f>
        <v>9.3870000000000005</v>
      </c>
    </row>
    <row r="21" spans="1:34">
      <c r="A21" s="275"/>
      <c r="B21" s="10" t="s">
        <v>86</v>
      </c>
      <c r="C21" s="34">
        <v>48.293999999999997</v>
      </c>
      <c r="D21" s="34">
        <v>55.206000000000003</v>
      </c>
      <c r="E21" s="34">
        <v>60.2</v>
      </c>
      <c r="F21" s="34">
        <v>64.385999999999996</v>
      </c>
      <c r="G21" s="34">
        <v>66.753</v>
      </c>
      <c r="H21" s="34">
        <v>68.391000000000005</v>
      </c>
      <c r="I21" s="34">
        <v>69.043999999999997</v>
      </c>
      <c r="J21" s="34">
        <v>69.739000000000004</v>
      </c>
      <c r="K21" s="34">
        <v>70.501000000000005</v>
      </c>
      <c r="L21" s="34">
        <v>71.204999999999998</v>
      </c>
      <c r="M21" s="34"/>
      <c r="N21" s="34">
        <v>72.774000000000001</v>
      </c>
      <c r="O21" s="34">
        <v>76.817999999999998</v>
      </c>
      <c r="P21" s="34"/>
      <c r="Q21" s="34"/>
      <c r="R21" s="34">
        <v>82.400999999999996</v>
      </c>
      <c r="S21" s="9"/>
      <c r="T21" s="9">
        <f>R21-C21</f>
        <v>34.106999999999999</v>
      </c>
      <c r="V21" s="1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</row>
    <row r="22" spans="1:34">
      <c r="A22" s="275">
        <v>10</v>
      </c>
      <c r="B22" s="224" t="s">
        <v>296</v>
      </c>
      <c r="C22" s="34">
        <v>4.1219999999999999</v>
      </c>
      <c r="D22" s="34">
        <v>4.26</v>
      </c>
      <c r="E22" s="34">
        <v>4.4000000000000004</v>
      </c>
      <c r="F22" s="34">
        <v>4.5220000000000002</v>
      </c>
      <c r="G22" s="34">
        <v>4.6630000000000003</v>
      </c>
      <c r="H22" s="34">
        <v>4.8239999999999998</v>
      </c>
      <c r="I22" s="34">
        <v>4.8390000000000004</v>
      </c>
      <c r="J22" s="34">
        <v>4.8550000000000004</v>
      </c>
      <c r="K22" s="34">
        <v>4.87</v>
      </c>
      <c r="L22" s="34">
        <v>4.92</v>
      </c>
      <c r="M22" s="34">
        <v>0.01</v>
      </c>
      <c r="N22" s="34">
        <v>2.4E-2</v>
      </c>
      <c r="O22" s="34">
        <v>3.7999999999999999E-2</v>
      </c>
      <c r="P22" s="34">
        <v>0.04</v>
      </c>
      <c r="Q22" s="34">
        <v>0.04</v>
      </c>
      <c r="R22" s="34">
        <v>4.8000000000000001E-2</v>
      </c>
      <c r="S22" s="9">
        <f t="shared" ref="S22" si="32">R22-M22+L22-C22</f>
        <v>0.8360000000000003</v>
      </c>
      <c r="V22" s="1">
        <v>10</v>
      </c>
      <c r="W22" s="230">
        <f t="shared" ref="W22:AE22" si="33">D22-C22</f>
        <v>0.1379999999999999</v>
      </c>
      <c r="X22" s="230">
        <f t="shared" si="33"/>
        <v>0.14000000000000057</v>
      </c>
      <c r="Y22" s="230">
        <f t="shared" si="33"/>
        <v>0.12199999999999989</v>
      </c>
      <c r="Z22" s="230">
        <f t="shared" si="33"/>
        <v>0.14100000000000001</v>
      </c>
      <c r="AA22" s="230">
        <f t="shared" si="33"/>
        <v>0.16099999999999959</v>
      </c>
      <c r="AB22" s="230">
        <f t="shared" si="33"/>
        <v>1.5000000000000568E-2</v>
      </c>
      <c r="AC22" s="230">
        <f t="shared" si="33"/>
        <v>1.6000000000000014E-2</v>
      </c>
      <c r="AD22" s="230">
        <f t="shared" si="33"/>
        <v>1.499999999999968E-2</v>
      </c>
      <c r="AE22" s="230">
        <f t="shared" si="33"/>
        <v>4.9999999999999822E-2</v>
      </c>
      <c r="AF22" s="230">
        <f t="shared" ref="AF22:AG22" si="34">N22-M22</f>
        <v>1.4E-2</v>
      </c>
      <c r="AG22" s="230">
        <f t="shared" si="34"/>
        <v>1.3999999999999999E-2</v>
      </c>
      <c r="AH22" s="230">
        <f t="shared" ref="AH22" si="35">R22-Q22</f>
        <v>8.0000000000000002E-3</v>
      </c>
    </row>
    <row r="23" spans="1:34">
      <c r="A23" s="275"/>
      <c r="B23" s="10" t="s">
        <v>87</v>
      </c>
      <c r="C23" s="34">
        <v>0.441</v>
      </c>
      <c r="D23" s="34">
        <v>0.52</v>
      </c>
      <c r="E23" s="34">
        <v>0.56799999999999995</v>
      </c>
      <c r="F23" s="34">
        <v>0.61399999999999999</v>
      </c>
      <c r="G23" s="34">
        <v>0.67200000000000004</v>
      </c>
      <c r="H23" s="34">
        <v>0.72899999999999998</v>
      </c>
      <c r="I23" s="34">
        <v>0.746</v>
      </c>
      <c r="J23" s="34">
        <v>0.749</v>
      </c>
      <c r="K23" s="34">
        <v>0.754</v>
      </c>
      <c r="L23" s="34">
        <v>0.79200000000000004</v>
      </c>
      <c r="M23" s="34"/>
      <c r="N23" s="34">
        <v>0.86599999999999999</v>
      </c>
      <c r="O23" s="34">
        <v>0.90900000000000003</v>
      </c>
      <c r="P23" s="34"/>
      <c r="Q23" s="34"/>
      <c r="R23" s="34">
        <v>0.96</v>
      </c>
      <c r="S23" s="13"/>
      <c r="T23" s="146">
        <f>R23-C23</f>
        <v>0.51899999999999991</v>
      </c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  <c r="AG23" s="229"/>
      <c r="AH23" s="229"/>
    </row>
    <row r="24" spans="1:34">
      <c r="A24" s="174"/>
      <c r="B24" s="10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9">
        <f>SUM(S4:S23)</f>
        <v>606.39399999999978</v>
      </c>
      <c r="T24" s="9">
        <f>SUM(T4:T23)</f>
        <v>200.57999999999998</v>
      </c>
    </row>
    <row r="25" spans="1:34">
      <c r="A25" s="174" t="s">
        <v>25</v>
      </c>
      <c r="B25" s="10" t="s">
        <v>88</v>
      </c>
      <c r="C25" s="17">
        <v>44119</v>
      </c>
      <c r="D25" s="17">
        <v>44428</v>
      </c>
      <c r="E25" s="17">
        <v>44828</v>
      </c>
      <c r="F25" s="17">
        <v>45102</v>
      </c>
      <c r="G25" s="17">
        <v>45403</v>
      </c>
      <c r="H25" s="17">
        <v>45694</v>
      </c>
      <c r="I25" s="17">
        <v>45951</v>
      </c>
      <c r="J25" s="17">
        <v>46226</v>
      </c>
      <c r="K25" s="17">
        <v>46546</v>
      </c>
      <c r="L25" s="17">
        <v>46809</v>
      </c>
      <c r="M25" s="17"/>
      <c r="N25" s="17">
        <v>47075</v>
      </c>
      <c r="O25" s="17">
        <v>47303</v>
      </c>
      <c r="P25" s="17"/>
      <c r="Q25" s="17"/>
      <c r="R25" s="17">
        <v>47567</v>
      </c>
      <c r="S25" s="9"/>
      <c r="U25" s="18">
        <f>R25-C25</f>
        <v>3448</v>
      </c>
    </row>
    <row r="26" spans="1:34">
      <c r="A26" s="174"/>
      <c r="B26" s="224" t="s">
        <v>287</v>
      </c>
      <c r="C26" s="113">
        <v>2122.8000000000002</v>
      </c>
      <c r="D26" s="113">
        <v>2174.3000000000002</v>
      </c>
      <c r="E26" s="113">
        <v>2228.8000000000002</v>
      </c>
      <c r="F26" s="113">
        <v>2283.6999999999998</v>
      </c>
      <c r="G26" s="113">
        <v>2342.6999999999998</v>
      </c>
      <c r="H26" s="113">
        <v>2402.8000000000002</v>
      </c>
      <c r="I26" s="113">
        <v>2455.1</v>
      </c>
      <c r="J26" s="113">
        <v>2509.1999999999998</v>
      </c>
      <c r="K26" s="113">
        <v>2564</v>
      </c>
      <c r="L26" s="113">
        <v>2624.1</v>
      </c>
      <c r="M26" s="113">
        <v>0</v>
      </c>
      <c r="N26" s="113">
        <v>54</v>
      </c>
      <c r="O26" s="113">
        <v>106.4</v>
      </c>
      <c r="P26" s="113">
        <v>117.2</v>
      </c>
      <c r="Q26" s="113">
        <v>117.2</v>
      </c>
      <c r="R26" s="113">
        <v>163.9</v>
      </c>
      <c r="S26" s="9">
        <f t="shared" ref="S26" si="36">R26-M26+L26-C26</f>
        <v>665.19999999999982</v>
      </c>
    </row>
    <row r="27" spans="1:34">
      <c r="A27" s="183"/>
      <c r="B27" s="10" t="s">
        <v>89</v>
      </c>
      <c r="C27" s="22">
        <v>152.54</v>
      </c>
      <c r="D27" s="22">
        <v>165.19</v>
      </c>
      <c r="E27" s="22">
        <v>174.31</v>
      </c>
      <c r="F27" s="22">
        <v>181.43</v>
      </c>
      <c r="G27" s="22">
        <v>186.18</v>
      </c>
      <c r="H27" s="22">
        <v>190.22</v>
      </c>
      <c r="I27" s="22">
        <v>191.44</v>
      </c>
      <c r="J27" s="22">
        <v>192.81</v>
      </c>
      <c r="K27" s="22">
        <v>194.22</v>
      </c>
      <c r="L27" s="22">
        <v>195.98</v>
      </c>
      <c r="M27" s="22"/>
      <c r="N27" s="22">
        <v>199.56</v>
      </c>
      <c r="O27" s="22">
        <v>206.42</v>
      </c>
      <c r="P27" s="22"/>
      <c r="Q27" s="22"/>
      <c r="R27" s="22">
        <v>216.31</v>
      </c>
      <c r="S27" s="9"/>
      <c r="T27" s="9">
        <f>(R27-C27)*3.6</f>
        <v>229.57200000000003</v>
      </c>
    </row>
    <row r="28" spans="1:34" ht="15.75" thickBot="1">
      <c r="A28" s="173"/>
      <c r="B28" s="31" t="s">
        <v>90</v>
      </c>
      <c r="C28" s="37">
        <v>6779</v>
      </c>
      <c r="D28" s="37">
        <v>7316</v>
      </c>
      <c r="E28" s="37">
        <v>7645</v>
      </c>
      <c r="F28" s="37">
        <v>7882</v>
      </c>
      <c r="G28" s="37">
        <v>8072</v>
      </c>
      <c r="H28" s="37">
        <v>8249</v>
      </c>
      <c r="I28" s="37">
        <v>8324</v>
      </c>
      <c r="J28" s="37">
        <v>8407</v>
      </c>
      <c r="K28" s="37">
        <v>8492</v>
      </c>
      <c r="L28" s="37">
        <v>8584</v>
      </c>
      <c r="M28" s="37"/>
      <c r="N28" s="37">
        <v>8727</v>
      </c>
      <c r="O28" s="37">
        <v>8942</v>
      </c>
      <c r="P28" s="37"/>
      <c r="Q28" s="37"/>
      <c r="R28" s="37">
        <v>9249</v>
      </c>
      <c r="S28" s="9"/>
    </row>
    <row r="29" spans="1:34" ht="15.75" thickBot="1">
      <c r="A29" s="187" t="s">
        <v>192</v>
      </c>
      <c r="B29" s="25"/>
      <c r="C29" s="26">
        <v>18371</v>
      </c>
      <c r="D29" s="26">
        <v>18663.400000000001</v>
      </c>
      <c r="E29" s="26">
        <v>18931.2</v>
      </c>
      <c r="F29" s="26">
        <v>19208.5</v>
      </c>
      <c r="G29" s="26">
        <v>19505.5</v>
      </c>
      <c r="H29" s="26">
        <v>19795.5</v>
      </c>
      <c r="I29" s="26">
        <v>20033.7</v>
      </c>
      <c r="J29" s="26">
        <v>20265</v>
      </c>
      <c r="K29" s="26">
        <v>20525.099999999999</v>
      </c>
      <c r="L29" s="26">
        <v>20786.5</v>
      </c>
      <c r="M29" s="26"/>
      <c r="N29" s="26">
        <v>21062.5</v>
      </c>
      <c r="O29" s="26">
        <v>21335.599999999999</v>
      </c>
      <c r="P29" s="26"/>
      <c r="Q29" s="26"/>
      <c r="R29" s="26">
        <v>21658.9</v>
      </c>
      <c r="S29" s="39">
        <f>R29-C29</f>
        <v>3287.9000000000015</v>
      </c>
    </row>
    <row r="31" spans="1:34">
      <c r="A31" s="186"/>
      <c r="D31" s="28" t="s">
        <v>29</v>
      </c>
      <c r="I31" s="217" t="s">
        <v>227</v>
      </c>
      <c r="J31" s="218"/>
      <c r="K31" s="219"/>
      <c r="L31" s="218"/>
    </row>
    <row r="32" spans="1:34">
      <c r="I32" t="s">
        <v>318</v>
      </c>
    </row>
    <row r="33" spans="9:12">
      <c r="I33" s="259" t="s">
        <v>346</v>
      </c>
      <c r="J33" s="257"/>
      <c r="K33" s="258"/>
      <c r="L33" s="257"/>
    </row>
  </sheetData>
  <sheetProtection selectLockedCells="1" selectUnlockedCells="1"/>
  <mergeCells count="10"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H4">
    <cfRule type="cellIs" dxfId="3055" priority="52" stopIfTrue="1" operator="lessThan">
      <formula>'1854'!$G$4</formula>
    </cfRule>
    <cfRule type="cellIs" dxfId="3054" priority="53" stopIfTrue="1" operator="equal">
      <formula>'1854'!$G$4</formula>
    </cfRule>
  </conditionalFormatting>
  <conditionalFormatting sqref="G7">
    <cfRule type="cellIs" dxfId="3053" priority="54" stopIfTrue="1" operator="equal">
      <formula>'1854'!$F$7</formula>
    </cfRule>
    <cfRule type="cellIs" dxfId="3052" priority="55" stopIfTrue="1" operator="lessThan">
      <formula>'1854'!$F$7</formula>
    </cfRule>
  </conditionalFormatting>
  <conditionalFormatting sqref="H5">
    <cfRule type="cellIs" dxfId="3051" priority="56" stopIfTrue="1" operator="equal">
      <formula>'1854'!$G$5</formula>
    </cfRule>
    <cfRule type="cellIs" dxfId="3050" priority="57" stopIfTrue="1" operator="lessThan">
      <formula>'1854'!$G$5</formula>
    </cfRule>
  </conditionalFormatting>
  <conditionalFormatting sqref="I5">
    <cfRule type="cellIs" dxfId="3049" priority="58" stopIfTrue="1" operator="equal">
      <formula>'1854'!$H$5</formula>
    </cfRule>
    <cfRule type="cellIs" dxfId="3048" priority="59" stopIfTrue="1" operator="lessThan">
      <formula>'1854'!$H$5</formula>
    </cfRule>
  </conditionalFormatting>
  <conditionalFormatting sqref="J5">
    <cfRule type="cellIs" dxfId="3047" priority="60" stopIfTrue="1" operator="equal">
      <formula>'1854'!$I$5</formula>
    </cfRule>
    <cfRule type="cellIs" dxfId="3046" priority="61" stopIfTrue="1" operator="lessThan">
      <formula>'1854'!$I$5</formula>
    </cfRule>
  </conditionalFormatting>
  <conditionalFormatting sqref="F4">
    <cfRule type="cellIs" dxfId="3045" priority="62" stopIfTrue="1" operator="equal">
      <formula>'1854'!$E$4</formula>
    </cfRule>
    <cfRule type="cellIs" dxfId="3044" priority="63" stopIfTrue="1" operator="lessThan">
      <formula>'1854'!$E$4</formula>
    </cfRule>
  </conditionalFormatting>
  <conditionalFormatting sqref="D4">
    <cfRule type="cellIs" dxfId="3043" priority="64" stopIfTrue="1" operator="lessThan">
      <formula>'1854'!$C$4</formula>
    </cfRule>
    <cfRule type="cellIs" dxfId="3042" priority="65" stopIfTrue="1" operator="equal">
      <formula>'1854'!$C$4</formula>
    </cfRule>
  </conditionalFormatting>
  <conditionalFormatting sqref="E4">
    <cfRule type="cellIs" dxfId="3041" priority="66" stopIfTrue="1" operator="equal">
      <formula>'1854'!$D$4</formula>
    </cfRule>
    <cfRule type="cellIs" dxfId="3040" priority="67" stopIfTrue="1" operator="lessThan">
      <formula>'1854'!$D$4</formula>
    </cfRule>
  </conditionalFormatting>
  <conditionalFormatting sqref="D5">
    <cfRule type="cellIs" dxfId="3039" priority="68" stopIfTrue="1" operator="equal">
      <formula>'1854'!$C$5</formula>
    </cfRule>
    <cfRule type="cellIs" dxfId="3038" priority="69" stopIfTrue="1" operator="lessThan">
      <formula>'1854'!$C$5</formula>
    </cfRule>
  </conditionalFormatting>
  <conditionalFormatting sqref="F5">
    <cfRule type="cellIs" dxfId="3037" priority="70" stopIfTrue="1" operator="equal">
      <formula>'1854'!$E$5</formula>
    </cfRule>
    <cfRule type="cellIs" dxfId="3036" priority="71" stopIfTrue="1" operator="lessThan">
      <formula>'1854'!$E$5</formula>
    </cfRule>
  </conditionalFormatting>
  <conditionalFormatting sqref="I4">
    <cfRule type="cellIs" dxfId="3035" priority="72" stopIfTrue="1" operator="equal">
      <formula>'1854'!$H$4</formula>
    </cfRule>
  </conditionalFormatting>
  <conditionalFormatting sqref="J4">
    <cfRule type="cellIs" dxfId="3034" priority="73" stopIfTrue="1" operator="lessThan">
      <formula>'1854'!$I$4</formula>
    </cfRule>
    <cfRule type="cellIs" dxfId="3033" priority="74" stopIfTrue="1" operator="equal">
      <formula>'1854'!$I$4</formula>
    </cfRule>
  </conditionalFormatting>
  <conditionalFormatting sqref="D6">
    <cfRule type="cellIs" dxfId="3032" priority="75" stopIfTrue="1" operator="equal">
      <formula>'1854'!$C$6</formula>
    </cfRule>
    <cfRule type="cellIs" dxfId="3031" priority="76" stopIfTrue="1" operator="lessThan">
      <formula>'1854'!$C$6</formula>
    </cfRule>
  </conditionalFormatting>
  <conditionalFormatting sqref="E6">
    <cfRule type="cellIs" dxfId="3030" priority="77" stopIfTrue="1" operator="equal">
      <formula>'1854'!$D$6</formula>
    </cfRule>
    <cfRule type="cellIs" dxfId="3029" priority="78" stopIfTrue="1" operator="lessThan">
      <formula>'1854'!$D$6</formula>
    </cfRule>
  </conditionalFormatting>
  <conditionalFormatting sqref="F6">
    <cfRule type="cellIs" dxfId="3028" priority="79" stopIfTrue="1" operator="equal">
      <formula>'1854'!$E$6</formula>
    </cfRule>
    <cfRule type="cellIs" dxfId="3027" priority="80" stopIfTrue="1" operator="lessThan">
      <formula>'1854'!$E$6</formula>
    </cfRule>
  </conditionalFormatting>
  <conditionalFormatting sqref="G6">
    <cfRule type="cellIs" dxfId="3026" priority="81" stopIfTrue="1" operator="equal">
      <formula>'1854'!$F$6</formula>
    </cfRule>
    <cfRule type="cellIs" dxfId="3025" priority="82" stopIfTrue="1" operator="lessThan">
      <formula>'1854'!$F$6</formula>
    </cfRule>
  </conditionalFormatting>
  <conditionalFormatting sqref="H6">
    <cfRule type="cellIs" dxfId="3024" priority="83" stopIfTrue="1" operator="equal">
      <formula>'1854'!$G$6</formula>
    </cfRule>
    <cfRule type="cellIs" dxfId="3023" priority="84" stopIfTrue="1" operator="lessThan">
      <formula>'1854'!$G$6</formula>
    </cfRule>
  </conditionalFormatting>
  <conditionalFormatting sqref="I6">
    <cfRule type="cellIs" dxfId="3022" priority="85" stopIfTrue="1" operator="equal">
      <formula>'1854'!$H$6</formula>
    </cfRule>
    <cfRule type="cellIs" dxfId="3021" priority="86" stopIfTrue="1" operator="lessThan">
      <formula>'1854'!$H$6</formula>
    </cfRule>
  </conditionalFormatting>
  <conditionalFormatting sqref="J6">
    <cfRule type="cellIs" dxfId="3020" priority="87" stopIfTrue="1" operator="equal">
      <formula>'1854'!$I$6</formula>
    </cfRule>
    <cfRule type="cellIs" dxfId="3019" priority="88" stopIfTrue="1" operator="lessThan">
      <formula>'1854'!$I$6</formula>
    </cfRule>
  </conditionalFormatting>
  <conditionalFormatting sqref="D7">
    <cfRule type="cellIs" dxfId="3018" priority="89" stopIfTrue="1" operator="equal">
      <formula>'1854'!$C$7</formula>
    </cfRule>
    <cfRule type="cellIs" dxfId="3017" priority="90" stopIfTrue="1" operator="lessThan">
      <formula>'1854'!$C$7</formula>
    </cfRule>
  </conditionalFormatting>
  <conditionalFormatting sqref="E7">
    <cfRule type="cellIs" dxfId="3016" priority="91" stopIfTrue="1" operator="equal">
      <formula>'1854'!$D$7</formula>
    </cfRule>
    <cfRule type="cellIs" dxfId="3015" priority="92" stopIfTrue="1" operator="lessThan">
      <formula>'1854'!$D$7</formula>
    </cfRule>
  </conditionalFormatting>
  <conditionalFormatting sqref="F7">
    <cfRule type="cellIs" dxfId="3014" priority="93" stopIfTrue="1" operator="equal">
      <formula>'1854'!$E$7</formula>
    </cfRule>
    <cfRule type="cellIs" dxfId="3013" priority="94" stopIfTrue="1" operator="lessThan">
      <formula>'1854'!$E$7</formula>
    </cfRule>
  </conditionalFormatting>
  <conditionalFormatting sqref="H7">
    <cfRule type="cellIs" dxfId="3012" priority="95" stopIfTrue="1" operator="equal">
      <formula>'1854'!$G$7</formula>
    </cfRule>
    <cfRule type="cellIs" dxfId="3011" priority="96" stopIfTrue="1" operator="lessThan">
      <formula>'1854'!$G$7</formula>
    </cfRule>
  </conditionalFormatting>
  <conditionalFormatting sqref="I7">
    <cfRule type="cellIs" dxfId="3010" priority="97" stopIfTrue="1" operator="equal">
      <formula>'1854'!$H$7</formula>
    </cfRule>
    <cfRule type="cellIs" dxfId="3009" priority="98" stopIfTrue="1" operator="lessThan">
      <formula>'1854'!$H$7</formula>
    </cfRule>
  </conditionalFormatting>
  <conditionalFormatting sqref="J7">
    <cfRule type="cellIs" dxfId="3008" priority="99" stopIfTrue="1" operator="equal">
      <formula>'1854'!$I$7</formula>
    </cfRule>
    <cfRule type="cellIs" dxfId="3007" priority="100" stopIfTrue="1" operator="lessThan">
      <formula>'1854'!$I$7</formula>
    </cfRule>
  </conditionalFormatting>
  <conditionalFormatting sqref="D8">
    <cfRule type="cellIs" dxfId="3006" priority="101" stopIfTrue="1" operator="equal">
      <formula>'1854'!$C$8</formula>
    </cfRule>
    <cfRule type="cellIs" dxfId="3005" priority="102" stopIfTrue="1" operator="lessThan">
      <formula>'1854'!$C$8</formula>
    </cfRule>
  </conditionalFormatting>
  <conditionalFormatting sqref="E8">
    <cfRule type="cellIs" dxfId="3004" priority="103" stopIfTrue="1" operator="equal">
      <formula>'1854'!$D$8</formula>
    </cfRule>
    <cfRule type="cellIs" dxfId="3003" priority="104" stopIfTrue="1" operator="lessThan">
      <formula>'1854'!$D$8</formula>
    </cfRule>
  </conditionalFormatting>
  <conditionalFormatting sqref="F8">
    <cfRule type="cellIs" dxfId="3002" priority="105" stopIfTrue="1" operator="equal">
      <formula>'1854'!$E$8</formula>
    </cfRule>
    <cfRule type="cellIs" dxfId="3001" priority="106" stopIfTrue="1" operator="lessThan">
      <formula>'1854'!$E$8</formula>
    </cfRule>
  </conditionalFormatting>
  <conditionalFormatting sqref="G8">
    <cfRule type="cellIs" dxfId="3000" priority="107" stopIfTrue="1" operator="equal">
      <formula>'1854'!$F$8</formula>
    </cfRule>
    <cfRule type="cellIs" dxfId="2999" priority="108" stopIfTrue="1" operator="lessThan">
      <formula>'1854'!$F$8</formula>
    </cfRule>
  </conditionalFormatting>
  <conditionalFormatting sqref="H8">
    <cfRule type="cellIs" dxfId="2998" priority="109" stopIfTrue="1" operator="equal">
      <formula>'1854'!$G$8</formula>
    </cfRule>
    <cfRule type="cellIs" dxfId="2997" priority="110" stopIfTrue="1" operator="lessThan">
      <formula>'1854'!$G$8</formula>
    </cfRule>
  </conditionalFormatting>
  <conditionalFormatting sqref="I8">
    <cfRule type="cellIs" dxfId="2996" priority="111" stopIfTrue="1" operator="equal">
      <formula>'1854'!$H$8</formula>
    </cfRule>
    <cfRule type="cellIs" dxfId="2995" priority="112" stopIfTrue="1" operator="lessThan">
      <formula>'1854'!$H$8</formula>
    </cfRule>
  </conditionalFormatting>
  <conditionalFormatting sqref="J8">
    <cfRule type="cellIs" dxfId="2994" priority="113" stopIfTrue="1" operator="equal">
      <formula>'1854'!$I$8</formula>
    </cfRule>
    <cfRule type="cellIs" dxfId="2993" priority="114" stopIfTrue="1" operator="lessThan">
      <formula>'1854'!$I$8</formula>
    </cfRule>
  </conditionalFormatting>
  <conditionalFormatting sqref="D9">
    <cfRule type="cellIs" dxfId="2992" priority="115" stopIfTrue="1" operator="equal">
      <formula>'1854'!$C$9</formula>
    </cfRule>
    <cfRule type="cellIs" dxfId="2991" priority="116" stopIfTrue="1" operator="lessThan">
      <formula>'1854'!$C$9</formula>
    </cfRule>
  </conditionalFormatting>
  <conditionalFormatting sqref="E9">
    <cfRule type="cellIs" dxfId="2990" priority="117" stopIfTrue="1" operator="equal">
      <formula>'1854'!$D$9</formula>
    </cfRule>
    <cfRule type="cellIs" dxfId="2989" priority="118" stopIfTrue="1" operator="lessThan">
      <formula>'1854'!$D$9</formula>
    </cfRule>
  </conditionalFormatting>
  <conditionalFormatting sqref="F9">
    <cfRule type="cellIs" dxfId="2988" priority="119" stopIfTrue="1" operator="equal">
      <formula>'1854'!$E$9</formula>
    </cfRule>
    <cfRule type="cellIs" dxfId="2987" priority="120" stopIfTrue="1" operator="lessThan">
      <formula>'1854'!$E$9</formula>
    </cfRule>
  </conditionalFormatting>
  <conditionalFormatting sqref="G9">
    <cfRule type="cellIs" dxfId="2986" priority="121" stopIfTrue="1" operator="equal">
      <formula>'1854'!$F$9</formula>
    </cfRule>
    <cfRule type="cellIs" dxfId="2985" priority="122" stopIfTrue="1" operator="lessThan">
      <formula>'1854'!$F$9</formula>
    </cfRule>
  </conditionalFormatting>
  <conditionalFormatting sqref="H9">
    <cfRule type="cellIs" dxfId="2984" priority="123" stopIfTrue="1" operator="equal">
      <formula>'1854'!$G$9</formula>
    </cfRule>
    <cfRule type="cellIs" dxfId="2983" priority="124" stopIfTrue="1" operator="lessThan">
      <formula>'1854'!$G$9</formula>
    </cfRule>
  </conditionalFormatting>
  <conditionalFormatting sqref="I9">
    <cfRule type="cellIs" dxfId="2982" priority="125" stopIfTrue="1" operator="equal">
      <formula>'1854'!$H$9</formula>
    </cfRule>
    <cfRule type="cellIs" dxfId="2981" priority="126" stopIfTrue="1" operator="lessThan">
      <formula>'1854'!$H$9</formula>
    </cfRule>
  </conditionalFormatting>
  <conditionalFormatting sqref="J9">
    <cfRule type="cellIs" dxfId="2980" priority="127" stopIfTrue="1" operator="equal">
      <formula>'1854'!$I$9</formula>
    </cfRule>
    <cfRule type="cellIs" dxfId="2979" priority="128" stopIfTrue="1" operator="lessThan">
      <formula>'1854'!$I$9</formula>
    </cfRule>
  </conditionalFormatting>
  <conditionalFormatting sqref="D10">
    <cfRule type="cellIs" dxfId="2978" priority="129" stopIfTrue="1" operator="equal">
      <formula>'1854'!$C$10</formula>
    </cfRule>
    <cfRule type="cellIs" dxfId="2977" priority="130" stopIfTrue="1" operator="lessThan">
      <formula>'1854'!$C$10</formula>
    </cfRule>
  </conditionalFormatting>
  <conditionalFormatting sqref="E10">
    <cfRule type="cellIs" dxfId="2976" priority="131" stopIfTrue="1" operator="equal">
      <formula>'1854'!$D$10</formula>
    </cfRule>
    <cfRule type="cellIs" dxfId="2975" priority="132" stopIfTrue="1" operator="lessThan">
      <formula>'1854'!$D$10</formula>
    </cfRule>
  </conditionalFormatting>
  <conditionalFormatting sqref="F10">
    <cfRule type="cellIs" dxfId="2974" priority="133" stopIfTrue="1" operator="equal">
      <formula>'1854'!$E$10</formula>
    </cfRule>
    <cfRule type="cellIs" dxfId="2973" priority="134" stopIfTrue="1" operator="lessThan">
      <formula>'1854'!$E$10</formula>
    </cfRule>
  </conditionalFormatting>
  <conditionalFormatting sqref="G10">
    <cfRule type="cellIs" dxfId="2972" priority="135" stopIfTrue="1" operator="equal">
      <formula>'1854'!$F$10</formula>
    </cfRule>
    <cfRule type="cellIs" dxfId="2971" priority="136" stopIfTrue="1" operator="lessThan">
      <formula>'1854'!$F$10</formula>
    </cfRule>
  </conditionalFormatting>
  <conditionalFormatting sqref="H10">
    <cfRule type="cellIs" dxfId="2970" priority="137" stopIfTrue="1" operator="equal">
      <formula>'1854'!$G$10</formula>
    </cfRule>
    <cfRule type="cellIs" dxfId="2969" priority="138" stopIfTrue="1" operator="lessThan">
      <formula>'1854'!$G$10</formula>
    </cfRule>
  </conditionalFormatting>
  <conditionalFormatting sqref="I10">
    <cfRule type="cellIs" dxfId="2968" priority="139" stopIfTrue="1" operator="equal">
      <formula>'1854'!$H$10</formula>
    </cfRule>
    <cfRule type="cellIs" dxfId="2967" priority="140" stopIfTrue="1" operator="lessThan">
      <formula>'1854'!$H$10</formula>
    </cfRule>
  </conditionalFormatting>
  <conditionalFormatting sqref="J10">
    <cfRule type="cellIs" dxfId="2966" priority="141" stopIfTrue="1" operator="equal">
      <formula>'1854'!$I$10</formula>
    </cfRule>
    <cfRule type="cellIs" dxfId="2965" priority="142" stopIfTrue="1" operator="lessThan">
      <formula>'1854'!$I$10</formula>
    </cfRule>
  </conditionalFormatting>
  <conditionalFormatting sqref="D11">
    <cfRule type="cellIs" dxfId="2964" priority="143" stopIfTrue="1" operator="equal">
      <formula>'1854'!$C$11</formula>
    </cfRule>
    <cfRule type="cellIs" dxfId="2963" priority="144" stopIfTrue="1" operator="lessThan">
      <formula>'1854'!$C$11</formula>
    </cfRule>
  </conditionalFormatting>
  <conditionalFormatting sqref="E11">
    <cfRule type="cellIs" dxfId="2962" priority="145" stopIfTrue="1" operator="equal">
      <formula>'1854'!$D$11</formula>
    </cfRule>
    <cfRule type="cellIs" dxfId="2961" priority="146" stopIfTrue="1" operator="lessThan">
      <formula>'1854'!$D$11</formula>
    </cfRule>
  </conditionalFormatting>
  <conditionalFormatting sqref="F11">
    <cfRule type="cellIs" dxfId="2960" priority="147" stopIfTrue="1" operator="equal">
      <formula>'1854'!$E$11</formula>
    </cfRule>
    <cfRule type="cellIs" dxfId="2959" priority="148" stopIfTrue="1" operator="lessThan">
      <formula>'1854'!$E$11</formula>
    </cfRule>
  </conditionalFormatting>
  <conditionalFormatting sqref="G11">
    <cfRule type="cellIs" dxfId="2958" priority="149" stopIfTrue="1" operator="equal">
      <formula>'1854'!$F$11</formula>
    </cfRule>
    <cfRule type="cellIs" dxfId="2957" priority="150" stopIfTrue="1" operator="lessThan">
      <formula>'1854'!$F$11</formula>
    </cfRule>
  </conditionalFormatting>
  <conditionalFormatting sqref="H11">
    <cfRule type="cellIs" dxfId="2956" priority="151" stopIfTrue="1" operator="equal">
      <formula>'1854'!$G$11</formula>
    </cfRule>
    <cfRule type="cellIs" dxfId="2955" priority="152" stopIfTrue="1" operator="lessThan">
      <formula>'1854'!$G$11</formula>
    </cfRule>
  </conditionalFormatting>
  <conditionalFormatting sqref="I11">
    <cfRule type="cellIs" dxfId="2954" priority="153" stopIfTrue="1" operator="equal">
      <formula>'1854'!$H$11</formula>
    </cfRule>
    <cfRule type="cellIs" dxfId="2953" priority="154" stopIfTrue="1" operator="lessThan">
      <formula>'1854'!$H$11</formula>
    </cfRule>
  </conditionalFormatting>
  <conditionalFormatting sqref="J11">
    <cfRule type="cellIs" dxfId="2952" priority="155" stopIfTrue="1" operator="equal">
      <formula>'1854'!$I$11</formula>
    </cfRule>
    <cfRule type="cellIs" dxfId="2951" priority="156" stopIfTrue="1" operator="lessThan">
      <formula>'1854'!$I$11</formula>
    </cfRule>
  </conditionalFormatting>
  <conditionalFormatting sqref="D12">
    <cfRule type="cellIs" dxfId="2950" priority="157" stopIfTrue="1" operator="equal">
      <formula>'1854'!$C$12</formula>
    </cfRule>
    <cfRule type="cellIs" dxfId="2949" priority="158" stopIfTrue="1" operator="lessThan">
      <formula>'1854'!$C$12</formula>
    </cfRule>
  </conditionalFormatting>
  <conditionalFormatting sqref="E12">
    <cfRule type="cellIs" dxfId="2948" priority="159" stopIfTrue="1" operator="equal">
      <formula>'1854'!$D$12</formula>
    </cfRule>
    <cfRule type="cellIs" dxfId="2947" priority="160" stopIfTrue="1" operator="lessThan">
      <formula>'1854'!$D$12</formula>
    </cfRule>
  </conditionalFormatting>
  <conditionalFormatting sqref="F12">
    <cfRule type="cellIs" dxfId="2946" priority="161" stopIfTrue="1" operator="equal">
      <formula>'1854'!$E$12</formula>
    </cfRule>
    <cfRule type="cellIs" dxfId="2945" priority="162" stopIfTrue="1" operator="lessThan">
      <formula>'1854'!$E$12</formula>
    </cfRule>
  </conditionalFormatting>
  <conditionalFormatting sqref="G12">
    <cfRule type="cellIs" dxfId="2944" priority="163" stopIfTrue="1" operator="equal">
      <formula>'1854'!$F$12</formula>
    </cfRule>
    <cfRule type="cellIs" dxfId="2943" priority="164" stopIfTrue="1" operator="lessThan">
      <formula>'1854'!$F$12</formula>
    </cfRule>
  </conditionalFormatting>
  <conditionalFormatting sqref="H12">
    <cfRule type="cellIs" dxfId="2942" priority="165" stopIfTrue="1" operator="equal">
      <formula>'1854'!$G$12</formula>
    </cfRule>
    <cfRule type="cellIs" dxfId="2941" priority="166" stopIfTrue="1" operator="lessThan">
      <formula>'1854'!$G$12</formula>
    </cfRule>
  </conditionalFormatting>
  <conditionalFormatting sqref="I12">
    <cfRule type="cellIs" dxfId="2940" priority="167" stopIfTrue="1" operator="equal">
      <formula>'1854'!$H$12</formula>
    </cfRule>
    <cfRule type="cellIs" dxfId="2939" priority="168" stopIfTrue="1" operator="lessThan">
      <formula>'1854'!$H$12</formula>
    </cfRule>
  </conditionalFormatting>
  <conditionalFormatting sqref="J12">
    <cfRule type="cellIs" dxfId="2938" priority="169" stopIfTrue="1" operator="equal">
      <formula>'1854'!$I$12</formula>
    </cfRule>
    <cfRule type="cellIs" dxfId="2937" priority="170" stopIfTrue="1" operator="lessThan">
      <formula>'1854'!$I$12</formula>
    </cfRule>
  </conditionalFormatting>
  <conditionalFormatting sqref="D14">
    <cfRule type="cellIs" dxfId="2936" priority="171" stopIfTrue="1" operator="equal">
      <formula>'1854'!$C$14</formula>
    </cfRule>
    <cfRule type="cellIs" dxfId="2935" priority="172" stopIfTrue="1" operator="lessThan">
      <formula>'1854'!$C$14</formula>
    </cfRule>
  </conditionalFormatting>
  <conditionalFormatting sqref="D15">
    <cfRule type="cellIs" dxfId="2934" priority="173" stopIfTrue="1" operator="equal">
      <formula>'1854'!$C$15</formula>
    </cfRule>
    <cfRule type="cellIs" dxfId="2933" priority="174" stopIfTrue="1" operator="lessThan">
      <formula>'1854'!$C$15</formula>
    </cfRule>
  </conditionalFormatting>
  <conditionalFormatting sqref="D16">
    <cfRule type="cellIs" dxfId="2932" priority="175" stopIfTrue="1" operator="equal">
      <formula>'1854'!$C$16</formula>
    </cfRule>
    <cfRule type="cellIs" dxfId="2931" priority="176" stopIfTrue="1" operator="lessThan">
      <formula>'1854'!$C$16</formula>
    </cfRule>
  </conditionalFormatting>
  <conditionalFormatting sqref="D17">
    <cfRule type="cellIs" dxfId="2930" priority="177" stopIfTrue="1" operator="equal">
      <formula>'1854'!$C$17</formula>
    </cfRule>
    <cfRule type="cellIs" dxfId="2929" priority="178" stopIfTrue="1" operator="lessThan">
      <formula>'1854'!$C$17</formula>
    </cfRule>
  </conditionalFormatting>
  <conditionalFormatting sqref="D18">
    <cfRule type="cellIs" dxfId="2928" priority="179" stopIfTrue="1" operator="equal">
      <formula>'1854'!$C$18</formula>
    </cfRule>
    <cfRule type="cellIs" dxfId="2927" priority="180" stopIfTrue="1" operator="lessThan">
      <formula>'1854'!$C$18</formula>
    </cfRule>
  </conditionalFormatting>
  <conditionalFormatting sqref="D19">
    <cfRule type="cellIs" dxfId="2926" priority="181" stopIfTrue="1" operator="equal">
      <formula>'1854'!$C$19</formula>
    </cfRule>
    <cfRule type="cellIs" dxfId="2925" priority="182" stopIfTrue="1" operator="lessThan">
      <formula>'1854'!$C$19</formula>
    </cfRule>
  </conditionalFormatting>
  <conditionalFormatting sqref="D20">
    <cfRule type="cellIs" dxfId="2924" priority="183" stopIfTrue="1" operator="equal">
      <formula>'1854'!$C$20</formula>
    </cfRule>
    <cfRule type="cellIs" dxfId="2923" priority="184" stopIfTrue="1" operator="lessThan">
      <formula>'1854'!$C$20</formula>
    </cfRule>
  </conditionalFormatting>
  <conditionalFormatting sqref="D21">
    <cfRule type="cellIs" dxfId="2922" priority="185" stopIfTrue="1" operator="equal">
      <formula>'1854'!$C$21</formula>
    </cfRule>
    <cfRule type="cellIs" dxfId="2921" priority="186" stopIfTrue="1" operator="lessThan">
      <formula>'1854'!$C$21</formula>
    </cfRule>
  </conditionalFormatting>
  <conditionalFormatting sqref="D22">
    <cfRule type="cellIs" dxfId="2920" priority="187" stopIfTrue="1" operator="equal">
      <formula>'1854'!$C$22</formula>
    </cfRule>
    <cfRule type="cellIs" dxfId="2919" priority="188" stopIfTrue="1" operator="lessThan">
      <formula>'1854'!$C$22</formula>
    </cfRule>
  </conditionalFormatting>
  <conditionalFormatting sqref="D23">
    <cfRule type="cellIs" dxfId="2918" priority="189" stopIfTrue="1" operator="equal">
      <formula>'1854'!$C$23</formula>
    </cfRule>
    <cfRule type="cellIs" dxfId="2917" priority="190" stopIfTrue="1" operator="lessThan">
      <formula>'1854'!$C$23</formula>
    </cfRule>
  </conditionalFormatting>
  <conditionalFormatting sqref="D25">
    <cfRule type="cellIs" dxfId="2916" priority="191" stopIfTrue="1" operator="equal">
      <formula>'1854'!$C$25</formula>
    </cfRule>
    <cfRule type="cellIs" dxfId="2915" priority="192" stopIfTrue="1" operator="lessThan">
      <formula>'1854'!$C$25</formula>
    </cfRule>
  </conditionalFormatting>
  <conditionalFormatting sqref="D26">
    <cfRule type="cellIs" dxfId="2914" priority="193" stopIfTrue="1" operator="equal">
      <formula>'1854'!$C$26</formula>
    </cfRule>
    <cfRule type="cellIs" dxfId="2913" priority="194" stopIfTrue="1" operator="lessThan">
      <formula>'1854'!$C$26</formula>
    </cfRule>
  </conditionalFormatting>
  <conditionalFormatting sqref="D27">
    <cfRule type="cellIs" dxfId="2912" priority="195" stopIfTrue="1" operator="equal">
      <formula>'1854'!$C$27</formula>
    </cfRule>
    <cfRule type="cellIs" dxfId="2911" priority="196" stopIfTrue="1" operator="lessThan">
      <formula>'1854'!$C$27</formula>
    </cfRule>
  </conditionalFormatting>
  <conditionalFormatting sqref="D28">
    <cfRule type="cellIs" dxfId="2910" priority="197" stopIfTrue="1" operator="equal">
      <formula>'1854'!$C$28</formula>
    </cfRule>
    <cfRule type="cellIs" dxfId="2909" priority="198" stopIfTrue="1" operator="lessThan">
      <formula>'1854'!$C$28</formula>
    </cfRule>
  </conditionalFormatting>
  <conditionalFormatting sqref="E13">
    <cfRule type="cellIs" dxfId="2908" priority="199" stopIfTrue="1" operator="equal">
      <formula>'1854'!$D$13</formula>
    </cfRule>
    <cfRule type="cellIs" dxfId="2907" priority="200" stopIfTrue="1" operator="lessThan">
      <formula>'1854'!$D$13</formula>
    </cfRule>
  </conditionalFormatting>
  <conditionalFormatting sqref="E14">
    <cfRule type="cellIs" dxfId="2906" priority="201" stopIfTrue="1" operator="equal">
      <formula>'1854'!$D$14</formula>
    </cfRule>
    <cfRule type="cellIs" dxfId="2905" priority="202" stopIfTrue="1" operator="lessThan">
      <formula>'1854'!$D$14</formula>
    </cfRule>
  </conditionalFormatting>
  <conditionalFormatting sqref="E15">
    <cfRule type="cellIs" dxfId="2904" priority="203" stopIfTrue="1" operator="equal">
      <formula>'1854'!$D$15</formula>
    </cfRule>
    <cfRule type="cellIs" dxfId="2903" priority="204" stopIfTrue="1" operator="lessThan">
      <formula>'1854'!$D$15</formula>
    </cfRule>
  </conditionalFormatting>
  <conditionalFormatting sqref="E16">
    <cfRule type="cellIs" dxfId="2902" priority="205" stopIfTrue="1" operator="equal">
      <formula>'1854'!$D$16</formula>
    </cfRule>
    <cfRule type="cellIs" dxfId="2901" priority="206" stopIfTrue="1" operator="lessThan">
      <formula>'1854'!$D$16</formula>
    </cfRule>
  </conditionalFormatting>
  <conditionalFormatting sqref="E17">
    <cfRule type="cellIs" dxfId="2900" priority="207" stopIfTrue="1" operator="equal">
      <formula>'1854'!$D$17</formula>
    </cfRule>
    <cfRule type="cellIs" dxfId="2899" priority="208" stopIfTrue="1" operator="lessThan">
      <formula>'1854'!$D$17</formula>
    </cfRule>
  </conditionalFormatting>
  <conditionalFormatting sqref="E18">
    <cfRule type="cellIs" dxfId="2898" priority="209" stopIfTrue="1" operator="equal">
      <formula>'1854'!$D$18</formula>
    </cfRule>
    <cfRule type="cellIs" dxfId="2897" priority="210" stopIfTrue="1" operator="lessThan">
      <formula>'1854'!$D$18</formula>
    </cfRule>
  </conditionalFormatting>
  <conditionalFormatting sqref="E19">
    <cfRule type="cellIs" dxfId="2896" priority="211" stopIfTrue="1" operator="equal">
      <formula>'1854'!$D$19</formula>
    </cfRule>
    <cfRule type="cellIs" dxfId="2895" priority="212" stopIfTrue="1" operator="lessThan">
      <formula>'1854'!$D$19</formula>
    </cfRule>
  </conditionalFormatting>
  <conditionalFormatting sqref="E20">
    <cfRule type="cellIs" dxfId="2894" priority="213" stopIfTrue="1" operator="equal">
      <formula>'1854'!$D$20</formula>
    </cfRule>
    <cfRule type="cellIs" dxfId="2893" priority="214" stopIfTrue="1" operator="lessThan">
      <formula>'1854'!$D$20</formula>
    </cfRule>
  </conditionalFormatting>
  <conditionalFormatting sqref="E21">
    <cfRule type="cellIs" dxfId="2892" priority="215" stopIfTrue="1" operator="equal">
      <formula>'1854'!$D$21</formula>
    </cfRule>
    <cfRule type="cellIs" dxfId="2891" priority="216" stopIfTrue="1" operator="lessThan">
      <formula>'1854'!$D$21</formula>
    </cfRule>
  </conditionalFormatting>
  <conditionalFormatting sqref="E22">
    <cfRule type="cellIs" dxfId="2890" priority="217" stopIfTrue="1" operator="equal">
      <formula>'1854'!$D$22</formula>
    </cfRule>
    <cfRule type="cellIs" dxfId="2889" priority="218" stopIfTrue="1" operator="lessThan">
      <formula>'1854'!$D$22</formula>
    </cfRule>
  </conditionalFormatting>
  <conditionalFormatting sqref="E23">
    <cfRule type="cellIs" dxfId="2888" priority="219" stopIfTrue="1" operator="equal">
      <formula>'1854'!$D$23</formula>
    </cfRule>
    <cfRule type="cellIs" dxfId="2887" priority="220" stopIfTrue="1" operator="lessThan">
      <formula>'1854'!$D$23</formula>
    </cfRule>
  </conditionalFormatting>
  <conditionalFormatting sqref="E25">
    <cfRule type="cellIs" dxfId="2886" priority="221" stopIfTrue="1" operator="equal">
      <formula>'1854'!$D$25</formula>
    </cfRule>
    <cfRule type="cellIs" dxfId="2885" priority="222" stopIfTrue="1" operator="lessThan">
      <formula>'1854'!$D$25</formula>
    </cfRule>
  </conditionalFormatting>
  <conditionalFormatting sqref="E26">
    <cfRule type="cellIs" dxfId="2884" priority="223" stopIfTrue="1" operator="equal">
      <formula>'1854'!$D$26</formula>
    </cfRule>
    <cfRule type="cellIs" dxfId="2883" priority="224" stopIfTrue="1" operator="lessThan">
      <formula>'1854'!$D$26</formula>
    </cfRule>
  </conditionalFormatting>
  <conditionalFormatting sqref="E27">
    <cfRule type="cellIs" dxfId="2882" priority="225" stopIfTrue="1" operator="equal">
      <formula>'1854'!$D$27</formula>
    </cfRule>
    <cfRule type="cellIs" dxfId="2881" priority="226" stopIfTrue="1" operator="lessThan">
      <formula>'1854'!$D$27</formula>
    </cfRule>
  </conditionalFormatting>
  <conditionalFormatting sqref="E28">
    <cfRule type="cellIs" dxfId="2880" priority="227" stopIfTrue="1" operator="equal">
      <formula>'1854'!$D$28</formula>
    </cfRule>
    <cfRule type="cellIs" dxfId="2879" priority="228" stopIfTrue="1" operator="lessThan">
      <formula>'1854'!$D$28</formula>
    </cfRule>
  </conditionalFormatting>
  <conditionalFormatting sqref="F13">
    <cfRule type="cellIs" dxfId="2878" priority="229" stopIfTrue="1" operator="equal">
      <formula>'1854'!$E$13</formula>
    </cfRule>
    <cfRule type="cellIs" dxfId="2877" priority="230" stopIfTrue="1" operator="lessThan">
      <formula>'1854'!$E$13</formula>
    </cfRule>
  </conditionalFormatting>
  <conditionalFormatting sqref="F14">
    <cfRule type="cellIs" dxfId="2876" priority="231" stopIfTrue="1" operator="equal">
      <formula>'1854'!$E$14</formula>
    </cfRule>
    <cfRule type="cellIs" dxfId="2875" priority="232" stopIfTrue="1" operator="lessThan">
      <formula>'1854'!$E$14</formula>
    </cfRule>
  </conditionalFormatting>
  <conditionalFormatting sqref="F15">
    <cfRule type="cellIs" dxfId="2874" priority="233" stopIfTrue="1" operator="equal">
      <formula>'1854'!$E$15</formula>
    </cfRule>
    <cfRule type="cellIs" dxfId="2873" priority="234" stopIfTrue="1" operator="lessThan">
      <formula>'1854'!$E$15</formula>
    </cfRule>
  </conditionalFormatting>
  <conditionalFormatting sqref="F16">
    <cfRule type="cellIs" dxfId="2872" priority="235" stopIfTrue="1" operator="equal">
      <formula>'1854'!$E$16</formula>
    </cfRule>
    <cfRule type="cellIs" dxfId="2871" priority="236" stopIfTrue="1" operator="lessThan">
      <formula>'1854'!$E$16</formula>
    </cfRule>
  </conditionalFormatting>
  <conditionalFormatting sqref="F17">
    <cfRule type="cellIs" dxfId="2870" priority="237" stopIfTrue="1" operator="equal">
      <formula>'1854'!$E$17</formula>
    </cfRule>
    <cfRule type="cellIs" dxfId="2869" priority="238" stopIfTrue="1" operator="lessThan">
      <formula>'1854'!$E$17</formula>
    </cfRule>
  </conditionalFormatting>
  <conditionalFormatting sqref="F18">
    <cfRule type="cellIs" dxfId="2868" priority="239" stopIfTrue="1" operator="equal">
      <formula>'1854'!$E$18</formula>
    </cfRule>
    <cfRule type="cellIs" dxfId="2867" priority="240" stopIfTrue="1" operator="lessThan">
      <formula>'1854'!$E$18</formula>
    </cfRule>
  </conditionalFormatting>
  <conditionalFormatting sqref="F19">
    <cfRule type="cellIs" dxfId="2866" priority="241" stopIfTrue="1" operator="equal">
      <formula>'1854'!$E$19</formula>
    </cfRule>
    <cfRule type="cellIs" dxfId="2865" priority="242" stopIfTrue="1" operator="lessThan">
      <formula>'1854'!$E$19</formula>
    </cfRule>
  </conditionalFormatting>
  <conditionalFormatting sqref="F20">
    <cfRule type="cellIs" dxfId="2864" priority="243" stopIfTrue="1" operator="equal">
      <formula>'1854'!$E$20</formula>
    </cfRule>
    <cfRule type="cellIs" dxfId="2863" priority="244" stopIfTrue="1" operator="lessThan">
      <formula>'1854'!$E$20</formula>
    </cfRule>
  </conditionalFormatting>
  <conditionalFormatting sqref="F21">
    <cfRule type="cellIs" dxfId="2862" priority="245" stopIfTrue="1" operator="equal">
      <formula>'1854'!$E$21</formula>
    </cfRule>
    <cfRule type="cellIs" dxfId="2861" priority="246" stopIfTrue="1" operator="lessThan">
      <formula>'1854'!$E$21</formula>
    </cfRule>
  </conditionalFormatting>
  <conditionalFormatting sqref="F22">
    <cfRule type="cellIs" dxfId="2860" priority="247" stopIfTrue="1" operator="equal">
      <formula>'1854'!$E$22</formula>
    </cfRule>
    <cfRule type="cellIs" dxfId="2859" priority="248" stopIfTrue="1" operator="lessThan">
      <formula>'1854'!$E$22</formula>
    </cfRule>
  </conditionalFormatting>
  <conditionalFormatting sqref="F23">
    <cfRule type="cellIs" dxfId="2858" priority="249" stopIfTrue="1" operator="equal">
      <formula>'1854'!$E$23</formula>
    </cfRule>
    <cfRule type="cellIs" dxfId="2857" priority="250" stopIfTrue="1" operator="lessThan">
      <formula>'1854'!$E$23</formula>
    </cfRule>
  </conditionalFormatting>
  <conditionalFormatting sqref="F25">
    <cfRule type="cellIs" dxfId="2856" priority="251" stopIfTrue="1" operator="equal">
      <formula>'1854'!$E$25</formula>
    </cfRule>
    <cfRule type="cellIs" dxfId="2855" priority="252" stopIfTrue="1" operator="lessThan">
      <formula>'1854'!$E$25</formula>
    </cfRule>
  </conditionalFormatting>
  <conditionalFormatting sqref="F26">
    <cfRule type="cellIs" dxfId="2854" priority="253" stopIfTrue="1" operator="equal">
      <formula>'1854'!$E$26</formula>
    </cfRule>
    <cfRule type="cellIs" dxfId="2853" priority="254" stopIfTrue="1" operator="lessThan">
      <formula>'1854'!$E$26</formula>
    </cfRule>
  </conditionalFormatting>
  <conditionalFormatting sqref="F27">
    <cfRule type="cellIs" dxfId="2852" priority="255" stopIfTrue="1" operator="equal">
      <formula>'1854'!$E$27</formula>
    </cfRule>
    <cfRule type="cellIs" dxfId="2851" priority="256" stopIfTrue="1" operator="lessThan">
      <formula>'1854'!$E$27</formula>
    </cfRule>
  </conditionalFormatting>
  <conditionalFormatting sqref="F28">
    <cfRule type="cellIs" dxfId="2850" priority="257" stopIfTrue="1" operator="equal">
      <formula>'1854'!$E$28</formula>
    </cfRule>
    <cfRule type="cellIs" dxfId="2849" priority="258" stopIfTrue="1" operator="lessThan">
      <formula>'1854'!$E$28</formula>
    </cfRule>
  </conditionalFormatting>
  <conditionalFormatting sqref="G13">
    <cfRule type="cellIs" dxfId="2848" priority="259" stopIfTrue="1" operator="equal">
      <formula>'1854'!$F$13</formula>
    </cfRule>
    <cfRule type="cellIs" dxfId="2847" priority="260" stopIfTrue="1" operator="lessThan">
      <formula>'1854'!$F$13</formula>
    </cfRule>
  </conditionalFormatting>
  <conditionalFormatting sqref="G14">
    <cfRule type="cellIs" dxfId="2846" priority="261" stopIfTrue="1" operator="equal">
      <formula>'1854'!$F$14</formula>
    </cfRule>
    <cfRule type="cellIs" dxfId="2845" priority="262" stopIfTrue="1" operator="lessThan">
      <formula>'1854'!$F$14</formula>
    </cfRule>
  </conditionalFormatting>
  <conditionalFormatting sqref="G15">
    <cfRule type="cellIs" dxfId="2844" priority="263" stopIfTrue="1" operator="equal">
      <formula>'1854'!$F$15</formula>
    </cfRule>
    <cfRule type="cellIs" dxfId="2843" priority="264" stopIfTrue="1" operator="lessThan">
      <formula>'1854'!$F$15</formula>
    </cfRule>
  </conditionalFormatting>
  <conditionalFormatting sqref="G16">
    <cfRule type="cellIs" dxfId="2842" priority="265" stopIfTrue="1" operator="equal">
      <formula>'1854'!$F$16</formula>
    </cfRule>
    <cfRule type="cellIs" dxfId="2841" priority="266" stopIfTrue="1" operator="lessThan">
      <formula>'1854'!$F$16</formula>
    </cfRule>
  </conditionalFormatting>
  <conditionalFormatting sqref="G17">
    <cfRule type="cellIs" dxfId="2840" priority="267" stopIfTrue="1" operator="equal">
      <formula>'1854'!$F$17</formula>
    </cfRule>
    <cfRule type="cellIs" dxfId="2839" priority="268" stopIfTrue="1" operator="lessThan">
      <formula>'1854'!$F$17</formula>
    </cfRule>
  </conditionalFormatting>
  <conditionalFormatting sqref="G18">
    <cfRule type="cellIs" dxfId="2838" priority="269" stopIfTrue="1" operator="equal">
      <formula>'1854'!$F$18</formula>
    </cfRule>
    <cfRule type="cellIs" dxfId="2837" priority="270" stopIfTrue="1" operator="lessThan">
      <formula>'1854'!$F$18</formula>
    </cfRule>
  </conditionalFormatting>
  <conditionalFormatting sqref="G19">
    <cfRule type="cellIs" dxfId="2836" priority="271" stopIfTrue="1" operator="equal">
      <formula>'1854'!$F$19</formula>
    </cfRule>
    <cfRule type="cellIs" dxfId="2835" priority="272" stopIfTrue="1" operator="lessThan">
      <formula>'1854'!$F$19</formula>
    </cfRule>
  </conditionalFormatting>
  <conditionalFormatting sqref="G20">
    <cfRule type="cellIs" dxfId="2834" priority="273" stopIfTrue="1" operator="equal">
      <formula>'1854'!$F$20</formula>
    </cfRule>
    <cfRule type="cellIs" dxfId="2833" priority="274" stopIfTrue="1" operator="lessThan">
      <formula>'1854'!$F$20</formula>
    </cfRule>
  </conditionalFormatting>
  <conditionalFormatting sqref="G21">
    <cfRule type="cellIs" dxfId="2832" priority="275" stopIfTrue="1" operator="equal">
      <formula>'1854'!$F$21</formula>
    </cfRule>
    <cfRule type="cellIs" dxfId="2831" priority="276" stopIfTrue="1" operator="lessThan">
      <formula>'1854'!$F$21</formula>
    </cfRule>
  </conditionalFormatting>
  <conditionalFormatting sqref="G22">
    <cfRule type="cellIs" dxfId="2830" priority="277" stopIfTrue="1" operator="equal">
      <formula>'1854'!$F$22</formula>
    </cfRule>
    <cfRule type="cellIs" dxfId="2829" priority="278" stopIfTrue="1" operator="lessThan">
      <formula>'1854'!$F$22</formula>
    </cfRule>
  </conditionalFormatting>
  <conditionalFormatting sqref="G23">
    <cfRule type="cellIs" dxfId="2828" priority="279" stopIfTrue="1" operator="equal">
      <formula>'1854'!$F$23</formula>
    </cfRule>
    <cfRule type="cellIs" dxfId="2827" priority="280" stopIfTrue="1" operator="lessThan">
      <formula>'1854'!$F$23</formula>
    </cfRule>
  </conditionalFormatting>
  <conditionalFormatting sqref="G25">
    <cfRule type="cellIs" dxfId="2826" priority="281" stopIfTrue="1" operator="equal">
      <formula>'1854'!$F$25</formula>
    </cfRule>
    <cfRule type="cellIs" dxfId="2825" priority="282" stopIfTrue="1" operator="lessThan">
      <formula>'1854'!$F$25</formula>
    </cfRule>
  </conditionalFormatting>
  <conditionalFormatting sqref="G26">
    <cfRule type="cellIs" dxfId="2824" priority="283" stopIfTrue="1" operator="equal">
      <formula>'1854'!$F$26</formula>
    </cfRule>
    <cfRule type="cellIs" dxfId="2823" priority="284" stopIfTrue="1" operator="lessThan">
      <formula>'1854'!$F$26</formula>
    </cfRule>
  </conditionalFormatting>
  <conditionalFormatting sqref="G27">
    <cfRule type="cellIs" dxfId="2822" priority="285" stopIfTrue="1" operator="equal">
      <formula>'1854'!$F$27</formula>
    </cfRule>
    <cfRule type="cellIs" dxfId="2821" priority="286" stopIfTrue="1" operator="lessThan">
      <formula>'1854'!$F$27</formula>
    </cfRule>
  </conditionalFormatting>
  <conditionalFormatting sqref="G28">
    <cfRule type="cellIs" dxfId="2820" priority="287" stopIfTrue="1" operator="equal">
      <formula>'1854'!$F$28</formula>
    </cfRule>
    <cfRule type="cellIs" dxfId="2819" priority="288" stopIfTrue="1" operator="lessThan">
      <formula>'1854'!$F$28</formula>
    </cfRule>
  </conditionalFormatting>
  <conditionalFormatting sqref="D13">
    <cfRule type="cellIs" dxfId="2818" priority="289" stopIfTrue="1" operator="equal">
      <formula>'1854'!$C$13</formula>
    </cfRule>
    <cfRule type="cellIs" dxfId="2817" priority="290" stopIfTrue="1" operator="lessThan">
      <formula>'1854'!$C$13</formula>
    </cfRule>
  </conditionalFormatting>
  <conditionalFormatting sqref="H13">
    <cfRule type="cellIs" dxfId="2816" priority="291" stopIfTrue="1" operator="equal">
      <formula>'1854'!$G$13</formula>
    </cfRule>
    <cfRule type="cellIs" dxfId="2815" priority="292" stopIfTrue="1" operator="lessThan">
      <formula>'1854'!$G$13</formula>
    </cfRule>
  </conditionalFormatting>
  <conditionalFormatting sqref="H14">
    <cfRule type="cellIs" dxfId="2814" priority="293" stopIfTrue="1" operator="equal">
      <formula>'1854'!$G$14</formula>
    </cfRule>
    <cfRule type="cellIs" dxfId="2813" priority="294" stopIfTrue="1" operator="lessThan">
      <formula>'1854'!$G$14</formula>
    </cfRule>
  </conditionalFormatting>
  <conditionalFormatting sqref="H15">
    <cfRule type="cellIs" dxfId="2812" priority="295" stopIfTrue="1" operator="equal">
      <formula>'1854'!$G$15</formula>
    </cfRule>
    <cfRule type="cellIs" dxfId="2811" priority="296" stopIfTrue="1" operator="lessThan">
      <formula>'1854'!$G$15</formula>
    </cfRule>
  </conditionalFormatting>
  <conditionalFormatting sqref="H16">
    <cfRule type="cellIs" dxfId="2810" priority="297" stopIfTrue="1" operator="equal">
      <formula>'1854'!$G$16</formula>
    </cfRule>
    <cfRule type="cellIs" dxfId="2809" priority="298" stopIfTrue="1" operator="lessThan">
      <formula>'1854'!$G$16</formula>
    </cfRule>
  </conditionalFormatting>
  <conditionalFormatting sqref="H17">
    <cfRule type="cellIs" dxfId="2808" priority="299" stopIfTrue="1" operator="equal">
      <formula>'1854'!$G$17</formula>
    </cfRule>
    <cfRule type="cellIs" dxfId="2807" priority="300" stopIfTrue="1" operator="lessThan">
      <formula>'1854'!$G$17</formula>
    </cfRule>
  </conditionalFormatting>
  <conditionalFormatting sqref="H18">
    <cfRule type="cellIs" dxfId="2806" priority="301" stopIfTrue="1" operator="equal">
      <formula>'1854'!$G$18</formula>
    </cfRule>
    <cfRule type="cellIs" dxfId="2805" priority="302" stopIfTrue="1" operator="lessThan">
      <formula>'1854'!$G$18</formula>
    </cfRule>
  </conditionalFormatting>
  <conditionalFormatting sqref="H19">
    <cfRule type="cellIs" dxfId="2804" priority="303" stopIfTrue="1" operator="equal">
      <formula>'1854'!$G$19</formula>
    </cfRule>
    <cfRule type="cellIs" dxfId="2803" priority="304" stopIfTrue="1" operator="lessThan">
      <formula>'1854'!$G$19</formula>
    </cfRule>
  </conditionalFormatting>
  <conditionalFormatting sqref="H20">
    <cfRule type="cellIs" dxfId="2802" priority="305" stopIfTrue="1" operator="equal">
      <formula>'1854'!$G$20</formula>
    </cfRule>
    <cfRule type="cellIs" dxfId="2801" priority="306" stopIfTrue="1" operator="lessThan">
      <formula>'1854'!$G$20</formula>
    </cfRule>
  </conditionalFormatting>
  <conditionalFormatting sqref="H21">
    <cfRule type="cellIs" dxfId="2800" priority="307" stopIfTrue="1" operator="equal">
      <formula>'1854'!$G$21</formula>
    </cfRule>
    <cfRule type="cellIs" dxfId="2799" priority="308" stopIfTrue="1" operator="lessThan">
      <formula>'1854'!$G$21</formula>
    </cfRule>
  </conditionalFormatting>
  <conditionalFormatting sqref="H22">
    <cfRule type="cellIs" dxfId="2798" priority="309" stopIfTrue="1" operator="equal">
      <formula>'1854'!$G$22</formula>
    </cfRule>
    <cfRule type="cellIs" dxfId="2797" priority="310" stopIfTrue="1" operator="lessThan">
      <formula>'1854'!$G$22</formula>
    </cfRule>
  </conditionalFormatting>
  <conditionalFormatting sqref="H23">
    <cfRule type="cellIs" dxfId="2796" priority="311" stopIfTrue="1" operator="equal">
      <formula>'1854'!$G$23</formula>
    </cfRule>
    <cfRule type="cellIs" dxfId="2795" priority="312" stopIfTrue="1" operator="lessThan">
      <formula>'1854'!$G$23</formula>
    </cfRule>
  </conditionalFormatting>
  <conditionalFormatting sqref="H25">
    <cfRule type="cellIs" dxfId="2794" priority="313" stopIfTrue="1" operator="equal">
      <formula>'1854'!$G$25</formula>
    </cfRule>
    <cfRule type="cellIs" dxfId="2793" priority="314" stopIfTrue="1" operator="lessThan">
      <formula>'1854'!$G$25</formula>
    </cfRule>
  </conditionalFormatting>
  <conditionalFormatting sqref="H26">
    <cfRule type="cellIs" dxfId="2792" priority="315" stopIfTrue="1" operator="equal">
      <formula>'1854'!$G$26</formula>
    </cfRule>
    <cfRule type="cellIs" dxfId="2791" priority="316" stopIfTrue="1" operator="lessThan">
      <formula>'1854'!$G$26</formula>
    </cfRule>
  </conditionalFormatting>
  <conditionalFormatting sqref="H27">
    <cfRule type="cellIs" dxfId="2790" priority="317" stopIfTrue="1" operator="equal">
      <formula>'1854'!$G$27</formula>
    </cfRule>
    <cfRule type="cellIs" dxfId="2789" priority="318" stopIfTrue="1" operator="lessThan">
      <formula>'1854'!$G$27</formula>
    </cfRule>
  </conditionalFormatting>
  <conditionalFormatting sqref="H28">
    <cfRule type="cellIs" dxfId="2788" priority="319" stopIfTrue="1" operator="equal">
      <formula>'1854'!$G$28</formula>
    </cfRule>
    <cfRule type="cellIs" dxfId="2787" priority="320" stopIfTrue="1" operator="lessThan">
      <formula>'1854'!$G$28</formula>
    </cfRule>
  </conditionalFormatting>
  <conditionalFormatting sqref="D24">
    <cfRule type="cellIs" dxfId="2786" priority="321" stopIfTrue="1" operator="equal">
      <formula>'1854'!$C$24</formula>
    </cfRule>
    <cfRule type="cellIs" dxfId="2785" priority="322" stopIfTrue="1" operator="lessThan">
      <formula>'1854'!$C$24</formula>
    </cfRule>
  </conditionalFormatting>
  <conditionalFormatting sqref="E24">
    <cfRule type="cellIs" dxfId="2784" priority="323" stopIfTrue="1" operator="equal">
      <formula>'1854'!$D$24</formula>
    </cfRule>
    <cfRule type="cellIs" dxfId="2783" priority="324" stopIfTrue="1" operator="lessThan">
      <formula>'1854'!$D$24</formula>
    </cfRule>
  </conditionalFormatting>
  <conditionalFormatting sqref="F24">
    <cfRule type="cellIs" dxfId="2782" priority="325" stopIfTrue="1" operator="equal">
      <formula>'1854'!$E$24</formula>
    </cfRule>
    <cfRule type="cellIs" dxfId="2781" priority="326" stopIfTrue="1" operator="lessThan">
      <formula>'1854'!$E$24</formula>
    </cfRule>
  </conditionalFormatting>
  <conditionalFormatting sqref="G24">
    <cfRule type="cellIs" dxfId="2780" priority="327" stopIfTrue="1" operator="equal">
      <formula>'1854'!$F$24</formula>
    </cfRule>
    <cfRule type="cellIs" dxfId="2779" priority="328" stopIfTrue="1" operator="lessThan">
      <formula>'1854'!$F$24</formula>
    </cfRule>
  </conditionalFormatting>
  <conditionalFormatting sqref="H24">
    <cfRule type="cellIs" dxfId="2778" priority="329" stopIfTrue="1" operator="equal">
      <formula>'1854'!$G$24</formula>
    </cfRule>
    <cfRule type="cellIs" dxfId="2777" priority="330" stopIfTrue="1" operator="lessThan">
      <formula>'1854'!$G$24</formula>
    </cfRule>
  </conditionalFormatting>
  <conditionalFormatting sqref="E5">
    <cfRule type="cellIs" dxfId="2776" priority="331" stopIfTrue="1" operator="equal">
      <formula>'1854'!$D$5</formula>
    </cfRule>
    <cfRule type="cellIs" dxfId="2775" priority="332" stopIfTrue="1" operator="lessThan">
      <formula>'1854'!$D$5</formula>
    </cfRule>
  </conditionalFormatting>
  <conditionalFormatting sqref="G5">
    <cfRule type="cellIs" dxfId="2774" priority="333" stopIfTrue="1" operator="equal">
      <formula>'1854'!$F$5</formula>
    </cfRule>
    <cfRule type="cellIs" dxfId="2773" priority="334" stopIfTrue="1" operator="lessThan">
      <formula>'1854'!$F$5</formula>
    </cfRule>
  </conditionalFormatting>
  <conditionalFormatting sqref="G4">
    <cfRule type="cellIs" dxfId="2772" priority="335" stopIfTrue="1" operator="equal">
      <formula>'1854'!$F$4</formula>
    </cfRule>
  </conditionalFormatting>
  <conditionalFormatting sqref="J29 D29:H29 L29:R29">
    <cfRule type="cellIs" dxfId="2771" priority="336" stopIfTrue="1" operator="equal">
      <formula>0</formula>
    </cfRule>
  </conditionalFormatting>
  <conditionalFormatting sqref="I13">
    <cfRule type="cellIs" dxfId="2770" priority="337" stopIfTrue="1" operator="equal">
      <formula>'1854'!$H$13</formula>
    </cfRule>
    <cfRule type="cellIs" dxfId="2769" priority="338" stopIfTrue="1" operator="lessThan">
      <formula>'1854'!$H$13</formula>
    </cfRule>
  </conditionalFormatting>
  <conditionalFormatting sqref="I14">
    <cfRule type="cellIs" dxfId="2768" priority="339" stopIfTrue="1" operator="equal">
      <formula>'1854'!$H$14</formula>
    </cfRule>
    <cfRule type="cellIs" dxfId="2767" priority="340" stopIfTrue="1" operator="lessThan">
      <formula>'1854'!$H$14</formula>
    </cfRule>
  </conditionalFormatting>
  <conditionalFormatting sqref="I15">
    <cfRule type="cellIs" dxfId="2766" priority="341" stopIfTrue="1" operator="equal">
      <formula>'1854'!$H$15</formula>
    </cfRule>
    <cfRule type="cellIs" dxfId="2765" priority="342" stopIfTrue="1" operator="lessThan">
      <formula>'1854'!$H$15</formula>
    </cfRule>
  </conditionalFormatting>
  <conditionalFormatting sqref="I16">
    <cfRule type="cellIs" dxfId="2764" priority="343" stopIfTrue="1" operator="equal">
      <formula>'1854'!$H$16</formula>
    </cfRule>
    <cfRule type="cellIs" dxfId="2763" priority="344" stopIfTrue="1" operator="lessThan">
      <formula>'1854'!$H$16</formula>
    </cfRule>
  </conditionalFormatting>
  <conditionalFormatting sqref="I17">
    <cfRule type="cellIs" dxfId="2762" priority="345" stopIfTrue="1" operator="equal">
      <formula>'1854'!$H$17</formula>
    </cfRule>
    <cfRule type="cellIs" dxfId="2761" priority="346" stopIfTrue="1" operator="lessThan">
      <formula>'1854'!$H$17</formula>
    </cfRule>
  </conditionalFormatting>
  <conditionalFormatting sqref="I18">
    <cfRule type="cellIs" dxfId="2760" priority="347" stopIfTrue="1" operator="equal">
      <formula>'1854'!$H$18</formula>
    </cfRule>
    <cfRule type="cellIs" dxfId="2759" priority="348" stopIfTrue="1" operator="lessThan">
      <formula>'1854'!$H$18</formula>
    </cfRule>
  </conditionalFormatting>
  <conditionalFormatting sqref="I19">
    <cfRule type="cellIs" dxfId="2758" priority="349" stopIfTrue="1" operator="equal">
      <formula>'1854'!$H$19</formula>
    </cfRule>
    <cfRule type="cellIs" dxfId="2757" priority="350" stopIfTrue="1" operator="lessThan">
      <formula>'1854'!$H$19</formula>
    </cfRule>
  </conditionalFormatting>
  <conditionalFormatting sqref="I20">
    <cfRule type="cellIs" dxfId="2756" priority="351" stopIfTrue="1" operator="equal">
      <formula>'1854'!$H$20</formula>
    </cfRule>
    <cfRule type="cellIs" dxfId="2755" priority="352" stopIfTrue="1" operator="lessThan">
      <formula>'1854'!$H$20</formula>
    </cfRule>
  </conditionalFormatting>
  <conditionalFormatting sqref="I21">
    <cfRule type="cellIs" dxfId="2754" priority="353" stopIfTrue="1" operator="equal">
      <formula>'1854'!$H$21</formula>
    </cfRule>
    <cfRule type="cellIs" dxfId="2753" priority="354" stopIfTrue="1" operator="lessThan">
      <formula>'1854'!$H$21</formula>
    </cfRule>
  </conditionalFormatting>
  <conditionalFormatting sqref="I22">
    <cfRule type="cellIs" dxfId="2752" priority="355" stopIfTrue="1" operator="equal">
      <formula>'1854'!$H$22</formula>
    </cfRule>
    <cfRule type="cellIs" dxfId="2751" priority="356" stopIfTrue="1" operator="lessThan">
      <formula>'1854'!$H$22</formula>
    </cfRule>
  </conditionalFormatting>
  <conditionalFormatting sqref="I23">
    <cfRule type="cellIs" dxfId="2750" priority="357" stopIfTrue="1" operator="equal">
      <formula>'1854'!$H$23</formula>
    </cfRule>
    <cfRule type="cellIs" dxfId="2749" priority="358" stopIfTrue="1" operator="lessThan">
      <formula>'1854'!$H$23</formula>
    </cfRule>
  </conditionalFormatting>
  <conditionalFormatting sqref="I24">
    <cfRule type="cellIs" dxfId="2748" priority="359" stopIfTrue="1" operator="equal">
      <formula>'1854'!$H$24</formula>
    </cfRule>
    <cfRule type="cellIs" dxfId="2747" priority="360" stopIfTrue="1" operator="lessThan">
      <formula>'1854'!$H$24</formula>
    </cfRule>
  </conditionalFormatting>
  <conditionalFormatting sqref="I25">
    <cfRule type="cellIs" dxfId="2746" priority="361" stopIfTrue="1" operator="equal">
      <formula>'1854'!$H$25</formula>
    </cfRule>
    <cfRule type="cellIs" dxfId="2745" priority="362" stopIfTrue="1" operator="lessThan">
      <formula>'1854'!$H$25</formula>
    </cfRule>
  </conditionalFormatting>
  <conditionalFormatting sqref="I26">
    <cfRule type="cellIs" dxfId="2744" priority="363" stopIfTrue="1" operator="equal">
      <formula>'1854'!$H$26</formula>
    </cfRule>
    <cfRule type="cellIs" dxfId="2743" priority="364" stopIfTrue="1" operator="lessThan">
      <formula>'1854'!$H$26</formula>
    </cfRule>
  </conditionalFormatting>
  <conditionalFormatting sqref="I27">
    <cfRule type="cellIs" dxfId="2742" priority="365" stopIfTrue="1" operator="equal">
      <formula>'1854'!$H$27</formula>
    </cfRule>
    <cfRule type="cellIs" dxfId="2741" priority="366" stopIfTrue="1" operator="lessThan">
      <formula>'1854'!$H$27</formula>
    </cfRule>
    <cfRule type="cellIs" dxfId="2740" priority="367" stopIfTrue="1" operator="lessThan">
      <formula>'1854'!$H$27</formula>
    </cfRule>
  </conditionalFormatting>
  <conditionalFormatting sqref="I28">
    <cfRule type="cellIs" dxfId="2739" priority="368" stopIfTrue="1" operator="equal">
      <formula>'1854'!$H$28</formula>
    </cfRule>
    <cfRule type="cellIs" dxfId="2738" priority="369" stopIfTrue="1" operator="lessThan">
      <formula>'1854'!$H$28</formula>
    </cfRule>
  </conditionalFormatting>
  <conditionalFormatting sqref="I29">
    <cfRule type="cellIs" dxfId="2737" priority="370" stopIfTrue="1" operator="equal">
      <formula>'1854'!$H$29</formula>
    </cfRule>
    <cfRule type="cellIs" dxfId="2736" priority="371" stopIfTrue="1" operator="lessThan">
      <formula>'1854'!$H$29</formula>
    </cfRule>
  </conditionalFormatting>
  <conditionalFormatting sqref="J13">
    <cfRule type="cellIs" dxfId="2735" priority="372" stopIfTrue="1" operator="equal">
      <formula>'1854'!$I$13</formula>
    </cfRule>
    <cfRule type="cellIs" dxfId="2734" priority="373" stopIfTrue="1" operator="lessThan">
      <formula>'1854'!$I$13</formula>
    </cfRule>
  </conditionalFormatting>
  <conditionalFormatting sqref="J14">
    <cfRule type="cellIs" dxfId="2733" priority="374" stopIfTrue="1" operator="equal">
      <formula>'1854'!$I$14</formula>
    </cfRule>
    <cfRule type="cellIs" dxfId="2732" priority="375" stopIfTrue="1" operator="lessThan">
      <formula>'1854'!$I$14</formula>
    </cfRule>
  </conditionalFormatting>
  <conditionalFormatting sqref="J15">
    <cfRule type="cellIs" dxfId="2731" priority="376" stopIfTrue="1" operator="equal">
      <formula>'1854'!$I$15</formula>
    </cfRule>
    <cfRule type="cellIs" dxfId="2730" priority="377" stopIfTrue="1" operator="lessThan">
      <formula>'1854'!$I$15</formula>
    </cfRule>
  </conditionalFormatting>
  <conditionalFormatting sqref="J16">
    <cfRule type="cellIs" dxfId="2729" priority="378" stopIfTrue="1" operator="equal">
      <formula>'1854'!$I$16</formula>
    </cfRule>
    <cfRule type="cellIs" dxfId="2728" priority="379" stopIfTrue="1" operator="lessThan">
      <formula>'1854'!$I$16</formula>
    </cfRule>
  </conditionalFormatting>
  <conditionalFormatting sqref="J17">
    <cfRule type="cellIs" dxfId="2727" priority="380" stopIfTrue="1" operator="equal">
      <formula>'1854'!$I$17</formula>
    </cfRule>
    <cfRule type="cellIs" dxfId="2726" priority="381" stopIfTrue="1" operator="lessThan">
      <formula>'1854'!$I$17</formula>
    </cfRule>
  </conditionalFormatting>
  <conditionalFormatting sqref="J18">
    <cfRule type="cellIs" dxfId="2725" priority="382" stopIfTrue="1" operator="equal">
      <formula>'1854'!$I$18</formula>
    </cfRule>
    <cfRule type="cellIs" dxfId="2724" priority="383" stopIfTrue="1" operator="lessThan">
      <formula>'1854'!$I$18</formula>
    </cfRule>
  </conditionalFormatting>
  <conditionalFormatting sqref="J19">
    <cfRule type="cellIs" dxfId="2723" priority="384" stopIfTrue="1" operator="equal">
      <formula>'1854'!$I$19</formula>
    </cfRule>
    <cfRule type="cellIs" dxfId="2722" priority="385" stopIfTrue="1" operator="lessThan">
      <formula>'1854'!$I$19</formula>
    </cfRule>
  </conditionalFormatting>
  <conditionalFormatting sqref="J20">
    <cfRule type="cellIs" dxfId="2721" priority="386" stopIfTrue="1" operator="equal">
      <formula>'1854'!$I$20</formula>
    </cfRule>
    <cfRule type="cellIs" dxfId="2720" priority="387" stopIfTrue="1" operator="lessThan">
      <formula>'1854'!$I$20</formula>
    </cfRule>
  </conditionalFormatting>
  <conditionalFormatting sqref="J21">
    <cfRule type="cellIs" dxfId="2719" priority="388" stopIfTrue="1" operator="equal">
      <formula>'1854'!$I$21</formula>
    </cfRule>
    <cfRule type="cellIs" dxfId="2718" priority="389" stopIfTrue="1" operator="lessThan">
      <formula>'1854'!$I$21</formula>
    </cfRule>
  </conditionalFormatting>
  <conditionalFormatting sqref="J22">
    <cfRule type="cellIs" dxfId="2717" priority="390" stopIfTrue="1" operator="equal">
      <formula>'1854'!$I$22</formula>
    </cfRule>
    <cfRule type="cellIs" dxfId="2716" priority="391" stopIfTrue="1" operator="lessThan">
      <formula>'1854'!$I$22</formula>
    </cfRule>
  </conditionalFormatting>
  <conditionalFormatting sqref="J23">
    <cfRule type="cellIs" dxfId="2715" priority="392" stopIfTrue="1" operator="equal">
      <formula>'1854'!$I$23</formula>
    </cfRule>
    <cfRule type="cellIs" dxfId="2714" priority="393" stopIfTrue="1" operator="lessThan">
      <formula>'1854'!$I$23</formula>
    </cfRule>
  </conditionalFormatting>
  <conditionalFormatting sqref="J24">
    <cfRule type="cellIs" dxfId="2713" priority="394" stopIfTrue="1" operator="equal">
      <formula>'1854'!$I$24</formula>
    </cfRule>
    <cfRule type="cellIs" dxfId="2712" priority="395" stopIfTrue="1" operator="lessThan">
      <formula>'1854'!$I$24</formula>
    </cfRule>
  </conditionalFormatting>
  <conditionalFormatting sqref="J25">
    <cfRule type="cellIs" dxfId="2711" priority="396" stopIfTrue="1" operator="equal">
      <formula>'1854'!$I$25</formula>
    </cfRule>
    <cfRule type="cellIs" dxfId="2710" priority="397" stopIfTrue="1" operator="lessThan">
      <formula>'1854'!$I$25</formula>
    </cfRule>
  </conditionalFormatting>
  <conditionalFormatting sqref="J26">
    <cfRule type="cellIs" dxfId="2709" priority="398" stopIfTrue="1" operator="equal">
      <formula>'1854'!$I$26</formula>
    </cfRule>
    <cfRule type="cellIs" dxfId="2708" priority="399" stopIfTrue="1" operator="lessThan">
      <formula>'1854'!$I$26</formula>
    </cfRule>
  </conditionalFormatting>
  <conditionalFormatting sqref="J27">
    <cfRule type="cellIs" dxfId="2707" priority="400" stopIfTrue="1" operator="equal">
      <formula>'1854'!$I$27</formula>
    </cfRule>
    <cfRule type="cellIs" dxfId="2706" priority="401" stopIfTrue="1" operator="lessThan">
      <formula>'1854'!$I$27</formula>
    </cfRule>
  </conditionalFormatting>
  <conditionalFormatting sqref="J28">
    <cfRule type="cellIs" dxfId="2705" priority="402" stopIfTrue="1" operator="equal">
      <formula>'1854'!$I$28</formula>
    </cfRule>
    <cfRule type="cellIs" dxfId="2704" priority="403" stopIfTrue="1" operator="lessThan">
      <formula>'1854'!$I$28</formula>
    </cfRule>
  </conditionalFormatting>
  <conditionalFormatting sqref="K4">
    <cfRule type="cellIs" dxfId="2703" priority="404" stopIfTrue="1" operator="equal">
      <formula>'1854'!$J$4</formula>
    </cfRule>
    <cfRule type="cellIs" dxfId="2702" priority="405" stopIfTrue="1" operator="lessThan">
      <formula>'1854'!$J$4</formula>
    </cfRule>
  </conditionalFormatting>
  <conditionalFormatting sqref="K5">
    <cfRule type="cellIs" dxfId="2701" priority="406" stopIfTrue="1" operator="equal">
      <formula>'1854'!$J$5</formula>
    </cfRule>
    <cfRule type="cellIs" dxfId="2700" priority="407" stopIfTrue="1" operator="lessThan">
      <formula>'1854'!$J$5</formula>
    </cfRule>
  </conditionalFormatting>
  <conditionalFormatting sqref="K6">
    <cfRule type="cellIs" dxfId="2699" priority="408" stopIfTrue="1" operator="equal">
      <formula>'1854'!$J$6</formula>
    </cfRule>
    <cfRule type="cellIs" dxfId="2698" priority="409" stopIfTrue="1" operator="lessThan">
      <formula>'1854'!$J$6</formula>
    </cfRule>
  </conditionalFormatting>
  <conditionalFormatting sqref="K7">
    <cfRule type="cellIs" dxfId="2697" priority="410" stopIfTrue="1" operator="equal">
      <formula>'1854'!$J$7</formula>
    </cfRule>
    <cfRule type="cellIs" dxfId="2696" priority="411" stopIfTrue="1" operator="lessThan">
      <formula>'1854'!$J$7</formula>
    </cfRule>
  </conditionalFormatting>
  <conditionalFormatting sqref="K8">
    <cfRule type="cellIs" dxfId="2695" priority="412" stopIfTrue="1" operator="equal">
      <formula>'1854'!$J$8</formula>
    </cfRule>
    <cfRule type="cellIs" dxfId="2694" priority="413" stopIfTrue="1" operator="lessThan">
      <formula>'1854'!$J$8</formula>
    </cfRule>
  </conditionalFormatting>
  <conditionalFormatting sqref="K9">
    <cfRule type="cellIs" dxfId="2693" priority="414" stopIfTrue="1" operator="equal">
      <formula>'1854'!$J$9</formula>
    </cfRule>
    <cfRule type="cellIs" dxfId="2692" priority="415" stopIfTrue="1" operator="lessThan">
      <formula>'1854'!$J$9</formula>
    </cfRule>
  </conditionalFormatting>
  <conditionalFormatting sqref="K10">
    <cfRule type="cellIs" dxfId="2691" priority="416" stopIfTrue="1" operator="equal">
      <formula>'1854'!$J$10</formula>
    </cfRule>
    <cfRule type="cellIs" dxfId="2690" priority="417" stopIfTrue="1" operator="lessThan">
      <formula>'1854'!$J$10</formula>
    </cfRule>
  </conditionalFormatting>
  <conditionalFormatting sqref="K11">
    <cfRule type="cellIs" dxfId="2689" priority="418" stopIfTrue="1" operator="equal">
      <formula>'1854'!$J$11</formula>
    </cfRule>
    <cfRule type="cellIs" dxfId="2688" priority="419" stopIfTrue="1" operator="lessThan">
      <formula>'1854'!$J$11</formula>
    </cfRule>
  </conditionalFormatting>
  <conditionalFormatting sqref="K12">
    <cfRule type="cellIs" dxfId="2687" priority="420" stopIfTrue="1" operator="equal">
      <formula>'1854'!$J$12</formula>
    </cfRule>
    <cfRule type="cellIs" dxfId="2686" priority="421" stopIfTrue="1" operator="lessThan">
      <formula>'1854'!$J$12</formula>
    </cfRule>
  </conditionalFormatting>
  <conditionalFormatting sqref="K13">
    <cfRule type="cellIs" dxfId="2685" priority="422" stopIfTrue="1" operator="equal">
      <formula>'1854'!$J$13</formula>
    </cfRule>
    <cfRule type="cellIs" dxfId="2684" priority="423" stopIfTrue="1" operator="lessThan">
      <formula>'1854'!$J$13</formula>
    </cfRule>
  </conditionalFormatting>
  <conditionalFormatting sqref="K14">
    <cfRule type="cellIs" dxfId="2683" priority="424" stopIfTrue="1" operator="equal">
      <formula>'1854'!$J$14</formula>
    </cfRule>
    <cfRule type="cellIs" dxfId="2682" priority="425" stopIfTrue="1" operator="lessThan">
      <formula>'1854'!$J$14</formula>
    </cfRule>
  </conditionalFormatting>
  <conditionalFormatting sqref="K15">
    <cfRule type="cellIs" dxfId="2681" priority="426" stopIfTrue="1" operator="equal">
      <formula>'1854'!$J$15</formula>
    </cfRule>
    <cfRule type="cellIs" dxfId="2680" priority="427" stopIfTrue="1" operator="lessThan">
      <formula>'1854'!$J$15</formula>
    </cfRule>
  </conditionalFormatting>
  <conditionalFormatting sqref="K16">
    <cfRule type="cellIs" dxfId="2679" priority="428" stopIfTrue="1" operator="equal">
      <formula>'1854'!$J$16</formula>
    </cfRule>
    <cfRule type="cellIs" dxfId="2678" priority="429" stopIfTrue="1" operator="lessThan">
      <formula>'1854'!$J$16</formula>
    </cfRule>
  </conditionalFormatting>
  <conditionalFormatting sqref="K17">
    <cfRule type="cellIs" dxfId="2677" priority="430" stopIfTrue="1" operator="equal">
      <formula>'1854'!$J$17</formula>
    </cfRule>
    <cfRule type="cellIs" dxfId="2676" priority="431" stopIfTrue="1" operator="lessThan">
      <formula>'1854'!$J$17</formula>
    </cfRule>
  </conditionalFormatting>
  <conditionalFormatting sqref="K18">
    <cfRule type="cellIs" dxfId="2675" priority="432" stopIfTrue="1" operator="equal">
      <formula>'1854'!$J$18</formula>
    </cfRule>
    <cfRule type="cellIs" dxfId="2674" priority="433" stopIfTrue="1" operator="lessThan">
      <formula>'1854'!$J$18</formula>
    </cfRule>
  </conditionalFormatting>
  <conditionalFormatting sqref="K19">
    <cfRule type="cellIs" dxfId="2673" priority="434" stopIfTrue="1" operator="equal">
      <formula>'1854'!$J$19</formula>
    </cfRule>
    <cfRule type="cellIs" dxfId="2672" priority="435" stopIfTrue="1" operator="lessThan">
      <formula>'1854'!$J$19</formula>
    </cfRule>
  </conditionalFormatting>
  <conditionalFormatting sqref="K20">
    <cfRule type="cellIs" dxfId="2671" priority="436" stopIfTrue="1" operator="equal">
      <formula>'1854'!$J$20</formula>
    </cfRule>
    <cfRule type="cellIs" dxfId="2670" priority="437" stopIfTrue="1" operator="lessThan">
      <formula>'1854'!$J$20</formula>
    </cfRule>
  </conditionalFormatting>
  <conditionalFormatting sqref="K21">
    <cfRule type="cellIs" dxfId="2669" priority="438" stopIfTrue="1" operator="equal">
      <formula>'1854'!$J$21</formula>
    </cfRule>
    <cfRule type="cellIs" dxfId="2668" priority="439" stopIfTrue="1" operator="lessThan">
      <formula>'1854'!$J$21</formula>
    </cfRule>
  </conditionalFormatting>
  <conditionalFormatting sqref="K22">
    <cfRule type="cellIs" dxfId="2667" priority="440" stopIfTrue="1" operator="equal">
      <formula>'1854'!$J$22</formula>
    </cfRule>
    <cfRule type="cellIs" dxfId="2666" priority="441" stopIfTrue="1" operator="lessThan">
      <formula>'1854'!$J$22</formula>
    </cfRule>
  </conditionalFormatting>
  <conditionalFormatting sqref="K23">
    <cfRule type="cellIs" dxfId="2665" priority="442" stopIfTrue="1" operator="equal">
      <formula>'1854'!$J$23</formula>
    </cfRule>
    <cfRule type="cellIs" dxfId="2664" priority="443" stopIfTrue="1" operator="lessThan">
      <formula>'1854'!$J$23</formula>
    </cfRule>
  </conditionalFormatting>
  <conditionalFormatting sqref="K24">
    <cfRule type="cellIs" dxfId="2663" priority="444" stopIfTrue="1" operator="equal">
      <formula>'1854'!$J$24</formula>
    </cfRule>
    <cfRule type="cellIs" dxfId="2662" priority="445" stopIfTrue="1" operator="lessThan">
      <formula>'1854'!$J$24</formula>
    </cfRule>
  </conditionalFormatting>
  <conditionalFormatting sqref="K25">
    <cfRule type="cellIs" dxfId="2661" priority="446" stopIfTrue="1" operator="equal">
      <formula>'1854'!$J$25</formula>
    </cfRule>
    <cfRule type="cellIs" dxfId="2660" priority="447" stopIfTrue="1" operator="lessThan">
      <formula>'1854'!$J$25</formula>
    </cfRule>
  </conditionalFormatting>
  <conditionalFormatting sqref="K26">
    <cfRule type="cellIs" dxfId="2659" priority="448" stopIfTrue="1" operator="equal">
      <formula>'1854'!$J$26</formula>
    </cfRule>
    <cfRule type="cellIs" dxfId="2658" priority="449" stopIfTrue="1" operator="lessThan">
      <formula>'1854'!$J$26</formula>
    </cfRule>
  </conditionalFormatting>
  <conditionalFormatting sqref="K27">
    <cfRule type="cellIs" dxfId="2657" priority="450" stopIfTrue="1" operator="equal">
      <formula>'1854'!$J$27</formula>
    </cfRule>
    <cfRule type="cellIs" dxfId="2656" priority="451" stopIfTrue="1" operator="lessThan">
      <formula>'1854'!$J$27</formula>
    </cfRule>
  </conditionalFormatting>
  <conditionalFormatting sqref="K28">
    <cfRule type="cellIs" dxfId="2655" priority="452" stopIfTrue="1" operator="lessThan">
      <formula>'1854'!$J$28</formula>
    </cfRule>
    <cfRule type="cellIs" dxfId="2654" priority="453" stopIfTrue="1" operator="equal">
      <formula>'1854'!$J$28</formula>
    </cfRule>
  </conditionalFormatting>
  <conditionalFormatting sqref="K29">
    <cfRule type="cellIs" dxfId="2653" priority="454" stopIfTrue="1" operator="equal">
      <formula>'1854'!$J$29</formula>
    </cfRule>
    <cfRule type="cellIs" dxfId="2652" priority="455" stopIfTrue="1" operator="lessThan">
      <formula>'1854'!$J$29</formula>
    </cfRule>
  </conditionalFormatting>
  <conditionalFormatting sqref="L4:M4">
    <cfRule type="cellIs" dxfId="2651" priority="456" stopIfTrue="1" operator="equal">
      <formula>'1854'!$K$4</formula>
    </cfRule>
    <cfRule type="cellIs" dxfId="2650" priority="457" stopIfTrue="1" operator="lessThan">
      <formula>'1854'!$K$4</formula>
    </cfRule>
  </conditionalFormatting>
  <conditionalFormatting sqref="L5:M5">
    <cfRule type="cellIs" dxfId="2649" priority="458" stopIfTrue="1" operator="equal">
      <formula>'1854'!$K$5</formula>
    </cfRule>
    <cfRule type="cellIs" dxfId="2648" priority="459" stopIfTrue="1" operator="lessThan">
      <formula>'1854'!$K$5</formula>
    </cfRule>
  </conditionalFormatting>
  <conditionalFormatting sqref="L6:M6">
    <cfRule type="cellIs" dxfId="2647" priority="460" stopIfTrue="1" operator="equal">
      <formula>'1854'!$K$6</formula>
    </cfRule>
    <cfRule type="cellIs" dxfId="2646" priority="461" stopIfTrue="1" operator="lessThan">
      <formula>'1854'!$K$6</formula>
    </cfRule>
  </conditionalFormatting>
  <conditionalFormatting sqref="L7:M7">
    <cfRule type="cellIs" dxfId="2645" priority="462" stopIfTrue="1" operator="equal">
      <formula>'1854'!$K$7</formula>
    </cfRule>
    <cfRule type="cellIs" dxfId="2644" priority="463" stopIfTrue="1" operator="lessThan">
      <formula>'1854'!$K$7</formula>
    </cfRule>
  </conditionalFormatting>
  <conditionalFormatting sqref="L8:M8">
    <cfRule type="cellIs" dxfId="2643" priority="464" stopIfTrue="1" operator="equal">
      <formula>'1854'!$K$8</formula>
    </cfRule>
    <cfRule type="cellIs" dxfId="2642" priority="465" stopIfTrue="1" operator="lessThan">
      <formula>'1854'!$K$8</formula>
    </cfRule>
  </conditionalFormatting>
  <conditionalFormatting sqref="L9:M9">
    <cfRule type="cellIs" dxfId="2641" priority="466" stopIfTrue="1" operator="equal">
      <formula>'1854'!$K$9</formula>
    </cfRule>
    <cfRule type="cellIs" dxfId="2640" priority="467" stopIfTrue="1" operator="lessThan">
      <formula>'1854'!$K$9</formula>
    </cfRule>
  </conditionalFormatting>
  <conditionalFormatting sqref="L10:M10">
    <cfRule type="cellIs" dxfId="2639" priority="468" stopIfTrue="1" operator="equal">
      <formula>'1854'!$K$10</formula>
    </cfRule>
    <cfRule type="cellIs" dxfId="2638" priority="469" stopIfTrue="1" operator="lessThan">
      <formula>'1854'!$K$10</formula>
    </cfRule>
  </conditionalFormatting>
  <conditionalFormatting sqref="L12:M12">
    <cfRule type="cellIs" dxfId="2637" priority="470" stopIfTrue="1" operator="equal">
      <formula>'1854'!$K$12</formula>
    </cfRule>
    <cfRule type="cellIs" dxfId="2636" priority="471" stopIfTrue="1" operator="lessThan">
      <formula>'1854'!$K$12</formula>
    </cfRule>
  </conditionalFormatting>
  <conditionalFormatting sqref="L13:M13">
    <cfRule type="cellIs" dxfId="2635" priority="472" stopIfTrue="1" operator="equal">
      <formula>'1854'!$K$13</formula>
    </cfRule>
    <cfRule type="cellIs" dxfId="2634" priority="473" stopIfTrue="1" operator="lessThan">
      <formula>'1854'!$K$13</formula>
    </cfRule>
  </conditionalFormatting>
  <conditionalFormatting sqref="L14:M14">
    <cfRule type="cellIs" dxfId="2633" priority="474" stopIfTrue="1" operator="equal">
      <formula>'1854'!$K$14</formula>
    </cfRule>
    <cfRule type="cellIs" dxfId="2632" priority="475" stopIfTrue="1" operator="lessThan">
      <formula>'1854'!$K$14</formula>
    </cfRule>
  </conditionalFormatting>
  <conditionalFormatting sqref="L15:M15">
    <cfRule type="cellIs" dxfId="2631" priority="476" stopIfTrue="1" operator="equal">
      <formula>'1854'!$K$15</formula>
    </cfRule>
    <cfRule type="cellIs" dxfId="2630" priority="477" stopIfTrue="1" operator="lessThan">
      <formula>'1854'!$K$15</formula>
    </cfRule>
  </conditionalFormatting>
  <conditionalFormatting sqref="L16:M16">
    <cfRule type="cellIs" dxfId="2629" priority="478" stopIfTrue="1" operator="equal">
      <formula>'1854'!$K$16</formula>
    </cfRule>
    <cfRule type="cellIs" dxfId="2628" priority="479" stopIfTrue="1" operator="lessThan">
      <formula>'1854'!$K$16</formula>
    </cfRule>
  </conditionalFormatting>
  <conditionalFormatting sqref="L17:M17">
    <cfRule type="cellIs" dxfId="2627" priority="480" stopIfTrue="1" operator="equal">
      <formula>'1854'!$K$17</formula>
    </cfRule>
    <cfRule type="cellIs" dxfId="2626" priority="481" stopIfTrue="1" operator="lessThan">
      <formula>'1854'!$K$17</formula>
    </cfRule>
  </conditionalFormatting>
  <conditionalFormatting sqref="L18:M18">
    <cfRule type="cellIs" dxfId="2625" priority="482" stopIfTrue="1" operator="equal">
      <formula>'1854'!$K$18</formula>
    </cfRule>
    <cfRule type="cellIs" dxfId="2624" priority="483" stopIfTrue="1" operator="lessThan">
      <formula>'1854'!$K$18</formula>
    </cfRule>
  </conditionalFormatting>
  <conditionalFormatting sqref="L19:M19">
    <cfRule type="cellIs" dxfId="2623" priority="484" stopIfTrue="1" operator="equal">
      <formula>'1854'!$K$19</formula>
    </cfRule>
    <cfRule type="cellIs" dxfId="2622" priority="485" stopIfTrue="1" operator="lessThan">
      <formula>'1854'!$K$19</formula>
    </cfRule>
  </conditionalFormatting>
  <conditionalFormatting sqref="L20:M20">
    <cfRule type="cellIs" dxfId="2621" priority="486" stopIfTrue="1" operator="equal">
      <formula>'1854'!$K$20</formula>
    </cfRule>
    <cfRule type="cellIs" dxfId="2620" priority="487" stopIfTrue="1" operator="lessThan">
      <formula>'1854'!$K$20</formula>
    </cfRule>
  </conditionalFormatting>
  <conditionalFormatting sqref="L21:M21">
    <cfRule type="cellIs" dxfId="2619" priority="488" stopIfTrue="1" operator="equal">
      <formula>'1854'!$K$21</formula>
    </cfRule>
    <cfRule type="cellIs" dxfId="2618" priority="489" stopIfTrue="1" operator="lessThan">
      <formula>'1854'!$K$21</formula>
    </cfRule>
  </conditionalFormatting>
  <conditionalFormatting sqref="L11:M11">
    <cfRule type="cellIs" dxfId="2617" priority="490" stopIfTrue="1" operator="equal">
      <formula>'1854'!$K$11</formula>
    </cfRule>
    <cfRule type="cellIs" dxfId="2616" priority="491" stopIfTrue="1" operator="lessThan">
      <formula>'1854'!$K$11</formula>
    </cfRule>
  </conditionalFormatting>
  <conditionalFormatting sqref="L22:M22">
    <cfRule type="cellIs" dxfId="2615" priority="492" stopIfTrue="1" operator="equal">
      <formula>'1854'!$K$22</formula>
    </cfRule>
    <cfRule type="cellIs" dxfId="2614" priority="493" stopIfTrue="1" operator="lessThan">
      <formula>'1854'!$K$22</formula>
    </cfRule>
  </conditionalFormatting>
  <conditionalFormatting sqref="L23:M23">
    <cfRule type="cellIs" dxfId="2613" priority="494" stopIfTrue="1" operator="equal">
      <formula>'1854'!$K$23</formula>
    </cfRule>
    <cfRule type="cellIs" dxfId="2612" priority="495" stopIfTrue="1" operator="lessThan">
      <formula>'1854'!$K$23</formula>
    </cfRule>
  </conditionalFormatting>
  <conditionalFormatting sqref="L24:M24">
    <cfRule type="cellIs" dxfId="2611" priority="496" stopIfTrue="1" operator="equal">
      <formula>'1854'!$K$24</formula>
    </cfRule>
    <cfRule type="cellIs" dxfId="2610" priority="497" stopIfTrue="1" operator="lessThan">
      <formula>'1854'!$K$24</formula>
    </cfRule>
  </conditionalFormatting>
  <conditionalFormatting sqref="L25:M25">
    <cfRule type="cellIs" dxfId="2609" priority="498" stopIfTrue="1" operator="equal">
      <formula>'1854'!$K$25</formula>
    </cfRule>
    <cfRule type="cellIs" dxfId="2608" priority="499" stopIfTrue="1" operator="lessThan">
      <formula>'1854'!$K$25</formula>
    </cfRule>
  </conditionalFormatting>
  <conditionalFormatting sqref="L26:M26">
    <cfRule type="cellIs" dxfId="2607" priority="500" stopIfTrue="1" operator="equal">
      <formula>'1854'!$K$26</formula>
    </cfRule>
    <cfRule type="cellIs" dxfId="2606" priority="501" stopIfTrue="1" operator="lessThan">
      <formula>'1854'!$K$26</formula>
    </cfRule>
  </conditionalFormatting>
  <conditionalFormatting sqref="L27:M27">
    <cfRule type="cellIs" dxfId="2605" priority="502" stopIfTrue="1" operator="equal">
      <formula>'1854'!$K$27</formula>
    </cfRule>
    <cfRule type="cellIs" dxfId="2604" priority="503" stopIfTrue="1" operator="lessThan">
      <formula>'1854'!$K$27</formula>
    </cfRule>
  </conditionalFormatting>
  <conditionalFormatting sqref="L28:M28">
    <cfRule type="cellIs" dxfId="2603" priority="504" stopIfTrue="1" operator="equal">
      <formula>'1854'!$K$28</formula>
    </cfRule>
    <cfRule type="cellIs" dxfId="2602" priority="505" stopIfTrue="1" operator="lessThan">
      <formula>'1854'!$K$28</formula>
    </cfRule>
  </conditionalFormatting>
  <conditionalFormatting sqref="N4">
    <cfRule type="cellIs" dxfId="2601" priority="506" stopIfTrue="1" operator="lessThan">
      <formula>'1854'!$L$4</formula>
    </cfRule>
    <cfRule type="cellIs" dxfId="2600" priority="507" stopIfTrue="1" operator="equal">
      <formula>'1854'!$L$4</formula>
    </cfRule>
  </conditionalFormatting>
  <conditionalFormatting sqref="N5">
    <cfRule type="cellIs" dxfId="2599" priority="508" stopIfTrue="1" operator="equal">
      <formula>'1854'!$L$5</formula>
    </cfRule>
    <cfRule type="cellIs" dxfId="2598" priority="509" stopIfTrue="1" operator="lessThan">
      <formula>'1854'!$L$5</formula>
    </cfRule>
  </conditionalFormatting>
  <conditionalFormatting sqref="N6">
    <cfRule type="cellIs" dxfId="2597" priority="510" stopIfTrue="1" operator="equal">
      <formula>'1854'!$L$6</formula>
    </cfRule>
    <cfRule type="cellIs" dxfId="2596" priority="511" stopIfTrue="1" operator="lessThan">
      <formula>'1854'!$L$6</formula>
    </cfRule>
  </conditionalFormatting>
  <conditionalFormatting sqref="N7">
    <cfRule type="cellIs" dxfId="2595" priority="512" stopIfTrue="1" operator="equal">
      <formula>'1854'!$L$7</formula>
    </cfRule>
    <cfRule type="cellIs" dxfId="2594" priority="513" stopIfTrue="1" operator="lessThan">
      <formula>'1854'!$L$7</formula>
    </cfRule>
  </conditionalFormatting>
  <conditionalFormatting sqref="N8">
    <cfRule type="cellIs" dxfId="2593" priority="514" stopIfTrue="1" operator="equal">
      <formula>'1854'!$L$8</formula>
    </cfRule>
    <cfRule type="cellIs" dxfId="2592" priority="515" stopIfTrue="1" operator="lessThan">
      <formula>'1854'!$L$8</formula>
    </cfRule>
  </conditionalFormatting>
  <conditionalFormatting sqref="N9">
    <cfRule type="cellIs" dxfId="2591" priority="516" stopIfTrue="1" operator="equal">
      <formula>'1854'!$L$9</formula>
    </cfRule>
    <cfRule type="cellIs" dxfId="2590" priority="517" stopIfTrue="1" operator="lessThan">
      <formula>'1854'!$L$9</formula>
    </cfRule>
  </conditionalFormatting>
  <conditionalFormatting sqref="N10">
    <cfRule type="cellIs" dxfId="2589" priority="518" stopIfTrue="1" operator="equal">
      <formula>'1854'!$L$10</formula>
    </cfRule>
    <cfRule type="cellIs" dxfId="2588" priority="519" stopIfTrue="1" operator="lessThan">
      <formula>'1854'!$L$10</formula>
    </cfRule>
  </conditionalFormatting>
  <conditionalFormatting sqref="N11">
    <cfRule type="cellIs" dxfId="2587" priority="520" stopIfTrue="1" operator="equal">
      <formula>'1854'!$L$11</formula>
    </cfRule>
    <cfRule type="cellIs" dxfId="2586" priority="521" stopIfTrue="1" operator="lessThan">
      <formula>'1854'!$L$11</formula>
    </cfRule>
  </conditionalFormatting>
  <conditionalFormatting sqref="N12">
    <cfRule type="cellIs" dxfId="2585" priority="522" stopIfTrue="1" operator="equal">
      <formula>'1854'!$L$12</formula>
    </cfRule>
    <cfRule type="cellIs" dxfId="2584" priority="523" stopIfTrue="1" operator="lessThan">
      <formula>'1854'!$L$12</formula>
    </cfRule>
  </conditionalFormatting>
  <conditionalFormatting sqref="N13">
    <cfRule type="cellIs" dxfId="2583" priority="524" stopIfTrue="1" operator="equal">
      <formula>'1854'!$L$13</formula>
    </cfRule>
    <cfRule type="cellIs" dxfId="2582" priority="525" stopIfTrue="1" operator="lessThan">
      <formula>'1854'!$L$13</formula>
    </cfRule>
  </conditionalFormatting>
  <conditionalFormatting sqref="N14">
    <cfRule type="cellIs" dxfId="2581" priority="526" stopIfTrue="1" operator="equal">
      <formula>'1854'!$L$14</formula>
    </cfRule>
    <cfRule type="cellIs" dxfId="2580" priority="527" stopIfTrue="1" operator="lessThan">
      <formula>'1854'!$L$14</formula>
    </cfRule>
  </conditionalFormatting>
  <conditionalFormatting sqref="N15">
    <cfRule type="cellIs" dxfId="2579" priority="528" stopIfTrue="1" operator="equal">
      <formula>'1854'!$L$15</formula>
    </cfRule>
    <cfRule type="cellIs" dxfId="2578" priority="529" stopIfTrue="1" operator="lessThan">
      <formula>'1854'!$L$15</formula>
    </cfRule>
  </conditionalFormatting>
  <conditionalFormatting sqref="N16">
    <cfRule type="cellIs" dxfId="2577" priority="530" stopIfTrue="1" operator="equal">
      <formula>'1854'!$L$16</formula>
    </cfRule>
    <cfRule type="cellIs" dxfId="2576" priority="531" stopIfTrue="1" operator="lessThan">
      <formula>'1854'!$L$16</formula>
    </cfRule>
  </conditionalFormatting>
  <conditionalFormatting sqref="N17">
    <cfRule type="cellIs" dxfId="2575" priority="532" stopIfTrue="1" operator="equal">
      <formula>'1854'!$L$17</formula>
    </cfRule>
    <cfRule type="cellIs" dxfId="2574" priority="533" stopIfTrue="1" operator="lessThan">
      <formula>'1854'!$L$17</formula>
    </cfRule>
  </conditionalFormatting>
  <conditionalFormatting sqref="N18">
    <cfRule type="cellIs" dxfId="2573" priority="534" stopIfTrue="1" operator="equal">
      <formula>'1854'!$L$18</formula>
    </cfRule>
    <cfRule type="cellIs" dxfId="2572" priority="535" stopIfTrue="1" operator="lessThan">
      <formula>'1854'!$L$18</formula>
    </cfRule>
  </conditionalFormatting>
  <conditionalFormatting sqref="N19">
    <cfRule type="cellIs" dxfId="2571" priority="536" stopIfTrue="1" operator="equal">
      <formula>'1854'!$L$19</formula>
    </cfRule>
    <cfRule type="cellIs" dxfId="2570" priority="537" stopIfTrue="1" operator="lessThan">
      <formula>'1854'!$L$19</formula>
    </cfRule>
  </conditionalFormatting>
  <conditionalFormatting sqref="N20">
    <cfRule type="cellIs" dxfId="2569" priority="538" stopIfTrue="1" operator="equal">
      <formula>'1854'!$L$20</formula>
    </cfRule>
    <cfRule type="cellIs" dxfId="2568" priority="539" stopIfTrue="1" operator="lessThan">
      <formula>'1854'!$L$20</formula>
    </cfRule>
  </conditionalFormatting>
  <conditionalFormatting sqref="N21">
    <cfRule type="cellIs" dxfId="2567" priority="540" stopIfTrue="1" operator="equal">
      <formula>'1854'!$L$21</formula>
    </cfRule>
    <cfRule type="cellIs" dxfId="2566" priority="541" stopIfTrue="1" operator="lessThan">
      <formula>'1854'!$L$21</formula>
    </cfRule>
  </conditionalFormatting>
  <conditionalFormatting sqref="N22">
    <cfRule type="cellIs" dxfId="2565" priority="542" stopIfTrue="1" operator="equal">
      <formula>'1854'!$L$22</formula>
    </cfRule>
    <cfRule type="cellIs" dxfId="2564" priority="543" stopIfTrue="1" operator="lessThan">
      <formula>'1854'!$L$22</formula>
    </cfRule>
  </conditionalFormatting>
  <conditionalFormatting sqref="N23">
    <cfRule type="cellIs" dxfId="2563" priority="544" stopIfTrue="1" operator="equal">
      <formula>'1854'!$L$23</formula>
    </cfRule>
    <cfRule type="cellIs" dxfId="2562" priority="545" stopIfTrue="1" operator="lessThan">
      <formula>'1854'!$L$23</formula>
    </cfRule>
  </conditionalFormatting>
  <conditionalFormatting sqref="N24">
    <cfRule type="cellIs" dxfId="2561" priority="546" stopIfTrue="1" operator="equal">
      <formula>'1854'!$L$24</formula>
    </cfRule>
    <cfRule type="cellIs" dxfId="2560" priority="547" stopIfTrue="1" operator="lessThan">
      <formula>'1854'!$L$24</formula>
    </cfRule>
  </conditionalFormatting>
  <conditionalFormatting sqref="N25">
    <cfRule type="cellIs" dxfId="2559" priority="548" stopIfTrue="1" operator="equal">
      <formula>'1854'!$L$25</formula>
    </cfRule>
    <cfRule type="cellIs" dxfId="2558" priority="549" stopIfTrue="1" operator="lessThan">
      <formula>'1854'!$L$25</formula>
    </cfRule>
  </conditionalFormatting>
  <conditionalFormatting sqref="N26">
    <cfRule type="cellIs" dxfId="2557" priority="550" stopIfTrue="1" operator="equal">
      <formula>'1854'!$L$26</formula>
    </cfRule>
    <cfRule type="cellIs" dxfId="2556" priority="551" stopIfTrue="1" operator="lessThan">
      <formula>'1854'!$L$26</formula>
    </cfRule>
  </conditionalFormatting>
  <conditionalFormatting sqref="N27">
    <cfRule type="cellIs" dxfId="2555" priority="552" stopIfTrue="1" operator="equal">
      <formula>'1854'!$L$27</formula>
    </cfRule>
    <cfRule type="cellIs" dxfId="2554" priority="553" stopIfTrue="1" operator="lessThan">
      <formula>'1854'!$L$27</formula>
    </cfRule>
  </conditionalFormatting>
  <conditionalFormatting sqref="N28">
    <cfRule type="cellIs" dxfId="2553" priority="554" stopIfTrue="1" operator="equal">
      <formula>'1854'!$L$28</formula>
    </cfRule>
    <cfRule type="cellIs" dxfId="2552" priority="555" stopIfTrue="1" operator="lessThan">
      <formula>'1854'!$L$28</formula>
    </cfRule>
  </conditionalFormatting>
  <conditionalFormatting sqref="O4:Q4">
    <cfRule type="cellIs" dxfId="2551" priority="556" stopIfTrue="1" operator="equal">
      <formula>'1854'!$M$4</formula>
    </cfRule>
    <cfRule type="cellIs" dxfId="2550" priority="557" stopIfTrue="1" operator="lessThan">
      <formula>'1854'!$M$4</formula>
    </cfRule>
  </conditionalFormatting>
  <conditionalFormatting sqref="O5:Q5">
    <cfRule type="cellIs" dxfId="2549" priority="558" stopIfTrue="1" operator="equal">
      <formula>'1854'!$M$5</formula>
    </cfRule>
    <cfRule type="cellIs" dxfId="2548" priority="559" stopIfTrue="1" operator="lessThan">
      <formula>'1854'!$M$5</formula>
    </cfRule>
  </conditionalFormatting>
  <conditionalFormatting sqref="O6:Q6">
    <cfRule type="cellIs" dxfId="2547" priority="560" stopIfTrue="1" operator="equal">
      <formula>'1854'!$M$6</formula>
    </cfRule>
    <cfRule type="cellIs" dxfId="2546" priority="561" stopIfTrue="1" operator="lessThan">
      <formula>'1854'!$M$6</formula>
    </cfRule>
  </conditionalFormatting>
  <conditionalFormatting sqref="O7:Q7">
    <cfRule type="cellIs" dxfId="2545" priority="562" stopIfTrue="1" operator="equal">
      <formula>'1854'!$M$7</formula>
    </cfRule>
    <cfRule type="cellIs" dxfId="2544" priority="563" stopIfTrue="1" operator="lessThan">
      <formula>'1854'!$M$7</formula>
    </cfRule>
  </conditionalFormatting>
  <conditionalFormatting sqref="O8:Q8">
    <cfRule type="cellIs" dxfId="2543" priority="564" stopIfTrue="1" operator="equal">
      <formula>'1854'!$M$8</formula>
    </cfRule>
    <cfRule type="cellIs" dxfId="2542" priority="565" stopIfTrue="1" operator="lessThan">
      <formula>'1854'!$M$8</formula>
    </cfRule>
  </conditionalFormatting>
  <conditionalFormatting sqref="O9:Q9">
    <cfRule type="cellIs" dxfId="2541" priority="566" stopIfTrue="1" operator="equal">
      <formula>'1854'!$M$9</formula>
    </cfRule>
    <cfRule type="cellIs" dxfId="2540" priority="567" stopIfTrue="1" operator="lessThan">
      <formula>'1854'!$M$9</formula>
    </cfRule>
  </conditionalFormatting>
  <conditionalFormatting sqref="O10:Q10">
    <cfRule type="cellIs" dxfId="2539" priority="568" stopIfTrue="1" operator="equal">
      <formula>'1854'!$M$10</formula>
    </cfRule>
    <cfRule type="cellIs" dxfId="2538" priority="569" stopIfTrue="1" operator="lessThan">
      <formula>'1854'!$M$10</formula>
    </cfRule>
  </conditionalFormatting>
  <conditionalFormatting sqref="O11:Q11">
    <cfRule type="cellIs" dxfId="2537" priority="570" stopIfTrue="1" operator="equal">
      <formula>'1854'!$M$11</formula>
    </cfRule>
    <cfRule type="cellIs" dxfId="2536" priority="571" stopIfTrue="1" operator="lessThan">
      <formula>'1854'!$M$11</formula>
    </cfRule>
  </conditionalFormatting>
  <conditionalFormatting sqref="O12:Q12">
    <cfRule type="cellIs" dxfId="2535" priority="572" stopIfTrue="1" operator="equal">
      <formula>'1854'!$M$12</formula>
    </cfRule>
    <cfRule type="cellIs" dxfId="2534" priority="573" stopIfTrue="1" operator="lessThan">
      <formula>'1854'!$M$12</formula>
    </cfRule>
  </conditionalFormatting>
  <conditionalFormatting sqref="O13:Q13">
    <cfRule type="cellIs" dxfId="2533" priority="574" stopIfTrue="1" operator="equal">
      <formula>'1854'!$M$13</formula>
    </cfRule>
    <cfRule type="cellIs" dxfId="2532" priority="575" stopIfTrue="1" operator="lessThan">
      <formula>'1854'!$M$13</formula>
    </cfRule>
  </conditionalFormatting>
  <conditionalFormatting sqref="O14:Q14">
    <cfRule type="cellIs" dxfId="2531" priority="576" stopIfTrue="1" operator="equal">
      <formula>'1854'!$M$14</formula>
    </cfRule>
    <cfRule type="cellIs" dxfId="2530" priority="577" stopIfTrue="1" operator="lessThan">
      <formula>'1854'!$M$14</formula>
    </cfRule>
  </conditionalFormatting>
  <conditionalFormatting sqref="O15:Q15">
    <cfRule type="cellIs" dxfId="2529" priority="578" stopIfTrue="1" operator="equal">
      <formula>'1854'!$M$15</formula>
    </cfRule>
    <cfRule type="cellIs" dxfId="2528" priority="579" stopIfTrue="1" operator="lessThan">
      <formula>'1854'!$M$15</formula>
    </cfRule>
  </conditionalFormatting>
  <conditionalFormatting sqref="O16:Q16">
    <cfRule type="cellIs" dxfId="2527" priority="580" stopIfTrue="1" operator="equal">
      <formula>'1854'!$M$16</formula>
    </cfRule>
    <cfRule type="cellIs" dxfId="2526" priority="581" stopIfTrue="1" operator="lessThan">
      <formula>'1854'!$M$16</formula>
    </cfRule>
  </conditionalFormatting>
  <conditionalFormatting sqref="O17:Q17">
    <cfRule type="cellIs" dxfId="2525" priority="582" stopIfTrue="1" operator="equal">
      <formula>'1854'!$M$17</formula>
    </cfRule>
    <cfRule type="cellIs" dxfId="2524" priority="583" stopIfTrue="1" operator="lessThan">
      <formula>'1854'!$M$17</formula>
    </cfRule>
  </conditionalFormatting>
  <conditionalFormatting sqref="O18:Q18">
    <cfRule type="cellIs" dxfId="2523" priority="584" stopIfTrue="1" operator="equal">
      <formula>'1854'!$M$18</formula>
    </cfRule>
    <cfRule type="cellIs" dxfId="2522" priority="585" stopIfTrue="1" operator="lessThan">
      <formula>'1854'!$M$18</formula>
    </cfRule>
  </conditionalFormatting>
  <conditionalFormatting sqref="O19:Q19">
    <cfRule type="cellIs" dxfId="2521" priority="586" stopIfTrue="1" operator="equal">
      <formula>'1854'!$M$19</formula>
    </cfRule>
    <cfRule type="cellIs" dxfId="2520" priority="587" stopIfTrue="1" operator="lessThan">
      <formula>'1854'!$M$19</formula>
    </cfRule>
  </conditionalFormatting>
  <conditionalFormatting sqref="O20:Q20">
    <cfRule type="cellIs" dxfId="2519" priority="588" stopIfTrue="1" operator="equal">
      <formula>'1854'!$M$20</formula>
    </cfRule>
    <cfRule type="cellIs" dxfId="2518" priority="589" stopIfTrue="1" operator="lessThan">
      <formula>'1854'!$M$20</formula>
    </cfRule>
  </conditionalFormatting>
  <conditionalFormatting sqref="O21:Q21">
    <cfRule type="cellIs" dxfId="2517" priority="590" stopIfTrue="1" operator="equal">
      <formula>'1854'!$M$21</formula>
    </cfRule>
    <cfRule type="cellIs" dxfId="2516" priority="591" stopIfTrue="1" operator="lessThan">
      <formula>'1854'!$M$21</formula>
    </cfRule>
  </conditionalFormatting>
  <conditionalFormatting sqref="O22:Q22">
    <cfRule type="cellIs" dxfId="2515" priority="592" stopIfTrue="1" operator="equal">
      <formula>'1854'!$M$22</formula>
    </cfRule>
    <cfRule type="cellIs" dxfId="2514" priority="593" stopIfTrue="1" operator="lessThan">
      <formula>'1854'!$M$22</formula>
    </cfRule>
  </conditionalFormatting>
  <conditionalFormatting sqref="O23:Q23">
    <cfRule type="cellIs" dxfId="2513" priority="594" stopIfTrue="1" operator="equal">
      <formula>'1854'!$M$23</formula>
    </cfRule>
    <cfRule type="cellIs" dxfId="2512" priority="595" stopIfTrue="1" operator="lessThan">
      <formula>'1854'!$M$23</formula>
    </cfRule>
  </conditionalFormatting>
  <conditionalFormatting sqref="O24:Q24">
    <cfRule type="cellIs" dxfId="2511" priority="596" stopIfTrue="1" operator="equal">
      <formula>'1854'!$M$24</formula>
    </cfRule>
    <cfRule type="cellIs" dxfId="2510" priority="597" stopIfTrue="1" operator="lessThan">
      <formula>'1854'!$M$24</formula>
    </cfRule>
  </conditionalFormatting>
  <conditionalFormatting sqref="O25:Q25">
    <cfRule type="cellIs" dxfId="2509" priority="598" stopIfTrue="1" operator="equal">
      <formula>'1854'!$M$25</formula>
    </cfRule>
    <cfRule type="cellIs" dxfId="2508" priority="599" stopIfTrue="1" operator="lessThan">
      <formula>'1854'!$M$25</formula>
    </cfRule>
  </conditionalFormatting>
  <conditionalFormatting sqref="O26:Q26">
    <cfRule type="cellIs" dxfId="2507" priority="600" stopIfTrue="1" operator="equal">
      <formula>'1854'!$M$26</formula>
    </cfRule>
    <cfRule type="cellIs" dxfId="2506" priority="601" stopIfTrue="1" operator="lessThan">
      <formula>'1854'!$M$26</formula>
    </cfRule>
  </conditionalFormatting>
  <conditionalFormatting sqref="O27:Q27">
    <cfRule type="cellIs" dxfId="2505" priority="602" stopIfTrue="1" operator="equal">
      <formula>'1854'!$M$27</formula>
    </cfRule>
    <cfRule type="cellIs" dxfId="2504" priority="603" stopIfTrue="1" operator="lessThan">
      <formula>'1854'!$M$27</formula>
    </cfRule>
  </conditionalFormatting>
  <conditionalFormatting sqref="O28:Q28">
    <cfRule type="cellIs" dxfId="2503" priority="604" stopIfTrue="1" operator="equal">
      <formula>'1854'!$M$28</formula>
    </cfRule>
    <cfRule type="cellIs" dxfId="2502" priority="605" stopIfTrue="1" operator="lessThan">
      <formula>'1854'!$M$28</formula>
    </cfRule>
  </conditionalFormatting>
  <conditionalFormatting sqref="R4">
    <cfRule type="cellIs" dxfId="2501" priority="606" stopIfTrue="1" operator="equal">
      <formula>'1854'!$N$4</formula>
    </cfRule>
    <cfRule type="cellIs" dxfId="2500" priority="607" stopIfTrue="1" operator="lessThan">
      <formula>'1854'!$N$4</formula>
    </cfRule>
  </conditionalFormatting>
  <conditionalFormatting sqref="R5">
    <cfRule type="cellIs" dxfId="2499" priority="608" stopIfTrue="1" operator="equal">
      <formula>'1854'!$N$5</formula>
    </cfRule>
    <cfRule type="cellIs" dxfId="2498" priority="609" stopIfTrue="1" operator="lessThan">
      <formula>'1854'!$N$5</formula>
    </cfRule>
  </conditionalFormatting>
  <conditionalFormatting sqref="R6">
    <cfRule type="cellIs" dxfId="2497" priority="610" stopIfTrue="1" operator="equal">
      <formula>'1854'!$N$6</formula>
    </cfRule>
    <cfRule type="cellIs" dxfId="2496" priority="611" stopIfTrue="1" operator="lessThan">
      <formula>'1854'!$N$6</formula>
    </cfRule>
  </conditionalFormatting>
  <conditionalFormatting sqref="R7">
    <cfRule type="cellIs" dxfId="2495" priority="612" stopIfTrue="1" operator="equal">
      <formula>'1854'!$N$7</formula>
    </cfRule>
    <cfRule type="cellIs" dxfId="2494" priority="613" stopIfTrue="1" operator="lessThan">
      <formula>'1854'!$N$7</formula>
    </cfRule>
  </conditionalFormatting>
  <conditionalFormatting sqref="R8">
    <cfRule type="cellIs" dxfId="2493" priority="614" stopIfTrue="1" operator="equal">
      <formula>'1854'!$N$8</formula>
    </cfRule>
    <cfRule type="cellIs" dxfId="2492" priority="615" stopIfTrue="1" operator="lessThan">
      <formula>'1854'!$N$8</formula>
    </cfRule>
  </conditionalFormatting>
  <conditionalFormatting sqref="R9">
    <cfRule type="cellIs" dxfId="2491" priority="616" stopIfTrue="1" operator="equal">
      <formula>'1854'!$N$9</formula>
    </cfRule>
    <cfRule type="cellIs" dxfId="2490" priority="617" stopIfTrue="1" operator="lessThan">
      <formula>'1854'!$N$9</formula>
    </cfRule>
  </conditionalFormatting>
  <conditionalFormatting sqref="R10">
    <cfRule type="cellIs" dxfId="2489" priority="618" stopIfTrue="1" operator="equal">
      <formula>'1854'!$N$10</formula>
    </cfRule>
    <cfRule type="cellIs" dxfId="2488" priority="619" stopIfTrue="1" operator="lessThan">
      <formula>'1854'!$N$10</formula>
    </cfRule>
  </conditionalFormatting>
  <conditionalFormatting sqref="R11">
    <cfRule type="cellIs" dxfId="2487" priority="620" stopIfTrue="1" operator="equal">
      <formula>'1854'!$N$11</formula>
    </cfRule>
    <cfRule type="cellIs" dxfId="2486" priority="621" stopIfTrue="1" operator="lessThan">
      <formula>'1854'!$N$11</formula>
    </cfRule>
  </conditionalFormatting>
  <conditionalFormatting sqref="R12">
    <cfRule type="cellIs" dxfId="2485" priority="622" stopIfTrue="1" operator="equal">
      <formula>'1854'!$N$12</formula>
    </cfRule>
    <cfRule type="cellIs" dxfId="2484" priority="623" stopIfTrue="1" operator="lessThan">
      <formula>'1854'!$N$12</formula>
    </cfRule>
  </conditionalFormatting>
  <conditionalFormatting sqref="R13">
    <cfRule type="cellIs" dxfId="2483" priority="624" stopIfTrue="1" operator="equal">
      <formula>'1854'!$N$13</formula>
    </cfRule>
    <cfRule type="cellIs" dxfId="2482" priority="625" stopIfTrue="1" operator="lessThan">
      <formula>'1854'!$N$13</formula>
    </cfRule>
  </conditionalFormatting>
  <conditionalFormatting sqref="R14">
    <cfRule type="cellIs" dxfId="2481" priority="626" stopIfTrue="1" operator="equal">
      <formula>'1854'!$N$14</formula>
    </cfRule>
    <cfRule type="cellIs" dxfId="2480" priority="627" stopIfTrue="1" operator="lessThan">
      <formula>'1854'!$N$14</formula>
    </cfRule>
  </conditionalFormatting>
  <conditionalFormatting sqref="R15">
    <cfRule type="cellIs" dxfId="2479" priority="628" stopIfTrue="1" operator="equal">
      <formula>'1854'!$N$15</formula>
    </cfRule>
    <cfRule type="cellIs" dxfId="2478" priority="629" stopIfTrue="1" operator="lessThan">
      <formula>'1854'!$N$15</formula>
    </cfRule>
  </conditionalFormatting>
  <conditionalFormatting sqref="R16">
    <cfRule type="cellIs" dxfId="2477" priority="630" stopIfTrue="1" operator="equal">
      <formula>'1854'!$N$16</formula>
    </cfRule>
    <cfRule type="cellIs" dxfId="2476" priority="631" stopIfTrue="1" operator="lessThan">
      <formula>'1854'!$N$16</formula>
    </cfRule>
  </conditionalFormatting>
  <conditionalFormatting sqref="R17">
    <cfRule type="cellIs" dxfId="2475" priority="632" stopIfTrue="1" operator="equal">
      <formula>'1854'!$N$17</formula>
    </cfRule>
    <cfRule type="cellIs" dxfId="2474" priority="633" stopIfTrue="1" operator="lessThan">
      <formula>'1854'!$N$17</formula>
    </cfRule>
  </conditionalFormatting>
  <conditionalFormatting sqref="R18">
    <cfRule type="cellIs" dxfId="2473" priority="634" stopIfTrue="1" operator="equal">
      <formula>'1854'!$N$18</formula>
    </cfRule>
    <cfRule type="cellIs" dxfId="2472" priority="635" stopIfTrue="1" operator="lessThan">
      <formula>'1854'!$N$18</formula>
    </cfRule>
  </conditionalFormatting>
  <conditionalFormatting sqref="R19">
    <cfRule type="cellIs" dxfId="2471" priority="636" stopIfTrue="1" operator="equal">
      <formula>'1854'!$N$19</formula>
    </cfRule>
    <cfRule type="cellIs" dxfId="2470" priority="637" stopIfTrue="1" operator="lessThan">
      <formula>'1854'!$N$19</formula>
    </cfRule>
  </conditionalFormatting>
  <conditionalFormatting sqref="R20">
    <cfRule type="cellIs" dxfId="2469" priority="638" stopIfTrue="1" operator="equal">
      <formula>'1854'!$N$20</formula>
    </cfRule>
    <cfRule type="cellIs" dxfId="2468" priority="639" stopIfTrue="1" operator="lessThan">
      <formula>'1854'!$N$20</formula>
    </cfRule>
  </conditionalFormatting>
  <conditionalFormatting sqref="R21">
    <cfRule type="cellIs" dxfId="2467" priority="640" stopIfTrue="1" operator="equal">
      <formula>'1854'!$N$21</formula>
    </cfRule>
    <cfRule type="cellIs" dxfId="2466" priority="641" stopIfTrue="1" operator="lessThan">
      <formula>'1854'!$N$21</formula>
    </cfRule>
  </conditionalFormatting>
  <conditionalFormatting sqref="R22">
    <cfRule type="cellIs" dxfId="2465" priority="642" stopIfTrue="1" operator="equal">
      <formula>'1854'!$N$22</formula>
    </cfRule>
    <cfRule type="cellIs" dxfId="2464" priority="643" stopIfTrue="1" operator="lessThan">
      <formula>'1854'!$N$22</formula>
    </cfRule>
  </conditionalFormatting>
  <conditionalFormatting sqref="R23">
    <cfRule type="cellIs" dxfId="2463" priority="644" stopIfTrue="1" operator="equal">
      <formula>'1854'!$N$23</formula>
    </cfRule>
    <cfRule type="cellIs" dxfId="2462" priority="645" stopIfTrue="1" operator="lessThan">
      <formula>'1854'!$N$23</formula>
    </cfRule>
  </conditionalFormatting>
  <conditionalFormatting sqref="R24">
    <cfRule type="cellIs" dxfId="2461" priority="646" stopIfTrue="1" operator="equal">
      <formula>'1854'!$N$24</formula>
    </cfRule>
    <cfRule type="cellIs" dxfId="2460" priority="647" stopIfTrue="1" operator="lessThan">
      <formula>'1854'!$N$24</formula>
    </cfRule>
  </conditionalFormatting>
  <conditionalFormatting sqref="R25">
    <cfRule type="cellIs" dxfId="2459" priority="648" stopIfTrue="1" operator="equal">
      <formula>'1854'!$N$25</formula>
    </cfRule>
    <cfRule type="cellIs" dxfId="2458" priority="649" stopIfTrue="1" operator="lessThan">
      <formula>'1854'!$N$25</formula>
    </cfRule>
  </conditionalFormatting>
  <conditionalFormatting sqref="R26">
    <cfRule type="cellIs" dxfId="2457" priority="650" stopIfTrue="1" operator="equal">
      <formula>'1854'!$N$26</formula>
    </cfRule>
    <cfRule type="cellIs" dxfId="2456" priority="651" stopIfTrue="1" operator="lessThan">
      <formula>'1854'!$N$26</formula>
    </cfRule>
  </conditionalFormatting>
  <conditionalFormatting sqref="R27">
    <cfRule type="cellIs" dxfId="2455" priority="652" stopIfTrue="1" operator="equal">
      <formula>'1854'!$N$27</formula>
    </cfRule>
    <cfRule type="cellIs" dxfId="2454" priority="653" stopIfTrue="1" operator="lessThan">
      <formula>'1854'!$N$27</formula>
    </cfRule>
  </conditionalFormatting>
  <conditionalFormatting sqref="R28">
    <cfRule type="cellIs" dxfId="2453" priority="654" stopIfTrue="1" operator="equal">
      <formula>'1854'!$N$28</formula>
    </cfRule>
    <cfRule type="cellIs" dxfId="2452" priority="655" stopIfTrue="1" operator="lessThan">
      <formula>'1854'!$N$28</formula>
    </cfRule>
  </conditionalFormatting>
  <pageMargins left="0.7" right="0.7" top="0.78749999999999998" bottom="0.78749999999999998" header="0.51180555555555551" footer="0.51180555555555551"/>
  <pageSetup paperSize="9" scale="99" firstPageNumber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33"/>
  <sheetViews>
    <sheetView topLeftCell="O1" workbookViewId="0">
      <selection activeCell="U25" sqref="U25"/>
    </sheetView>
  </sheetViews>
  <sheetFormatPr defaultRowHeight="15"/>
  <cols>
    <col min="1" max="1" width="8.5703125" style="30" customWidth="1"/>
    <col min="2" max="2" width="26.28515625" customWidth="1"/>
    <col min="3" max="17" width="10.140625" customWidth="1"/>
    <col min="18" max="18" width="10" customWidth="1"/>
    <col min="19" max="19" width="11.140625" bestFit="1" customWidth="1"/>
    <col min="20" max="20" width="9.28515625" bestFit="1" customWidth="1"/>
  </cols>
  <sheetData>
    <row r="1" spans="1:34" ht="15.75" thickBot="1"/>
    <row r="2" spans="1:34" s="1" customFormat="1" ht="21" customHeight="1" thickBot="1">
      <c r="A2" s="172">
        <v>1855</v>
      </c>
      <c r="B2" s="2"/>
      <c r="C2" s="3">
        <f>'1850'!C2</f>
        <v>43466</v>
      </c>
      <c r="D2" s="3">
        <f>'1850'!D2</f>
        <v>43497</v>
      </c>
      <c r="E2" s="3">
        <f>'1850'!E2</f>
        <v>43526</v>
      </c>
      <c r="F2" s="3">
        <f>'1850'!F2</f>
        <v>43556</v>
      </c>
      <c r="G2" s="3">
        <f>'1850'!G2</f>
        <v>43588</v>
      </c>
      <c r="H2" s="3">
        <f>'1850'!H2</f>
        <v>43620</v>
      </c>
      <c r="I2" s="3">
        <f>'1850'!I2</f>
        <v>43647</v>
      </c>
      <c r="J2" s="3">
        <f>'1850'!J2</f>
        <v>43678</v>
      </c>
      <c r="K2" s="3">
        <f>'1850'!K2</f>
        <v>43679</v>
      </c>
      <c r="L2" s="3">
        <f>'1850'!L2</f>
        <v>43739</v>
      </c>
      <c r="M2" s="221">
        <f>'1850'!M2</f>
        <v>43742</v>
      </c>
      <c r="N2" s="4">
        <f>'1850'!N2</f>
        <v>43770</v>
      </c>
      <c r="O2" s="4">
        <f>'1850'!O2</f>
        <v>43798</v>
      </c>
      <c r="P2" s="246">
        <f>'1850'!P2</f>
        <v>43804</v>
      </c>
      <c r="Q2" s="246">
        <f>'1850'!Q2</f>
        <v>43804</v>
      </c>
      <c r="R2" s="3">
        <f>'1850'!R2</f>
        <v>43831</v>
      </c>
      <c r="S2" s="1" t="s">
        <v>0</v>
      </c>
      <c r="T2" s="1" t="s">
        <v>1</v>
      </c>
      <c r="U2" s="1" t="s">
        <v>180</v>
      </c>
      <c r="W2" s="234"/>
      <c r="X2" s="235"/>
      <c r="Y2" s="235"/>
      <c r="Z2" s="235"/>
      <c r="AA2" s="235" t="s">
        <v>320</v>
      </c>
      <c r="AB2" s="235"/>
      <c r="AC2" s="235"/>
      <c r="AD2" s="235"/>
      <c r="AE2" s="238"/>
      <c r="AF2" s="236"/>
      <c r="AG2" s="236" t="s">
        <v>319</v>
      </c>
      <c r="AH2" s="237"/>
    </row>
    <row r="3" spans="1:34" s="1" customFormat="1" ht="15.75" thickBot="1">
      <c r="A3" s="173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222" t="s">
        <v>297</v>
      </c>
      <c r="N3" s="5" t="s">
        <v>13</v>
      </c>
      <c r="O3" s="5" t="s">
        <v>14</v>
      </c>
      <c r="P3" s="249" t="s">
        <v>326</v>
      </c>
      <c r="Q3" s="249" t="s">
        <v>228</v>
      </c>
      <c r="R3" s="5" t="s">
        <v>3</v>
      </c>
      <c r="S3" s="1" t="s">
        <v>178</v>
      </c>
      <c r="T3" s="1" t="s">
        <v>177</v>
      </c>
      <c r="U3" s="1" t="s">
        <v>179</v>
      </c>
      <c r="V3" s="1" t="s">
        <v>321</v>
      </c>
      <c r="W3" s="5" t="s">
        <v>4</v>
      </c>
      <c r="X3" s="5" t="s">
        <v>5</v>
      </c>
      <c r="Y3" s="5" t="s">
        <v>6</v>
      </c>
      <c r="Z3" s="5" t="s">
        <v>7</v>
      </c>
      <c r="AA3" s="5" t="s">
        <v>8</v>
      </c>
      <c r="AB3" s="5" t="s">
        <v>9</v>
      </c>
      <c r="AC3" s="5" t="s">
        <v>10</v>
      </c>
      <c r="AD3" s="5" t="s">
        <v>11</v>
      </c>
      <c r="AE3" s="5" t="s">
        <v>12</v>
      </c>
      <c r="AF3" s="227" t="s">
        <v>13</v>
      </c>
      <c r="AG3" s="227" t="s">
        <v>14</v>
      </c>
      <c r="AH3" s="227" t="s">
        <v>3</v>
      </c>
    </row>
    <row r="4" spans="1:34" ht="15.75" thickBot="1">
      <c r="A4" s="276">
        <v>1</v>
      </c>
      <c r="B4" s="251" t="s">
        <v>327</v>
      </c>
      <c r="C4" s="93">
        <v>74.405000000000001</v>
      </c>
      <c r="D4" s="7">
        <v>82.629000000000005</v>
      </c>
      <c r="E4" s="7">
        <v>88.894999999999996</v>
      </c>
      <c r="F4" s="7">
        <v>94.793999999999997</v>
      </c>
      <c r="G4" s="7">
        <v>102.958</v>
      </c>
      <c r="H4" s="7">
        <v>108.50700000000001</v>
      </c>
      <c r="I4" s="7">
        <v>112.08799999999999</v>
      </c>
      <c r="J4" s="7">
        <v>115.375</v>
      </c>
      <c r="K4" s="7">
        <v>120.479</v>
      </c>
      <c r="L4" s="8">
        <v>126.916</v>
      </c>
      <c r="M4" s="7">
        <v>0.01</v>
      </c>
      <c r="N4" s="7">
        <v>0.91700000000000004</v>
      </c>
      <c r="O4" s="7">
        <v>1.325</v>
      </c>
      <c r="P4" s="250">
        <v>1.3879999999999999</v>
      </c>
      <c r="Q4" s="250">
        <v>0.46</v>
      </c>
      <c r="R4" s="7">
        <v>11.516</v>
      </c>
      <c r="S4" s="9">
        <f>R4-Q4+P4-M4+L4-C4</f>
        <v>64.944999999999993</v>
      </c>
      <c r="V4" s="1">
        <v>1</v>
      </c>
      <c r="W4" s="228">
        <f>D4-C4</f>
        <v>8.2240000000000038</v>
      </c>
      <c r="X4" s="228">
        <f t="shared" ref="X4:AE4" si="0">E4-D4</f>
        <v>6.2659999999999911</v>
      </c>
      <c r="Y4" s="228">
        <f t="shared" si="0"/>
        <v>5.8990000000000009</v>
      </c>
      <c r="Z4" s="228">
        <f t="shared" si="0"/>
        <v>8.1640000000000015</v>
      </c>
      <c r="AA4" s="228">
        <f t="shared" si="0"/>
        <v>5.5490000000000066</v>
      </c>
      <c r="AB4" s="228">
        <f t="shared" si="0"/>
        <v>3.5809999999999889</v>
      </c>
      <c r="AC4" s="228">
        <f t="shared" si="0"/>
        <v>3.2870000000000061</v>
      </c>
      <c r="AD4" s="228">
        <f t="shared" si="0"/>
        <v>5.1039999999999992</v>
      </c>
      <c r="AE4" s="228">
        <f t="shared" si="0"/>
        <v>6.4369999999999976</v>
      </c>
      <c r="AF4" s="240">
        <f>N4-M4</f>
        <v>0.90700000000000003</v>
      </c>
      <c r="AG4" s="240">
        <f t="shared" ref="AG4" si="1">O4-N4</f>
        <v>0.40799999999999992</v>
      </c>
      <c r="AH4" s="228">
        <f>R4-Q4</f>
        <v>11.055999999999999</v>
      </c>
    </row>
    <row r="5" spans="1:34">
      <c r="A5" s="276"/>
      <c r="B5" s="10" t="s">
        <v>91</v>
      </c>
      <c r="C5" s="94">
        <v>19.446000000000002</v>
      </c>
      <c r="D5" s="11">
        <v>26.632999999999999</v>
      </c>
      <c r="E5" s="11">
        <v>31.434000000000001</v>
      </c>
      <c r="F5" s="11">
        <v>35.920999999999999</v>
      </c>
      <c r="G5" s="11">
        <v>38.802999999999997</v>
      </c>
      <c r="H5" s="11">
        <v>41.393000000000001</v>
      </c>
      <c r="I5" s="11">
        <v>41.767000000000003</v>
      </c>
      <c r="J5" s="11">
        <v>42.131999999999998</v>
      </c>
      <c r="K5" s="11">
        <v>42.633000000000003</v>
      </c>
      <c r="L5" s="12">
        <v>43.625999999999998</v>
      </c>
      <c r="M5" s="12"/>
      <c r="N5" s="11">
        <v>49.262999999999998</v>
      </c>
      <c r="O5" s="11">
        <v>55.215000000000003</v>
      </c>
      <c r="P5" s="11"/>
      <c r="Q5" s="11"/>
      <c r="R5" s="11">
        <v>62.573999999999998</v>
      </c>
      <c r="S5" s="9"/>
      <c r="T5" s="9">
        <f>R5-C5</f>
        <v>43.128</v>
      </c>
      <c r="V5" s="1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</row>
    <row r="6" spans="1:34">
      <c r="A6" s="275">
        <v>2</v>
      </c>
      <c r="B6" s="248" t="s">
        <v>328</v>
      </c>
      <c r="C6" s="94">
        <v>774.428</v>
      </c>
      <c r="D6" s="11">
        <v>791.81700000000001</v>
      </c>
      <c r="E6" s="11">
        <v>808.99599999999998</v>
      </c>
      <c r="F6" s="11">
        <v>825.91300000000001</v>
      </c>
      <c r="G6" s="11">
        <v>843.83500000000004</v>
      </c>
      <c r="H6" s="11">
        <v>862.78300000000002</v>
      </c>
      <c r="I6" s="11">
        <v>874.36699999999996</v>
      </c>
      <c r="J6" s="11">
        <v>882.15499999999997</v>
      </c>
      <c r="K6" s="11">
        <v>897.83500000000004</v>
      </c>
      <c r="L6" s="11">
        <v>916.96400000000006</v>
      </c>
      <c r="M6" s="11">
        <v>0.01</v>
      </c>
      <c r="N6" s="11">
        <v>3.47</v>
      </c>
      <c r="O6" s="11">
        <v>4.484</v>
      </c>
      <c r="P6" s="247">
        <v>4.6079999999999997</v>
      </c>
      <c r="Q6" s="247">
        <v>2.7E-2</v>
      </c>
      <c r="R6" s="11">
        <v>14.962999999999999</v>
      </c>
      <c r="S6" s="9">
        <f>R6-Q6+P6-M6+L6-C6</f>
        <v>162.07000000000005</v>
      </c>
      <c r="V6" s="1">
        <v>2</v>
      </c>
      <c r="W6" s="230">
        <f t="shared" ref="W6:AE6" si="2">D6-C6</f>
        <v>17.38900000000001</v>
      </c>
      <c r="X6" s="230">
        <f t="shared" si="2"/>
        <v>17.178999999999974</v>
      </c>
      <c r="Y6" s="230">
        <f t="shared" si="2"/>
        <v>16.91700000000003</v>
      </c>
      <c r="Z6" s="230">
        <f t="shared" si="2"/>
        <v>17.922000000000025</v>
      </c>
      <c r="AA6" s="230">
        <f t="shared" si="2"/>
        <v>18.947999999999979</v>
      </c>
      <c r="AB6" s="230">
        <f t="shared" si="2"/>
        <v>11.583999999999946</v>
      </c>
      <c r="AC6" s="230">
        <f t="shared" si="2"/>
        <v>7.7880000000000109</v>
      </c>
      <c r="AD6" s="230">
        <f t="shared" si="2"/>
        <v>15.680000000000064</v>
      </c>
      <c r="AE6" s="230">
        <f t="shared" si="2"/>
        <v>19.129000000000019</v>
      </c>
      <c r="AF6" s="231">
        <f t="shared" ref="AF6:AG6" si="3">N6-M6</f>
        <v>3.4600000000000004</v>
      </c>
      <c r="AG6" s="231">
        <f t="shared" si="3"/>
        <v>1.0139999999999998</v>
      </c>
      <c r="AH6" s="230">
        <f>R6-Q6</f>
        <v>14.936</v>
      </c>
    </row>
    <row r="7" spans="1:34">
      <c r="A7" s="275"/>
      <c r="B7" s="10" t="s">
        <v>92</v>
      </c>
      <c r="C7" s="94">
        <v>54.899000000000001</v>
      </c>
      <c r="D7" s="11">
        <v>62.085000000000001</v>
      </c>
      <c r="E7" s="11">
        <v>67.738</v>
      </c>
      <c r="F7" s="11">
        <v>71.492000000000004</v>
      </c>
      <c r="G7" s="11">
        <v>75.108999999999995</v>
      </c>
      <c r="H7" s="11">
        <v>78.015000000000001</v>
      </c>
      <c r="I7" s="11">
        <v>78.772999999999996</v>
      </c>
      <c r="J7" s="11">
        <v>79.301000000000002</v>
      </c>
      <c r="K7" s="11">
        <v>80.212000000000003</v>
      </c>
      <c r="L7" s="11">
        <v>81.525999999999996</v>
      </c>
      <c r="M7" s="11"/>
      <c r="N7" s="11">
        <v>84.126000000000005</v>
      </c>
      <c r="O7" s="11">
        <v>87.984999999999999</v>
      </c>
      <c r="P7" s="11"/>
      <c r="Q7" s="11"/>
      <c r="R7" s="11">
        <v>94.039000000000001</v>
      </c>
      <c r="S7" s="9"/>
      <c r="T7" s="9">
        <f>R7-C7</f>
        <v>39.14</v>
      </c>
      <c r="V7" s="1"/>
      <c r="W7" s="229"/>
      <c r="X7" s="229"/>
      <c r="Y7" s="229"/>
      <c r="Z7" s="229"/>
      <c r="AA7" s="229"/>
      <c r="AB7" s="229"/>
      <c r="AC7" s="229"/>
      <c r="AD7" s="229"/>
      <c r="AE7" s="229"/>
      <c r="AF7" s="233"/>
      <c r="AG7" s="233"/>
      <c r="AH7" s="229"/>
    </row>
    <row r="8" spans="1:34">
      <c r="A8" s="275">
        <v>3</v>
      </c>
      <c r="B8" s="224" t="s">
        <v>299</v>
      </c>
      <c r="C8" s="94">
        <v>142.167</v>
      </c>
      <c r="D8" s="11">
        <v>147.45400000000001</v>
      </c>
      <c r="E8" s="11">
        <v>153.482</v>
      </c>
      <c r="F8" s="11">
        <v>159.601</v>
      </c>
      <c r="G8" s="11">
        <v>165.446</v>
      </c>
      <c r="H8" s="11">
        <v>170.42500000000001</v>
      </c>
      <c r="I8" s="11">
        <v>173.05099999999999</v>
      </c>
      <c r="J8" s="11">
        <v>177.47900000000001</v>
      </c>
      <c r="K8" s="11">
        <v>182.328</v>
      </c>
      <c r="L8" s="11">
        <v>187.27199999999999</v>
      </c>
      <c r="M8" s="11">
        <v>0.01</v>
      </c>
      <c r="N8" s="11">
        <v>4.1909999999999998</v>
      </c>
      <c r="O8" s="11">
        <v>9.0449999999999999</v>
      </c>
      <c r="P8" s="11">
        <v>9.8989999999999991</v>
      </c>
      <c r="Q8" s="11">
        <v>9.8989999999999991</v>
      </c>
      <c r="R8" s="11">
        <v>12.461</v>
      </c>
      <c r="S8" s="9">
        <f t="shared" ref="S8" si="4">R8-M8+L8-C8</f>
        <v>57.555999999999983</v>
      </c>
      <c r="V8" s="1">
        <v>3</v>
      </c>
      <c r="W8" s="230">
        <f t="shared" ref="W8:AE8" si="5">D8-C8</f>
        <v>5.2870000000000061</v>
      </c>
      <c r="X8" s="230">
        <f t="shared" si="5"/>
        <v>6.0279999999999916</v>
      </c>
      <c r="Y8" s="230">
        <f t="shared" si="5"/>
        <v>6.1189999999999998</v>
      </c>
      <c r="Z8" s="230">
        <f t="shared" si="5"/>
        <v>5.8449999999999989</v>
      </c>
      <c r="AA8" s="230">
        <f t="shared" si="5"/>
        <v>4.9790000000000134</v>
      </c>
      <c r="AB8" s="230">
        <f t="shared" si="5"/>
        <v>2.6259999999999764</v>
      </c>
      <c r="AC8" s="230">
        <f t="shared" si="5"/>
        <v>4.4280000000000257</v>
      </c>
      <c r="AD8" s="230">
        <f t="shared" si="5"/>
        <v>4.8489999999999895</v>
      </c>
      <c r="AE8" s="230">
        <f t="shared" si="5"/>
        <v>4.9439999999999884</v>
      </c>
      <c r="AF8" s="232">
        <f t="shared" ref="AF8:AG8" si="6">N8-M8</f>
        <v>4.181</v>
      </c>
      <c r="AG8" s="232">
        <f t="shared" si="6"/>
        <v>4.8540000000000001</v>
      </c>
      <c r="AH8" s="230">
        <f t="shared" ref="AH8" si="7">R8-Q8</f>
        <v>2.5620000000000012</v>
      </c>
    </row>
    <row r="9" spans="1:34">
      <c r="A9" s="275"/>
      <c r="B9" s="10" t="s">
        <v>93</v>
      </c>
      <c r="C9" s="94">
        <v>37.082000000000001</v>
      </c>
      <c r="D9" s="11">
        <v>42.497999999999998</v>
      </c>
      <c r="E9" s="11">
        <v>47.3</v>
      </c>
      <c r="F9" s="11">
        <v>51.235999999999997</v>
      </c>
      <c r="G9" s="11">
        <v>54.204000000000001</v>
      </c>
      <c r="H9" s="11">
        <v>56.124000000000002</v>
      </c>
      <c r="I9" s="11">
        <v>56.372</v>
      </c>
      <c r="J9" s="11">
        <v>56.755000000000003</v>
      </c>
      <c r="K9" s="11">
        <v>57.155999999999999</v>
      </c>
      <c r="L9" s="11">
        <v>57.593000000000004</v>
      </c>
      <c r="M9" s="11"/>
      <c r="N9" s="11">
        <v>59.112000000000002</v>
      </c>
      <c r="O9" s="11">
        <v>62.637999999999998</v>
      </c>
      <c r="P9" s="11"/>
      <c r="Q9" s="11"/>
      <c r="R9" s="11">
        <v>65.921000000000006</v>
      </c>
      <c r="S9" s="9"/>
      <c r="T9" s="9">
        <f>R9-C9</f>
        <v>28.839000000000006</v>
      </c>
      <c r="V9" s="1"/>
      <c r="W9" s="229"/>
      <c r="X9" s="229"/>
      <c r="Y9" s="229"/>
      <c r="Z9" s="229"/>
      <c r="AA9" s="229"/>
      <c r="AB9" s="229"/>
      <c r="AC9" s="229"/>
      <c r="AD9" s="229"/>
      <c r="AE9" s="229"/>
      <c r="AF9" s="233"/>
      <c r="AG9" s="233"/>
      <c r="AH9" s="229"/>
    </row>
    <row r="10" spans="1:34">
      <c r="A10" s="275">
        <v>4</v>
      </c>
      <c r="B10" s="224" t="s">
        <v>300</v>
      </c>
      <c r="C10" s="94">
        <v>117.20699999999999</v>
      </c>
      <c r="D10" s="11">
        <v>119.526</v>
      </c>
      <c r="E10" s="11">
        <v>121.15</v>
      </c>
      <c r="F10" s="11">
        <v>122.806</v>
      </c>
      <c r="G10" s="11">
        <v>123.88500000000001</v>
      </c>
      <c r="H10" s="11">
        <v>124.98399999999999</v>
      </c>
      <c r="I10" s="11">
        <v>125.807</v>
      </c>
      <c r="J10" s="11">
        <v>126.69</v>
      </c>
      <c r="K10" s="11">
        <v>127.77</v>
      </c>
      <c r="L10" s="11">
        <v>129.589</v>
      </c>
      <c r="M10" s="11">
        <v>0.01</v>
      </c>
      <c r="N10" s="11">
        <v>0.94499999999999995</v>
      </c>
      <c r="O10" s="11">
        <v>1.9790000000000001</v>
      </c>
      <c r="P10" s="11">
        <v>2.1040000000000001</v>
      </c>
      <c r="Q10" s="11">
        <v>2.1040000000000001</v>
      </c>
      <c r="R10" s="11">
        <v>2.9119999999999999</v>
      </c>
      <c r="S10" s="9">
        <f t="shared" ref="S10" si="8">R10-M10+L10-C10</f>
        <v>15.283999999999992</v>
      </c>
      <c r="V10" s="1">
        <v>4</v>
      </c>
      <c r="W10" s="230">
        <f t="shared" ref="W10:AE10" si="9">D10-C10</f>
        <v>2.3190000000000026</v>
      </c>
      <c r="X10" s="230">
        <f t="shared" si="9"/>
        <v>1.6240000000000094</v>
      </c>
      <c r="Y10" s="230">
        <f t="shared" si="9"/>
        <v>1.6559999999999917</v>
      </c>
      <c r="Z10" s="230">
        <f t="shared" si="9"/>
        <v>1.0790000000000077</v>
      </c>
      <c r="AA10" s="230">
        <f t="shared" si="9"/>
        <v>1.0989999999999895</v>
      </c>
      <c r="AB10" s="230">
        <f t="shared" si="9"/>
        <v>0.8230000000000075</v>
      </c>
      <c r="AC10" s="230">
        <f t="shared" si="9"/>
        <v>0.88299999999999557</v>
      </c>
      <c r="AD10" s="230">
        <f t="shared" si="9"/>
        <v>1.0799999999999983</v>
      </c>
      <c r="AE10" s="230">
        <f t="shared" si="9"/>
        <v>1.8190000000000026</v>
      </c>
      <c r="AF10" s="232">
        <f t="shared" ref="AF10:AG10" si="10">N10-M10</f>
        <v>0.93499999999999994</v>
      </c>
      <c r="AG10" s="232">
        <f t="shared" si="10"/>
        <v>1.0340000000000003</v>
      </c>
      <c r="AH10" s="230">
        <f t="shared" ref="AH10" si="11">R10-Q10</f>
        <v>0.80799999999999983</v>
      </c>
    </row>
    <row r="11" spans="1:34">
      <c r="A11" s="275"/>
      <c r="B11" s="10" t="s">
        <v>94</v>
      </c>
      <c r="C11" s="94">
        <v>5.5049999999999999</v>
      </c>
      <c r="D11" s="11">
        <v>6.4050000000000002</v>
      </c>
      <c r="E11" s="11">
        <v>6.665</v>
      </c>
      <c r="F11" s="11">
        <v>6.7329999999999997</v>
      </c>
      <c r="G11" s="11">
        <v>6.7869999999999999</v>
      </c>
      <c r="H11" s="11">
        <v>6.8550000000000004</v>
      </c>
      <c r="I11" s="11">
        <v>6.8959999999999999</v>
      </c>
      <c r="J11" s="11">
        <v>6.9379999999999997</v>
      </c>
      <c r="K11" s="11">
        <v>6.9779999999999998</v>
      </c>
      <c r="L11" s="11">
        <v>7.06</v>
      </c>
      <c r="M11" s="11"/>
      <c r="N11" s="11">
        <v>7.101</v>
      </c>
      <c r="O11" s="11">
        <v>7.4740000000000002</v>
      </c>
      <c r="P11" s="11"/>
      <c r="Q11" s="11"/>
      <c r="R11" s="11">
        <v>7.8049999999999997</v>
      </c>
      <c r="S11" s="9"/>
      <c r="T11" s="9">
        <f>R11-C11</f>
        <v>2.2999999999999998</v>
      </c>
      <c r="V11" s="1"/>
      <c r="W11" s="229"/>
      <c r="X11" s="229"/>
      <c r="Y11" s="229"/>
      <c r="Z11" s="229"/>
      <c r="AA11" s="229"/>
      <c r="AB11" s="229"/>
      <c r="AC11" s="229"/>
      <c r="AD11" s="229"/>
      <c r="AE11" s="229"/>
      <c r="AF11" s="233"/>
      <c r="AG11" s="233"/>
      <c r="AH11" s="229"/>
    </row>
    <row r="12" spans="1:34">
      <c r="A12" s="275">
        <v>5</v>
      </c>
      <c r="B12" s="224" t="s">
        <v>301</v>
      </c>
      <c r="C12" s="94">
        <v>300.06299999999999</v>
      </c>
      <c r="D12" s="11">
        <v>305.28500000000003</v>
      </c>
      <c r="E12" s="11">
        <v>310.95600000000002</v>
      </c>
      <c r="F12" s="11">
        <v>314.596</v>
      </c>
      <c r="G12" s="11">
        <v>322.04000000000002</v>
      </c>
      <c r="H12" s="11">
        <v>328.77</v>
      </c>
      <c r="I12" s="11">
        <v>334.59399999999999</v>
      </c>
      <c r="J12" s="11">
        <v>339.96100000000001</v>
      </c>
      <c r="K12" s="11">
        <v>346.37900000000002</v>
      </c>
      <c r="L12" s="11">
        <v>352.98200000000003</v>
      </c>
      <c r="M12" s="11">
        <v>0.01</v>
      </c>
      <c r="N12" s="11">
        <v>4.2889999999999997</v>
      </c>
      <c r="O12" s="11">
        <v>9.7870000000000008</v>
      </c>
      <c r="P12" s="11">
        <v>10.875</v>
      </c>
      <c r="Q12" s="11">
        <v>10.875</v>
      </c>
      <c r="R12" s="11">
        <v>15.999000000000001</v>
      </c>
      <c r="S12" s="9">
        <f t="shared" ref="S12" si="12">R12-M12+L12-C12</f>
        <v>68.908000000000015</v>
      </c>
      <c r="V12" s="1">
        <v>5</v>
      </c>
      <c r="W12" s="230">
        <f t="shared" ref="W12:AE12" si="13">D12-C12</f>
        <v>5.2220000000000368</v>
      </c>
      <c r="X12" s="230">
        <f t="shared" si="13"/>
        <v>5.6709999999999923</v>
      </c>
      <c r="Y12" s="230">
        <f t="shared" si="13"/>
        <v>3.6399999999999864</v>
      </c>
      <c r="Z12" s="230">
        <f t="shared" si="13"/>
        <v>7.4440000000000168</v>
      </c>
      <c r="AA12" s="230">
        <f t="shared" si="13"/>
        <v>6.7299999999999613</v>
      </c>
      <c r="AB12" s="230">
        <f t="shared" si="13"/>
        <v>5.8240000000000123</v>
      </c>
      <c r="AC12" s="230">
        <f t="shared" si="13"/>
        <v>5.3670000000000186</v>
      </c>
      <c r="AD12" s="230">
        <f t="shared" si="13"/>
        <v>6.4180000000000064</v>
      </c>
      <c r="AE12" s="230">
        <f t="shared" si="13"/>
        <v>6.6030000000000086</v>
      </c>
      <c r="AF12" s="232">
        <f t="shared" ref="AF12:AG12" si="14">N12-M12</f>
        <v>4.2789999999999999</v>
      </c>
      <c r="AG12" s="232">
        <f t="shared" si="14"/>
        <v>5.4980000000000011</v>
      </c>
      <c r="AH12" s="230">
        <f t="shared" ref="AH12" si="15">R12-Q12</f>
        <v>5.1240000000000006</v>
      </c>
    </row>
    <row r="13" spans="1:34">
      <c r="A13" s="275"/>
      <c r="B13" s="10" t="s">
        <v>95</v>
      </c>
      <c r="C13" s="94">
        <v>15.702</v>
      </c>
      <c r="D13" s="11">
        <v>17.97</v>
      </c>
      <c r="E13" s="11">
        <v>19.515999999999998</v>
      </c>
      <c r="F13" s="11">
        <v>20.192</v>
      </c>
      <c r="G13" s="11">
        <v>20.728000000000002</v>
      </c>
      <c r="H13" s="11">
        <v>21.114999999999998</v>
      </c>
      <c r="I13" s="11">
        <v>21.317</v>
      </c>
      <c r="J13" s="11">
        <v>21.492999999999999</v>
      </c>
      <c r="K13" s="11">
        <v>21.707000000000001</v>
      </c>
      <c r="L13" s="11">
        <v>21.984000000000002</v>
      </c>
      <c r="M13" s="11"/>
      <c r="N13" s="11">
        <v>22.271000000000001</v>
      </c>
      <c r="O13" s="11">
        <v>23.3</v>
      </c>
      <c r="P13" s="11"/>
      <c r="Q13" s="11"/>
      <c r="R13" s="11">
        <v>24.882999999999999</v>
      </c>
      <c r="S13" s="9"/>
      <c r="T13" s="9">
        <f>R13-C13</f>
        <v>9.1809999999999992</v>
      </c>
      <c r="V13" s="1"/>
      <c r="W13" s="229"/>
      <c r="X13" s="229"/>
      <c r="Y13" s="229"/>
      <c r="Z13" s="229"/>
      <c r="AA13" s="229"/>
      <c r="AB13" s="229"/>
      <c r="AC13" s="229"/>
      <c r="AD13" s="229"/>
      <c r="AE13" s="229"/>
      <c r="AF13" s="233"/>
      <c r="AG13" s="233"/>
      <c r="AH13" s="229"/>
    </row>
    <row r="14" spans="1:34">
      <c r="A14" s="275">
        <v>6</v>
      </c>
      <c r="B14" s="248" t="s">
        <v>329</v>
      </c>
      <c r="C14" s="94">
        <v>80.274000000000001</v>
      </c>
      <c r="D14" s="11">
        <v>86.064999999999998</v>
      </c>
      <c r="E14" s="11">
        <v>91.012</v>
      </c>
      <c r="F14" s="11">
        <v>96.426000000000002</v>
      </c>
      <c r="G14" s="11">
        <v>98.423000000000002</v>
      </c>
      <c r="H14" s="11">
        <v>103.15900000000001</v>
      </c>
      <c r="I14" s="11">
        <v>107.834</v>
      </c>
      <c r="J14" s="11">
        <v>112.45</v>
      </c>
      <c r="K14" s="11">
        <v>117.24299999999999</v>
      </c>
      <c r="L14" s="11">
        <v>121.99</v>
      </c>
      <c r="M14" s="11">
        <v>0.01</v>
      </c>
      <c r="N14" s="11">
        <v>0.214</v>
      </c>
      <c r="O14" s="11">
        <v>0.217</v>
      </c>
      <c r="P14" s="247">
        <v>0.218</v>
      </c>
      <c r="Q14" s="247">
        <v>1.4E-2</v>
      </c>
      <c r="R14" s="11">
        <v>4.2469999999999999</v>
      </c>
      <c r="S14" s="9">
        <f>R14-Q14+P14-M14+L14-C14</f>
        <v>46.156999999999996</v>
      </c>
      <c r="V14" s="1">
        <v>6</v>
      </c>
      <c r="W14" s="230">
        <f t="shared" ref="W14:AE14" si="16">D14-C14</f>
        <v>5.7909999999999968</v>
      </c>
      <c r="X14" s="230">
        <f t="shared" si="16"/>
        <v>4.9470000000000027</v>
      </c>
      <c r="Y14" s="230">
        <f t="shared" si="16"/>
        <v>5.4140000000000015</v>
      </c>
      <c r="Z14" s="230">
        <f t="shared" si="16"/>
        <v>1.9969999999999999</v>
      </c>
      <c r="AA14" s="230">
        <f t="shared" si="16"/>
        <v>4.7360000000000042</v>
      </c>
      <c r="AB14" s="230">
        <f t="shared" si="16"/>
        <v>4.6749999999999972</v>
      </c>
      <c r="AC14" s="230">
        <f t="shared" si="16"/>
        <v>4.6159999999999997</v>
      </c>
      <c r="AD14" s="230">
        <f t="shared" si="16"/>
        <v>4.7929999999999922</v>
      </c>
      <c r="AE14" s="230">
        <f t="shared" si="16"/>
        <v>4.7469999999999999</v>
      </c>
      <c r="AF14" s="231">
        <f t="shared" ref="AF14:AG14" si="17">N14-M14</f>
        <v>0.20399999999999999</v>
      </c>
      <c r="AG14" s="231">
        <f t="shared" si="17"/>
        <v>3.0000000000000027E-3</v>
      </c>
      <c r="AH14" s="230">
        <f t="shared" ref="AH14" si="18">R14-Q14</f>
        <v>4.2329999999999997</v>
      </c>
    </row>
    <row r="15" spans="1:34">
      <c r="A15" s="275"/>
      <c r="B15" s="10" t="s">
        <v>96</v>
      </c>
      <c r="C15" s="94">
        <v>31.925999999999998</v>
      </c>
      <c r="D15" s="11">
        <v>37.729999999999997</v>
      </c>
      <c r="E15" s="11">
        <v>41.51</v>
      </c>
      <c r="F15" s="11">
        <v>44.494</v>
      </c>
      <c r="G15" s="11">
        <v>44.906999999999996</v>
      </c>
      <c r="H15" s="11">
        <v>46.567999999999998</v>
      </c>
      <c r="I15" s="11">
        <v>46.857999999999997</v>
      </c>
      <c r="J15" s="11">
        <v>47.154000000000003</v>
      </c>
      <c r="K15" s="11">
        <v>47.44</v>
      </c>
      <c r="L15" s="11">
        <v>48.167000000000002</v>
      </c>
      <c r="M15" s="11"/>
      <c r="N15" s="11">
        <v>50.393999999999998</v>
      </c>
      <c r="O15" s="11">
        <v>53.402999999999999</v>
      </c>
      <c r="P15" s="11"/>
      <c r="Q15" s="11"/>
      <c r="R15" s="11">
        <v>58.192999999999998</v>
      </c>
      <c r="S15" s="9"/>
      <c r="T15" s="9">
        <f>R15-C15</f>
        <v>26.266999999999999</v>
      </c>
      <c r="V15" s="1"/>
      <c r="W15" s="229"/>
      <c r="X15" s="229"/>
      <c r="Y15" s="229"/>
      <c r="Z15" s="229"/>
      <c r="AA15" s="229"/>
      <c r="AB15" s="229"/>
      <c r="AC15" s="229"/>
      <c r="AD15" s="229"/>
      <c r="AE15" s="229"/>
      <c r="AF15" s="233"/>
      <c r="AG15" s="233"/>
      <c r="AH15" s="229"/>
    </row>
    <row r="16" spans="1:34">
      <c r="A16" s="275">
        <v>7</v>
      </c>
      <c r="B16" s="224" t="s">
        <v>302</v>
      </c>
      <c r="C16" s="94">
        <v>42.171999999999997</v>
      </c>
      <c r="D16" s="11">
        <v>43.613999999999997</v>
      </c>
      <c r="E16" s="11">
        <v>45.408000000000001</v>
      </c>
      <c r="F16" s="11">
        <v>47.143000000000001</v>
      </c>
      <c r="G16" s="11">
        <v>49.244</v>
      </c>
      <c r="H16" s="11">
        <v>51.408000000000001</v>
      </c>
      <c r="I16" s="11">
        <v>53.215000000000003</v>
      </c>
      <c r="J16" s="11">
        <v>55.052999999999997</v>
      </c>
      <c r="K16" s="11">
        <v>57.11</v>
      </c>
      <c r="L16" s="11">
        <v>58.515000000000001</v>
      </c>
      <c r="M16" s="11">
        <v>0.01</v>
      </c>
      <c r="N16" s="11">
        <v>1.64</v>
      </c>
      <c r="O16" s="11">
        <v>2.9319999999999999</v>
      </c>
      <c r="P16" s="11">
        <v>3.4740000000000002</v>
      </c>
      <c r="Q16" s="11">
        <v>3.4740000000000002</v>
      </c>
      <c r="R16" s="11">
        <v>5.3360000000000003</v>
      </c>
      <c r="S16" s="9">
        <f t="shared" ref="S16" si="19">R16-M16+L16-C16</f>
        <v>21.669000000000004</v>
      </c>
      <c r="V16" s="1">
        <v>7</v>
      </c>
      <c r="W16" s="230">
        <f t="shared" ref="W16:AE16" si="20">D16-C16</f>
        <v>1.4420000000000002</v>
      </c>
      <c r="X16" s="230">
        <f t="shared" si="20"/>
        <v>1.794000000000004</v>
      </c>
      <c r="Y16" s="230">
        <f t="shared" si="20"/>
        <v>1.7349999999999994</v>
      </c>
      <c r="Z16" s="230">
        <f t="shared" si="20"/>
        <v>2.1009999999999991</v>
      </c>
      <c r="AA16" s="230">
        <f t="shared" si="20"/>
        <v>2.1640000000000015</v>
      </c>
      <c r="AB16" s="230">
        <f t="shared" si="20"/>
        <v>1.8070000000000022</v>
      </c>
      <c r="AC16" s="230">
        <f t="shared" si="20"/>
        <v>1.8379999999999939</v>
      </c>
      <c r="AD16" s="230">
        <f t="shared" si="20"/>
        <v>2.0570000000000022</v>
      </c>
      <c r="AE16" s="230">
        <f t="shared" si="20"/>
        <v>1.4050000000000011</v>
      </c>
      <c r="AF16" s="232">
        <f t="shared" ref="AF16:AG16" si="21">N16-M16</f>
        <v>1.63</v>
      </c>
      <c r="AG16" s="232">
        <f t="shared" si="21"/>
        <v>1.292</v>
      </c>
      <c r="AH16" s="230">
        <f t="shared" ref="AH16" si="22">R16-Q16</f>
        <v>1.8620000000000001</v>
      </c>
    </row>
    <row r="17" spans="1:34">
      <c r="A17" s="275"/>
      <c r="B17" s="10" t="s">
        <v>97</v>
      </c>
      <c r="C17" s="94">
        <v>3.1309999999999998</v>
      </c>
      <c r="D17" s="11">
        <v>3.2570000000000001</v>
      </c>
      <c r="E17" s="11">
        <v>3.3610000000000002</v>
      </c>
      <c r="F17" s="11">
        <v>3.45</v>
      </c>
      <c r="G17" s="11">
        <v>3.532</v>
      </c>
      <c r="H17" s="11">
        <v>3.6080000000000001</v>
      </c>
      <c r="I17" s="212">
        <v>3.621</v>
      </c>
      <c r="J17" s="11">
        <v>3.7690000000000001</v>
      </c>
      <c r="K17" s="11">
        <v>3.923</v>
      </c>
      <c r="L17" s="11">
        <v>4.0439999999999996</v>
      </c>
      <c r="M17" s="11"/>
      <c r="N17" s="11">
        <v>4.181</v>
      </c>
      <c r="O17" s="11">
        <v>4.298</v>
      </c>
      <c r="P17" s="11"/>
      <c r="Q17" s="11"/>
      <c r="R17" s="11">
        <v>4.516</v>
      </c>
      <c r="S17" s="9"/>
      <c r="T17" s="9">
        <f>R17-C17</f>
        <v>1.3850000000000002</v>
      </c>
      <c r="V17" s="1"/>
      <c r="W17" s="229"/>
      <c r="X17" s="229"/>
      <c r="Y17" s="229"/>
      <c r="Z17" s="229"/>
      <c r="AA17" s="229"/>
      <c r="AB17" s="229"/>
      <c r="AC17" s="229"/>
      <c r="AD17" s="229"/>
      <c r="AE17" s="229"/>
      <c r="AF17" s="229"/>
      <c r="AG17" s="229"/>
      <c r="AH17" s="229"/>
    </row>
    <row r="18" spans="1:34">
      <c r="A18" s="275">
        <v>8</v>
      </c>
      <c r="B18" s="248" t="s">
        <v>330</v>
      </c>
      <c r="C18" s="94">
        <v>293.92599999999999</v>
      </c>
      <c r="D18" s="11">
        <v>302.96600000000001</v>
      </c>
      <c r="E18" s="11">
        <v>310.64400000000001</v>
      </c>
      <c r="F18" s="11">
        <v>318.66699999999997</v>
      </c>
      <c r="G18" s="11">
        <v>327.06900000000002</v>
      </c>
      <c r="H18" s="11">
        <v>334.27300000000002</v>
      </c>
      <c r="I18" s="11">
        <v>340.00099999999998</v>
      </c>
      <c r="J18" s="11">
        <v>346.50799999999998</v>
      </c>
      <c r="K18" s="11">
        <v>353.28899999999999</v>
      </c>
      <c r="L18" s="11">
        <v>359.57499999999999</v>
      </c>
      <c r="M18" s="11">
        <v>0.01</v>
      </c>
      <c r="N18" s="11">
        <v>0.182</v>
      </c>
      <c r="O18" s="11">
        <v>0.25800000000000001</v>
      </c>
      <c r="P18" s="247">
        <v>0.27900000000000003</v>
      </c>
      <c r="Q18" s="247">
        <v>3.5000000000000003E-2</v>
      </c>
      <c r="R18" s="11">
        <v>4.8</v>
      </c>
      <c r="S18" s="9">
        <f>R18-Q18+P18-M18+L18-C18</f>
        <v>70.682999999999993</v>
      </c>
      <c r="V18" s="1">
        <v>8</v>
      </c>
      <c r="W18" s="230">
        <f t="shared" ref="W18:AE18" si="23">D18-C18</f>
        <v>9.0400000000000205</v>
      </c>
      <c r="X18" s="230">
        <f t="shared" si="23"/>
        <v>7.6779999999999973</v>
      </c>
      <c r="Y18" s="230">
        <f t="shared" si="23"/>
        <v>8.0229999999999677</v>
      </c>
      <c r="Z18" s="230">
        <f t="shared" si="23"/>
        <v>8.4020000000000437</v>
      </c>
      <c r="AA18" s="230">
        <f t="shared" si="23"/>
        <v>7.2040000000000077</v>
      </c>
      <c r="AB18" s="230">
        <f t="shared" si="23"/>
        <v>5.7279999999999518</v>
      </c>
      <c r="AC18" s="230">
        <f t="shared" si="23"/>
        <v>6.507000000000005</v>
      </c>
      <c r="AD18" s="230">
        <f t="shared" si="23"/>
        <v>6.7810000000000059</v>
      </c>
      <c r="AE18" s="230">
        <f t="shared" si="23"/>
        <v>6.2860000000000014</v>
      </c>
      <c r="AF18" s="231">
        <f t="shared" ref="AF18:AG18" si="24">N18-M18</f>
        <v>0.17199999999999999</v>
      </c>
      <c r="AG18" s="231">
        <f t="shared" si="24"/>
        <v>7.6000000000000012E-2</v>
      </c>
      <c r="AH18" s="230">
        <f t="shared" ref="AH18" si="25">R18-Q18</f>
        <v>4.7649999999999997</v>
      </c>
    </row>
    <row r="19" spans="1:34">
      <c r="A19" s="275"/>
      <c r="B19" s="10" t="s">
        <v>98</v>
      </c>
      <c r="C19" s="94">
        <v>38.798999999999999</v>
      </c>
      <c r="D19" s="11">
        <v>46.412999999999997</v>
      </c>
      <c r="E19" s="11">
        <v>51.853000000000002</v>
      </c>
      <c r="F19" s="11">
        <v>57.198</v>
      </c>
      <c r="G19" s="11">
        <v>60.692999999999998</v>
      </c>
      <c r="H19" s="11">
        <v>63.127000000000002</v>
      </c>
      <c r="I19" s="11">
        <v>63.47</v>
      </c>
      <c r="J19" s="11">
        <v>63.857999999999997</v>
      </c>
      <c r="K19" s="11">
        <v>64.245000000000005</v>
      </c>
      <c r="L19" s="11">
        <v>65.903999999999996</v>
      </c>
      <c r="M19" s="11"/>
      <c r="N19" s="11">
        <v>70.385999999999996</v>
      </c>
      <c r="O19" s="11">
        <v>76.007000000000005</v>
      </c>
      <c r="P19" s="11"/>
      <c r="Q19" s="11"/>
      <c r="R19" s="11">
        <v>83.438999999999993</v>
      </c>
      <c r="S19" s="9"/>
      <c r="T19" s="9">
        <f>R19-C19</f>
        <v>44.639999999999993</v>
      </c>
      <c r="V19" s="1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  <c r="AH19" s="229"/>
    </row>
    <row r="20" spans="1:34">
      <c r="A20" s="275">
        <v>9</v>
      </c>
      <c r="B20" s="248" t="s">
        <v>331</v>
      </c>
      <c r="C20" s="94">
        <v>347.76100000000002</v>
      </c>
      <c r="D20" s="11">
        <v>355.02300000000002</v>
      </c>
      <c r="E20" s="11">
        <v>360.30200000000002</v>
      </c>
      <c r="F20" s="11">
        <v>367.28399999999999</v>
      </c>
      <c r="G20" s="11">
        <v>374.82299999999998</v>
      </c>
      <c r="H20" s="11">
        <v>380.95299999999997</v>
      </c>
      <c r="I20" s="11">
        <v>388.08199999999999</v>
      </c>
      <c r="J20" s="11">
        <v>396.21699999999998</v>
      </c>
      <c r="K20" s="11">
        <v>405.10599999999999</v>
      </c>
      <c r="L20" s="11">
        <v>408.90199999999999</v>
      </c>
      <c r="M20" s="11">
        <v>0.01</v>
      </c>
      <c r="N20" s="11">
        <v>2.95</v>
      </c>
      <c r="O20" s="11">
        <v>4.3449999999999998</v>
      </c>
      <c r="P20" s="247">
        <v>4.54</v>
      </c>
      <c r="Q20" s="247">
        <v>6.7000000000000004E-2</v>
      </c>
      <c r="R20" s="11">
        <v>6.423</v>
      </c>
      <c r="S20" s="9">
        <f>R20-Q20+P20-M20+L20-C20</f>
        <v>72.026999999999987</v>
      </c>
      <c r="V20" s="1">
        <v>9</v>
      </c>
      <c r="W20" s="230">
        <f t="shared" ref="W20:AE20" si="26">D20-C20</f>
        <v>7.2620000000000005</v>
      </c>
      <c r="X20" s="230">
        <f t="shared" si="26"/>
        <v>5.2789999999999964</v>
      </c>
      <c r="Y20" s="230">
        <f t="shared" si="26"/>
        <v>6.9819999999999709</v>
      </c>
      <c r="Z20" s="230">
        <f t="shared" si="26"/>
        <v>7.5389999999999873</v>
      </c>
      <c r="AA20" s="230">
        <f t="shared" si="26"/>
        <v>6.1299999999999955</v>
      </c>
      <c r="AB20" s="230">
        <f t="shared" si="26"/>
        <v>7.1290000000000191</v>
      </c>
      <c r="AC20" s="230">
        <f t="shared" si="26"/>
        <v>8.1349999999999909</v>
      </c>
      <c r="AD20" s="230">
        <f t="shared" si="26"/>
        <v>8.88900000000001</v>
      </c>
      <c r="AE20" s="230">
        <f t="shared" si="26"/>
        <v>3.7959999999999923</v>
      </c>
      <c r="AF20" s="231">
        <f t="shared" ref="AF20:AG20" si="27">N20-M20</f>
        <v>2.9400000000000004</v>
      </c>
      <c r="AG20" s="231">
        <f t="shared" si="27"/>
        <v>1.3949999999999996</v>
      </c>
      <c r="AH20" s="230">
        <f t="shared" ref="AH20" si="28">R20-Q20</f>
        <v>6.3559999999999999</v>
      </c>
    </row>
    <row r="21" spans="1:34">
      <c r="A21" s="275"/>
      <c r="B21" s="10" t="s">
        <v>99</v>
      </c>
      <c r="C21" s="94">
        <v>33.909999999999997</v>
      </c>
      <c r="D21" s="11">
        <v>39.231000000000002</v>
      </c>
      <c r="E21" s="11">
        <v>42.134999999999998</v>
      </c>
      <c r="F21" s="11">
        <v>44.109000000000002</v>
      </c>
      <c r="G21" s="11">
        <v>44.94</v>
      </c>
      <c r="H21" s="11">
        <v>45.627000000000002</v>
      </c>
      <c r="I21" s="11">
        <v>45.976999999999997</v>
      </c>
      <c r="J21" s="11">
        <v>46.369</v>
      </c>
      <c r="K21" s="11">
        <v>46.786999999999999</v>
      </c>
      <c r="L21" s="11">
        <v>47.146999999999998</v>
      </c>
      <c r="M21" s="11"/>
      <c r="N21" s="11">
        <v>48.936</v>
      </c>
      <c r="O21" s="11">
        <v>52.353000000000002</v>
      </c>
      <c r="P21" s="11"/>
      <c r="Q21" s="11"/>
      <c r="R21" s="11">
        <v>57.122999999999998</v>
      </c>
      <c r="S21" s="9"/>
      <c r="T21" s="9">
        <f>R21-C21</f>
        <v>23.213000000000001</v>
      </c>
      <c r="V21" s="1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</row>
    <row r="22" spans="1:34">
      <c r="A22" s="275">
        <v>10</v>
      </c>
      <c r="B22" s="224" t="s">
        <v>303</v>
      </c>
      <c r="C22" s="94">
        <v>920.55</v>
      </c>
      <c r="D22" s="11">
        <v>939.67399999999998</v>
      </c>
      <c r="E22" s="11">
        <v>955.24900000000002</v>
      </c>
      <c r="F22" s="11">
        <v>972.77</v>
      </c>
      <c r="G22" s="11">
        <v>990.86699999999996</v>
      </c>
      <c r="H22" s="11">
        <v>1009</v>
      </c>
      <c r="I22" s="11">
        <v>1024.665</v>
      </c>
      <c r="J22" s="11">
        <v>1039.1469999999999</v>
      </c>
      <c r="K22" s="11">
        <v>1054.53</v>
      </c>
      <c r="L22" s="11">
        <v>1071.7660000000001</v>
      </c>
      <c r="M22" s="11">
        <v>0.01</v>
      </c>
      <c r="N22" s="11">
        <v>15.430999999999999</v>
      </c>
      <c r="O22" s="11">
        <v>32.264000000000003</v>
      </c>
      <c r="P22" s="11">
        <v>36.146999999999998</v>
      </c>
      <c r="Q22" s="11">
        <v>36.146999999999998</v>
      </c>
      <c r="R22" s="11">
        <v>53.96</v>
      </c>
      <c r="S22" s="9">
        <f t="shared" ref="S22" si="29">R22-M22+L22-C22</f>
        <v>205.16600000000017</v>
      </c>
      <c r="V22" s="1">
        <v>10</v>
      </c>
      <c r="W22" s="230">
        <f t="shared" ref="W22:AE22" si="30">D22-C22</f>
        <v>19.124000000000024</v>
      </c>
      <c r="X22" s="230">
        <f t="shared" si="30"/>
        <v>15.575000000000045</v>
      </c>
      <c r="Y22" s="230">
        <f t="shared" si="30"/>
        <v>17.520999999999958</v>
      </c>
      <c r="Z22" s="230">
        <f t="shared" si="30"/>
        <v>18.09699999999998</v>
      </c>
      <c r="AA22" s="230">
        <f t="shared" si="30"/>
        <v>18.133000000000038</v>
      </c>
      <c r="AB22" s="230">
        <f t="shared" si="30"/>
        <v>15.664999999999964</v>
      </c>
      <c r="AC22" s="230">
        <f t="shared" si="30"/>
        <v>14.481999999999971</v>
      </c>
      <c r="AD22" s="230">
        <f t="shared" si="30"/>
        <v>15.383000000000038</v>
      </c>
      <c r="AE22" s="230">
        <f t="shared" si="30"/>
        <v>17.236000000000104</v>
      </c>
      <c r="AF22" s="230">
        <f t="shared" ref="AF22:AG22" si="31">N22-M22</f>
        <v>15.420999999999999</v>
      </c>
      <c r="AG22" s="230">
        <f t="shared" si="31"/>
        <v>16.833000000000006</v>
      </c>
      <c r="AH22" s="230">
        <f t="shared" ref="AH22" si="32">R22-Q22</f>
        <v>17.813000000000002</v>
      </c>
    </row>
    <row r="23" spans="1:34">
      <c r="A23" s="275"/>
      <c r="B23" s="10" t="s">
        <v>100</v>
      </c>
      <c r="C23" s="94">
        <v>34.756</v>
      </c>
      <c r="D23" s="11">
        <v>39.807000000000002</v>
      </c>
      <c r="E23" s="11">
        <v>42.844000000000001</v>
      </c>
      <c r="F23" s="11">
        <v>44.975999999999999</v>
      </c>
      <c r="G23" s="11">
        <v>46.505000000000003</v>
      </c>
      <c r="H23" s="11">
        <v>47.957000000000001</v>
      </c>
      <c r="I23" s="11">
        <v>48.819000000000003</v>
      </c>
      <c r="J23" s="11">
        <v>49.567</v>
      </c>
      <c r="K23" s="11">
        <v>50.326000000000001</v>
      </c>
      <c r="L23" s="11">
        <v>51.29</v>
      </c>
      <c r="M23" s="11"/>
      <c r="N23" s="11">
        <v>52.454999999999998</v>
      </c>
      <c r="O23" s="11">
        <v>54.564</v>
      </c>
      <c r="P23" s="11"/>
      <c r="Q23" s="11"/>
      <c r="R23" s="11">
        <v>58.206000000000003</v>
      </c>
      <c r="S23" s="13"/>
      <c r="T23" s="146">
        <f>R23-C23</f>
        <v>23.450000000000003</v>
      </c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  <c r="AG23" s="229"/>
      <c r="AH23" s="229"/>
    </row>
    <row r="24" spans="1:34">
      <c r="A24" s="174"/>
      <c r="B24" s="10"/>
      <c r="C24" s="9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9">
        <f>SUM(S4:S23)</f>
        <v>784.46500000000015</v>
      </c>
      <c r="T24" s="9">
        <f>SUM(T4:T23)</f>
        <v>241.54299999999995</v>
      </c>
    </row>
    <row r="25" spans="1:34">
      <c r="A25" s="174" t="s">
        <v>25</v>
      </c>
      <c r="B25" s="10" t="s">
        <v>101</v>
      </c>
      <c r="C25" s="95">
        <v>31723</v>
      </c>
      <c r="D25" s="15">
        <v>31982</v>
      </c>
      <c r="E25" s="15">
        <v>32406</v>
      </c>
      <c r="F25" s="15">
        <v>32659</v>
      </c>
      <c r="G25" s="15">
        <v>32945</v>
      </c>
      <c r="H25" s="15">
        <v>33223</v>
      </c>
      <c r="I25" s="15">
        <v>33439</v>
      </c>
      <c r="J25" s="15">
        <v>33668</v>
      </c>
      <c r="K25" s="15">
        <v>33944</v>
      </c>
      <c r="L25" s="15">
        <v>34179</v>
      </c>
      <c r="M25" s="15"/>
      <c r="N25" s="15">
        <v>34438</v>
      </c>
      <c r="O25" s="15">
        <v>34654</v>
      </c>
      <c r="P25" s="15"/>
      <c r="Q25" s="15"/>
      <c r="R25" s="15">
        <v>34912</v>
      </c>
      <c r="S25" s="9"/>
      <c r="U25" s="18">
        <f>R25-C25</f>
        <v>3189</v>
      </c>
    </row>
    <row r="26" spans="1:34">
      <c r="A26" s="174"/>
      <c r="B26" s="224" t="s">
        <v>298</v>
      </c>
      <c r="C26" s="96">
        <v>3310</v>
      </c>
      <c r="D26" s="20">
        <v>3396.9</v>
      </c>
      <c r="E26" s="20">
        <v>3475.2</v>
      </c>
      <c r="F26" s="20">
        <v>3554.5</v>
      </c>
      <c r="G26" s="20">
        <v>3639.2</v>
      </c>
      <c r="H26" s="20">
        <v>3721.4</v>
      </c>
      <c r="I26" s="20">
        <v>3785.3</v>
      </c>
      <c r="J26" s="20">
        <v>3847.5</v>
      </c>
      <c r="K26" s="20">
        <v>3924.3</v>
      </c>
      <c r="L26" s="20">
        <v>4002.8</v>
      </c>
      <c r="M26" s="20">
        <v>0</v>
      </c>
      <c r="N26" s="20">
        <v>71.7</v>
      </c>
      <c r="O26" s="20">
        <v>152.80000000000001</v>
      </c>
      <c r="P26" s="20">
        <v>171.4</v>
      </c>
      <c r="Q26" s="20">
        <v>171.4</v>
      </c>
      <c r="R26" s="20">
        <v>247.5</v>
      </c>
      <c r="S26" s="9">
        <f t="shared" ref="S26" si="33">R26-M26+L26-C26</f>
        <v>940.30000000000018</v>
      </c>
    </row>
    <row r="27" spans="1:34">
      <c r="A27" s="183"/>
      <c r="B27" s="10" t="s">
        <v>27</v>
      </c>
      <c r="C27" s="97">
        <v>144.29</v>
      </c>
      <c r="D27" s="21">
        <v>155.83000000000001</v>
      </c>
      <c r="E27" s="21">
        <v>166.98</v>
      </c>
      <c r="F27" s="21">
        <v>175.76</v>
      </c>
      <c r="G27" s="21">
        <v>181.52</v>
      </c>
      <c r="H27" s="21">
        <v>186.59</v>
      </c>
      <c r="I27" s="21">
        <v>187.85</v>
      </c>
      <c r="J27" s="21">
        <v>189.19</v>
      </c>
      <c r="K27" s="22">
        <v>190.71</v>
      </c>
      <c r="L27" s="21">
        <v>193.27</v>
      </c>
      <c r="M27" s="21"/>
      <c r="N27" s="21">
        <v>200.22</v>
      </c>
      <c r="O27" s="21">
        <v>210.27</v>
      </c>
      <c r="P27" s="21"/>
      <c r="Q27" s="21"/>
      <c r="R27" s="21">
        <v>223.94</v>
      </c>
      <c r="S27" s="9"/>
      <c r="T27" s="9">
        <f>(R27-C27)*3.6</f>
        <v>286.74</v>
      </c>
    </row>
    <row r="28" spans="1:34" ht="15.75" thickBot="1">
      <c r="A28" s="173"/>
      <c r="B28" s="31" t="s">
        <v>28</v>
      </c>
      <c r="C28" s="98">
        <v>6355</v>
      </c>
      <c r="D28" s="24">
        <v>6910</v>
      </c>
      <c r="E28" s="24">
        <v>7264</v>
      </c>
      <c r="F28" s="24">
        <v>7530</v>
      </c>
      <c r="G28" s="24">
        <v>7712</v>
      </c>
      <c r="H28" s="24">
        <v>7883</v>
      </c>
      <c r="I28" s="24">
        <v>7943</v>
      </c>
      <c r="J28" s="24">
        <v>8007</v>
      </c>
      <c r="K28" s="37">
        <v>8076</v>
      </c>
      <c r="L28" s="24">
        <v>8180</v>
      </c>
      <c r="M28" s="24"/>
      <c r="N28" s="24">
        <v>8425</v>
      </c>
      <c r="O28" s="24">
        <v>8758</v>
      </c>
      <c r="P28" s="24"/>
      <c r="Q28" s="24"/>
      <c r="R28" s="24">
        <v>9198</v>
      </c>
      <c r="S28" s="9"/>
    </row>
    <row r="29" spans="1:34" ht="15.75" thickBot="1">
      <c r="A29" s="187" t="str">
        <f>'1854'!A29</f>
        <v>Fakturační vodoměr:           02343759</v>
      </c>
      <c r="B29" s="25"/>
      <c r="C29" s="26">
        <f>'1854'!C29</f>
        <v>18371</v>
      </c>
      <c r="D29" s="26">
        <f>'1854'!D29</f>
        <v>18663.400000000001</v>
      </c>
      <c r="E29" s="26">
        <f>'1854'!E29</f>
        <v>18931.2</v>
      </c>
      <c r="F29" s="26">
        <f>'1854'!F29</f>
        <v>19208.5</v>
      </c>
      <c r="G29" s="26">
        <f>'1854'!G29</f>
        <v>19505.5</v>
      </c>
      <c r="H29" s="26">
        <f>'1854'!H29</f>
        <v>19795.5</v>
      </c>
      <c r="I29" s="26">
        <f>'1854'!I29</f>
        <v>20033.7</v>
      </c>
      <c r="J29" s="26">
        <f>'1854'!J29</f>
        <v>20265</v>
      </c>
      <c r="K29" s="26">
        <f>'1854'!K29</f>
        <v>20525.099999999999</v>
      </c>
      <c r="L29" s="26">
        <f>'1854'!L29</f>
        <v>20786.5</v>
      </c>
      <c r="M29" s="26"/>
      <c r="N29" s="26">
        <f>'1854'!N29</f>
        <v>21062.5</v>
      </c>
      <c r="O29" s="26">
        <f>'1854'!O29</f>
        <v>21335.599999999999</v>
      </c>
      <c r="P29" s="26"/>
      <c r="Q29" s="26"/>
      <c r="R29" s="26">
        <f>'1854'!R29</f>
        <v>21658.9</v>
      </c>
      <c r="S29" s="9">
        <f>R29-C29</f>
        <v>3287.9000000000015</v>
      </c>
    </row>
    <row r="31" spans="1:34">
      <c r="A31" s="186"/>
      <c r="D31" s="28" t="s">
        <v>29</v>
      </c>
      <c r="I31" s="217" t="s">
        <v>227</v>
      </c>
      <c r="J31" s="218"/>
      <c r="K31" s="219"/>
      <c r="L31" s="218"/>
    </row>
    <row r="32" spans="1:34">
      <c r="I32" t="s">
        <v>318</v>
      </c>
    </row>
    <row r="33" spans="9:12">
      <c r="I33" s="259" t="s">
        <v>346</v>
      </c>
      <c r="J33" s="257"/>
      <c r="K33" s="258"/>
      <c r="L33" s="257"/>
    </row>
  </sheetData>
  <sheetProtection selectLockedCells="1" selectUnlockedCells="1"/>
  <mergeCells count="10"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H4">
    <cfRule type="cellIs" dxfId="2451" priority="1" stopIfTrue="1" operator="lessThan">
      <formula>'1855'!$G$4</formula>
    </cfRule>
    <cfRule type="cellIs" dxfId="2450" priority="2" stopIfTrue="1" operator="equal">
      <formula>'1855'!$G$4</formula>
    </cfRule>
  </conditionalFormatting>
  <conditionalFormatting sqref="G7">
    <cfRule type="cellIs" dxfId="2449" priority="3" stopIfTrue="1" operator="equal">
      <formula>'1855'!$F$7</formula>
    </cfRule>
    <cfRule type="cellIs" dxfId="2448" priority="4" stopIfTrue="1" operator="lessThan">
      <formula>'1855'!$F$7</formula>
    </cfRule>
  </conditionalFormatting>
  <conditionalFormatting sqref="H5">
    <cfRule type="cellIs" dxfId="2447" priority="5" stopIfTrue="1" operator="equal">
      <formula>'1855'!$G$5</formula>
    </cfRule>
    <cfRule type="cellIs" dxfId="2446" priority="6" stopIfTrue="1" operator="lessThan">
      <formula>'1855'!$G$5</formula>
    </cfRule>
  </conditionalFormatting>
  <conditionalFormatting sqref="I5">
    <cfRule type="cellIs" dxfId="2445" priority="7" stopIfTrue="1" operator="equal">
      <formula>'1855'!$H$5</formula>
    </cfRule>
    <cfRule type="cellIs" dxfId="2444" priority="8" stopIfTrue="1" operator="lessThan">
      <formula>'1855'!$H$5</formula>
    </cfRule>
  </conditionalFormatting>
  <conditionalFormatting sqref="J5">
    <cfRule type="cellIs" dxfId="2443" priority="9" stopIfTrue="1" operator="equal">
      <formula>'1855'!$I$5</formula>
    </cfRule>
    <cfRule type="cellIs" dxfId="2442" priority="10" stopIfTrue="1" operator="lessThan">
      <formula>'1855'!$I$5</formula>
    </cfRule>
  </conditionalFormatting>
  <conditionalFormatting sqref="F4">
    <cfRule type="cellIs" dxfId="2441" priority="11" stopIfTrue="1" operator="equal">
      <formula>'1855'!$E$4</formula>
    </cfRule>
    <cfRule type="cellIs" dxfId="2440" priority="12" stopIfTrue="1" operator="lessThan">
      <formula>'1855'!$E$4</formula>
    </cfRule>
  </conditionalFormatting>
  <conditionalFormatting sqref="D4">
    <cfRule type="cellIs" dxfId="2439" priority="13" stopIfTrue="1" operator="lessThan">
      <formula>'1855'!$C$4</formula>
    </cfRule>
    <cfRule type="cellIs" dxfId="2438" priority="14" stopIfTrue="1" operator="equal">
      <formula>'1855'!$C$4</formula>
    </cfRule>
  </conditionalFormatting>
  <conditionalFormatting sqref="E4">
    <cfRule type="cellIs" dxfId="2437" priority="15" stopIfTrue="1" operator="equal">
      <formula>'1855'!$D$4</formula>
    </cfRule>
    <cfRule type="cellIs" dxfId="2436" priority="16" stopIfTrue="1" operator="lessThan">
      <formula>'1855'!$D$4</formula>
    </cfRule>
  </conditionalFormatting>
  <conditionalFormatting sqref="D5">
    <cfRule type="cellIs" dxfId="2435" priority="17" stopIfTrue="1" operator="equal">
      <formula>'1855'!$C$5</formula>
    </cfRule>
    <cfRule type="cellIs" dxfId="2434" priority="18" stopIfTrue="1" operator="lessThan">
      <formula>'1855'!$C$5</formula>
    </cfRule>
  </conditionalFormatting>
  <conditionalFormatting sqref="F5">
    <cfRule type="cellIs" dxfId="2433" priority="19" stopIfTrue="1" operator="equal">
      <formula>'1855'!$E$5</formula>
    </cfRule>
    <cfRule type="cellIs" dxfId="2432" priority="20" stopIfTrue="1" operator="lessThan">
      <formula>'1855'!$E$5</formula>
    </cfRule>
  </conditionalFormatting>
  <conditionalFormatting sqref="I4">
    <cfRule type="cellIs" dxfId="2431" priority="21" stopIfTrue="1" operator="equal">
      <formula>'1855'!$H$4</formula>
    </cfRule>
  </conditionalFormatting>
  <conditionalFormatting sqref="J4">
    <cfRule type="cellIs" dxfId="2430" priority="22" stopIfTrue="1" operator="lessThan">
      <formula>'1855'!$I$4</formula>
    </cfRule>
    <cfRule type="cellIs" dxfId="2429" priority="23" stopIfTrue="1" operator="equal">
      <formula>'1855'!$I$4</formula>
    </cfRule>
  </conditionalFormatting>
  <conditionalFormatting sqref="D6">
    <cfRule type="cellIs" dxfId="2428" priority="24" stopIfTrue="1" operator="equal">
      <formula>'1855'!$C$6</formula>
    </cfRule>
    <cfRule type="cellIs" dxfId="2427" priority="25" stopIfTrue="1" operator="lessThan">
      <formula>'1855'!$C$6</formula>
    </cfRule>
  </conditionalFormatting>
  <conditionalFormatting sqref="E6">
    <cfRule type="cellIs" dxfId="2426" priority="26" stopIfTrue="1" operator="equal">
      <formula>'1855'!$D$6</formula>
    </cfRule>
    <cfRule type="cellIs" dxfId="2425" priority="27" stopIfTrue="1" operator="lessThan">
      <formula>'1855'!$D$6</formula>
    </cfRule>
  </conditionalFormatting>
  <conditionalFormatting sqref="F6">
    <cfRule type="cellIs" dxfId="2424" priority="28" stopIfTrue="1" operator="equal">
      <formula>'1855'!$E$6</formula>
    </cfRule>
    <cfRule type="cellIs" dxfId="2423" priority="29" stopIfTrue="1" operator="lessThan">
      <formula>'1855'!$E$6</formula>
    </cfRule>
  </conditionalFormatting>
  <conditionalFormatting sqref="G6">
    <cfRule type="cellIs" dxfId="2422" priority="30" stopIfTrue="1" operator="equal">
      <formula>'1855'!$F$6</formula>
    </cfRule>
    <cfRule type="cellIs" dxfId="2421" priority="31" stopIfTrue="1" operator="lessThan">
      <formula>'1855'!$F$6</formula>
    </cfRule>
  </conditionalFormatting>
  <conditionalFormatting sqref="H6">
    <cfRule type="cellIs" dxfId="2420" priority="32" stopIfTrue="1" operator="equal">
      <formula>'1855'!$G$6</formula>
    </cfRule>
    <cfRule type="cellIs" dxfId="2419" priority="33" stopIfTrue="1" operator="lessThan">
      <formula>'1855'!$G$6</formula>
    </cfRule>
  </conditionalFormatting>
  <conditionalFormatting sqref="I6">
    <cfRule type="cellIs" dxfId="2418" priority="34" stopIfTrue="1" operator="equal">
      <formula>'1855'!$H$6</formula>
    </cfRule>
    <cfRule type="cellIs" dxfId="2417" priority="35" stopIfTrue="1" operator="lessThan">
      <formula>'1855'!$H$6</formula>
    </cfRule>
  </conditionalFormatting>
  <conditionalFormatting sqref="J6">
    <cfRule type="cellIs" dxfId="2416" priority="36" stopIfTrue="1" operator="equal">
      <formula>'1855'!$I$6</formula>
    </cfRule>
    <cfRule type="cellIs" dxfId="2415" priority="37" stopIfTrue="1" operator="lessThan">
      <formula>'1855'!$I$6</formula>
    </cfRule>
  </conditionalFormatting>
  <conditionalFormatting sqref="D7">
    <cfRule type="cellIs" dxfId="2414" priority="38" stopIfTrue="1" operator="equal">
      <formula>'1855'!$C$7</formula>
    </cfRule>
    <cfRule type="cellIs" dxfId="2413" priority="39" stopIfTrue="1" operator="lessThan">
      <formula>'1855'!$C$7</formula>
    </cfRule>
  </conditionalFormatting>
  <conditionalFormatting sqref="E7">
    <cfRule type="cellIs" dxfId="2412" priority="40" stopIfTrue="1" operator="equal">
      <formula>'1855'!$D$7</formula>
    </cfRule>
    <cfRule type="cellIs" dxfId="2411" priority="41" stopIfTrue="1" operator="lessThan">
      <formula>'1855'!$D$7</formula>
    </cfRule>
  </conditionalFormatting>
  <conditionalFormatting sqref="F7">
    <cfRule type="cellIs" dxfId="2410" priority="42" stopIfTrue="1" operator="equal">
      <formula>'1855'!$E$7</formula>
    </cfRule>
    <cfRule type="cellIs" dxfId="2409" priority="43" stopIfTrue="1" operator="lessThan">
      <formula>'1855'!$E$7</formula>
    </cfRule>
  </conditionalFormatting>
  <conditionalFormatting sqref="H7">
    <cfRule type="cellIs" dxfId="2408" priority="44" stopIfTrue="1" operator="equal">
      <formula>'1855'!$G$7</formula>
    </cfRule>
    <cfRule type="cellIs" dxfId="2407" priority="45" stopIfTrue="1" operator="lessThan">
      <formula>'1855'!$G$7</formula>
    </cfRule>
  </conditionalFormatting>
  <conditionalFormatting sqref="I7">
    <cfRule type="cellIs" dxfId="2406" priority="46" stopIfTrue="1" operator="equal">
      <formula>'1855'!$H$7</formula>
    </cfRule>
    <cfRule type="cellIs" dxfId="2405" priority="47" stopIfTrue="1" operator="lessThan">
      <formula>'1855'!$H$7</formula>
    </cfRule>
  </conditionalFormatting>
  <conditionalFormatting sqref="J7">
    <cfRule type="cellIs" dxfId="2404" priority="48" stopIfTrue="1" operator="equal">
      <formula>'1855'!$I$7</formula>
    </cfRule>
    <cfRule type="cellIs" dxfId="2403" priority="49" stopIfTrue="1" operator="lessThan">
      <formula>'1855'!$I$7</formula>
    </cfRule>
  </conditionalFormatting>
  <conditionalFormatting sqref="D8">
    <cfRule type="cellIs" dxfId="2402" priority="50" stopIfTrue="1" operator="equal">
      <formula>'1855'!$C$8</formula>
    </cfRule>
    <cfRule type="cellIs" dxfId="2401" priority="51" stopIfTrue="1" operator="lessThan">
      <formula>'1855'!$C$8</formula>
    </cfRule>
  </conditionalFormatting>
  <conditionalFormatting sqref="E8">
    <cfRule type="cellIs" dxfId="2400" priority="52" stopIfTrue="1" operator="equal">
      <formula>'1855'!$D$8</formula>
    </cfRule>
    <cfRule type="cellIs" dxfId="2399" priority="53" stopIfTrue="1" operator="lessThan">
      <formula>'1855'!$D$8</formula>
    </cfRule>
  </conditionalFormatting>
  <conditionalFormatting sqref="F8">
    <cfRule type="cellIs" dxfId="2398" priority="54" stopIfTrue="1" operator="equal">
      <formula>'1855'!$E$8</formula>
    </cfRule>
    <cfRule type="cellIs" dxfId="2397" priority="55" stopIfTrue="1" operator="lessThan">
      <formula>'1855'!$E$8</formula>
    </cfRule>
  </conditionalFormatting>
  <conditionalFormatting sqref="G8">
    <cfRule type="cellIs" dxfId="2396" priority="56" stopIfTrue="1" operator="equal">
      <formula>'1855'!$F$8</formula>
    </cfRule>
    <cfRule type="cellIs" dxfId="2395" priority="57" stopIfTrue="1" operator="lessThan">
      <formula>'1855'!$F$8</formula>
    </cfRule>
  </conditionalFormatting>
  <conditionalFormatting sqref="H8">
    <cfRule type="cellIs" dxfId="2394" priority="58" stopIfTrue="1" operator="equal">
      <formula>'1855'!$G$8</formula>
    </cfRule>
    <cfRule type="cellIs" dxfId="2393" priority="59" stopIfTrue="1" operator="lessThan">
      <formula>'1855'!$G$8</formula>
    </cfRule>
  </conditionalFormatting>
  <conditionalFormatting sqref="I8">
    <cfRule type="cellIs" dxfId="2392" priority="60" stopIfTrue="1" operator="equal">
      <formula>'1855'!$H$8</formula>
    </cfRule>
    <cfRule type="cellIs" dxfId="2391" priority="61" stopIfTrue="1" operator="lessThan">
      <formula>'1855'!$H$8</formula>
    </cfRule>
  </conditionalFormatting>
  <conditionalFormatting sqref="J8">
    <cfRule type="cellIs" dxfId="2390" priority="62" stopIfTrue="1" operator="equal">
      <formula>'1855'!$I$8</formula>
    </cfRule>
    <cfRule type="cellIs" dxfId="2389" priority="63" stopIfTrue="1" operator="lessThan">
      <formula>'1855'!$I$8</formula>
    </cfRule>
  </conditionalFormatting>
  <conditionalFormatting sqref="D9">
    <cfRule type="cellIs" dxfId="2388" priority="64" stopIfTrue="1" operator="equal">
      <formula>'1855'!$C$9</formula>
    </cfRule>
    <cfRule type="cellIs" dxfId="2387" priority="65" stopIfTrue="1" operator="lessThan">
      <formula>'1855'!$C$9</formula>
    </cfRule>
  </conditionalFormatting>
  <conditionalFormatting sqref="E9">
    <cfRule type="cellIs" dxfId="2386" priority="66" stopIfTrue="1" operator="equal">
      <formula>'1855'!$D$9</formula>
    </cfRule>
    <cfRule type="cellIs" dxfId="2385" priority="67" stopIfTrue="1" operator="lessThan">
      <formula>'1855'!$D$9</formula>
    </cfRule>
  </conditionalFormatting>
  <conditionalFormatting sqref="F9">
    <cfRule type="cellIs" dxfId="2384" priority="68" stopIfTrue="1" operator="equal">
      <formula>'1855'!$E$9</formula>
    </cfRule>
    <cfRule type="cellIs" dxfId="2383" priority="69" stopIfTrue="1" operator="lessThan">
      <formula>'1855'!$E$9</formula>
    </cfRule>
  </conditionalFormatting>
  <conditionalFormatting sqref="G9">
    <cfRule type="cellIs" dxfId="2382" priority="70" stopIfTrue="1" operator="equal">
      <formula>'1855'!$F$9</formula>
    </cfRule>
    <cfRule type="cellIs" dxfId="2381" priority="71" stopIfTrue="1" operator="lessThan">
      <formula>'1855'!$F$9</formula>
    </cfRule>
  </conditionalFormatting>
  <conditionalFormatting sqref="H9">
    <cfRule type="cellIs" dxfId="2380" priority="72" stopIfTrue="1" operator="equal">
      <formula>'1855'!$G$9</formula>
    </cfRule>
    <cfRule type="cellIs" dxfId="2379" priority="73" stopIfTrue="1" operator="lessThan">
      <formula>'1855'!$G$9</formula>
    </cfRule>
  </conditionalFormatting>
  <conditionalFormatting sqref="I9">
    <cfRule type="cellIs" dxfId="2378" priority="74" stopIfTrue="1" operator="equal">
      <formula>'1855'!$H$9</formula>
    </cfRule>
    <cfRule type="cellIs" dxfId="2377" priority="75" stopIfTrue="1" operator="lessThan">
      <formula>'1855'!$H$9</formula>
    </cfRule>
  </conditionalFormatting>
  <conditionalFormatting sqref="J9">
    <cfRule type="cellIs" dxfId="2376" priority="76" stopIfTrue="1" operator="equal">
      <formula>'1855'!$I$9</formula>
    </cfRule>
    <cfRule type="cellIs" dxfId="2375" priority="77" stopIfTrue="1" operator="lessThan">
      <formula>'1855'!$I$9</formula>
    </cfRule>
  </conditionalFormatting>
  <conditionalFormatting sqref="D10">
    <cfRule type="cellIs" dxfId="2374" priority="78" stopIfTrue="1" operator="equal">
      <formula>'1855'!$C$10</formula>
    </cfRule>
    <cfRule type="cellIs" dxfId="2373" priority="79" stopIfTrue="1" operator="lessThan">
      <formula>'1855'!$C$10</formula>
    </cfRule>
  </conditionalFormatting>
  <conditionalFormatting sqref="E10">
    <cfRule type="cellIs" dxfId="2372" priority="80" stopIfTrue="1" operator="equal">
      <formula>'1855'!$D$10</formula>
    </cfRule>
    <cfRule type="cellIs" dxfId="2371" priority="81" stopIfTrue="1" operator="lessThan">
      <formula>'1855'!$D$10</formula>
    </cfRule>
  </conditionalFormatting>
  <conditionalFormatting sqref="F10">
    <cfRule type="cellIs" dxfId="2370" priority="82" stopIfTrue="1" operator="equal">
      <formula>'1855'!$E$10</formula>
    </cfRule>
    <cfRule type="cellIs" dxfId="2369" priority="83" stopIfTrue="1" operator="lessThan">
      <formula>'1855'!$E$10</formula>
    </cfRule>
  </conditionalFormatting>
  <conditionalFormatting sqref="G10">
    <cfRule type="cellIs" dxfId="2368" priority="84" stopIfTrue="1" operator="equal">
      <formula>'1855'!$F$10</formula>
    </cfRule>
    <cfRule type="cellIs" dxfId="2367" priority="85" stopIfTrue="1" operator="lessThan">
      <formula>'1855'!$F$10</formula>
    </cfRule>
  </conditionalFormatting>
  <conditionalFormatting sqref="H10">
    <cfRule type="cellIs" dxfId="2366" priority="86" stopIfTrue="1" operator="equal">
      <formula>'1855'!$G$10</formula>
    </cfRule>
    <cfRule type="cellIs" dxfId="2365" priority="87" stopIfTrue="1" operator="lessThan">
      <formula>'1855'!$G$10</formula>
    </cfRule>
  </conditionalFormatting>
  <conditionalFormatting sqref="I10">
    <cfRule type="cellIs" dxfId="2364" priority="88" stopIfTrue="1" operator="equal">
      <formula>'1855'!$H$10</formula>
    </cfRule>
    <cfRule type="cellIs" dxfId="2363" priority="89" stopIfTrue="1" operator="lessThan">
      <formula>'1855'!$H$10</formula>
    </cfRule>
  </conditionalFormatting>
  <conditionalFormatting sqref="J10">
    <cfRule type="cellIs" dxfId="2362" priority="90" stopIfTrue="1" operator="equal">
      <formula>'1855'!$I$10</formula>
    </cfRule>
    <cfRule type="cellIs" dxfId="2361" priority="91" stopIfTrue="1" operator="lessThan">
      <formula>'1855'!$I$10</formula>
    </cfRule>
  </conditionalFormatting>
  <conditionalFormatting sqref="D11">
    <cfRule type="cellIs" dxfId="2360" priority="92" stopIfTrue="1" operator="equal">
      <formula>'1855'!$C$11</formula>
    </cfRule>
    <cfRule type="cellIs" dxfId="2359" priority="93" stopIfTrue="1" operator="lessThan">
      <formula>'1855'!$C$11</formula>
    </cfRule>
  </conditionalFormatting>
  <conditionalFormatting sqref="E11">
    <cfRule type="cellIs" dxfId="2358" priority="94" stopIfTrue="1" operator="equal">
      <formula>'1855'!$D$11</formula>
    </cfRule>
    <cfRule type="cellIs" dxfId="2357" priority="95" stopIfTrue="1" operator="lessThan">
      <formula>'1855'!$D$11</formula>
    </cfRule>
  </conditionalFormatting>
  <conditionalFormatting sqref="F11">
    <cfRule type="cellIs" dxfId="2356" priority="96" stopIfTrue="1" operator="equal">
      <formula>'1855'!$E$11</formula>
    </cfRule>
    <cfRule type="cellIs" dxfId="2355" priority="97" stopIfTrue="1" operator="lessThan">
      <formula>'1855'!$E$11</formula>
    </cfRule>
  </conditionalFormatting>
  <conditionalFormatting sqref="G11">
    <cfRule type="cellIs" dxfId="2354" priority="98" stopIfTrue="1" operator="equal">
      <formula>'1855'!$F$11</formula>
    </cfRule>
    <cfRule type="cellIs" dxfId="2353" priority="99" stopIfTrue="1" operator="lessThan">
      <formula>'1855'!$F$11</formula>
    </cfRule>
  </conditionalFormatting>
  <conditionalFormatting sqref="H11">
    <cfRule type="cellIs" dxfId="2352" priority="100" stopIfTrue="1" operator="equal">
      <formula>'1855'!$G$11</formula>
    </cfRule>
    <cfRule type="cellIs" dxfId="2351" priority="101" stopIfTrue="1" operator="lessThan">
      <formula>'1855'!$G$11</formula>
    </cfRule>
  </conditionalFormatting>
  <conditionalFormatting sqref="I11">
    <cfRule type="cellIs" dxfId="2350" priority="102" stopIfTrue="1" operator="equal">
      <formula>'1855'!$H$11</formula>
    </cfRule>
    <cfRule type="cellIs" dxfId="2349" priority="103" stopIfTrue="1" operator="lessThan">
      <formula>'1855'!$H$11</formula>
    </cfRule>
  </conditionalFormatting>
  <conditionalFormatting sqref="J11">
    <cfRule type="cellIs" dxfId="2348" priority="104" stopIfTrue="1" operator="equal">
      <formula>'1855'!$I$11</formula>
    </cfRule>
    <cfRule type="cellIs" dxfId="2347" priority="105" stopIfTrue="1" operator="lessThan">
      <formula>'1855'!$I$11</formula>
    </cfRule>
  </conditionalFormatting>
  <conditionalFormatting sqref="D12">
    <cfRule type="cellIs" dxfId="2346" priority="106" stopIfTrue="1" operator="equal">
      <formula>'1855'!$C$12</formula>
    </cfRule>
    <cfRule type="cellIs" dxfId="2345" priority="107" stopIfTrue="1" operator="lessThan">
      <formula>'1855'!$C$12</formula>
    </cfRule>
  </conditionalFormatting>
  <conditionalFormatting sqref="E12">
    <cfRule type="cellIs" dxfId="2344" priority="108" stopIfTrue="1" operator="equal">
      <formula>'1855'!$D$12</formula>
    </cfRule>
    <cfRule type="cellIs" dxfId="2343" priority="109" stopIfTrue="1" operator="lessThan">
      <formula>'1855'!$D$12</formula>
    </cfRule>
  </conditionalFormatting>
  <conditionalFormatting sqref="F12">
    <cfRule type="cellIs" dxfId="2342" priority="110" stopIfTrue="1" operator="equal">
      <formula>'1855'!$E$12</formula>
    </cfRule>
    <cfRule type="cellIs" dxfId="2341" priority="111" stopIfTrue="1" operator="lessThan">
      <formula>'1855'!$E$12</formula>
    </cfRule>
  </conditionalFormatting>
  <conditionalFormatting sqref="G12">
    <cfRule type="cellIs" dxfId="2340" priority="112" stopIfTrue="1" operator="equal">
      <formula>'1855'!$F$12</formula>
    </cfRule>
    <cfRule type="cellIs" dxfId="2339" priority="113" stopIfTrue="1" operator="lessThan">
      <formula>'1855'!$F$12</formula>
    </cfRule>
  </conditionalFormatting>
  <conditionalFormatting sqref="H12">
    <cfRule type="cellIs" dxfId="2338" priority="114" stopIfTrue="1" operator="equal">
      <formula>'1855'!$G$12</formula>
    </cfRule>
    <cfRule type="cellIs" dxfId="2337" priority="115" stopIfTrue="1" operator="lessThan">
      <formula>'1855'!$G$12</formula>
    </cfRule>
  </conditionalFormatting>
  <conditionalFormatting sqref="I12">
    <cfRule type="cellIs" dxfId="2336" priority="116" stopIfTrue="1" operator="equal">
      <formula>'1855'!$H$12</formula>
    </cfRule>
    <cfRule type="cellIs" dxfId="2335" priority="117" stopIfTrue="1" operator="lessThan">
      <formula>'1855'!$H$12</formula>
    </cfRule>
  </conditionalFormatting>
  <conditionalFormatting sqref="J12">
    <cfRule type="cellIs" dxfId="2334" priority="118" stopIfTrue="1" operator="equal">
      <formula>'1855'!$I$12</formula>
    </cfRule>
    <cfRule type="cellIs" dxfId="2333" priority="119" stopIfTrue="1" operator="lessThan">
      <formula>'1855'!$I$12</formula>
    </cfRule>
  </conditionalFormatting>
  <conditionalFormatting sqref="D14">
    <cfRule type="cellIs" dxfId="2332" priority="120" stopIfTrue="1" operator="equal">
      <formula>'1855'!$C$14</formula>
    </cfRule>
    <cfRule type="cellIs" dxfId="2331" priority="121" stopIfTrue="1" operator="lessThan">
      <formula>'1855'!$C$14</formula>
    </cfRule>
  </conditionalFormatting>
  <conditionalFormatting sqref="D15">
    <cfRule type="cellIs" dxfId="2330" priority="122" stopIfTrue="1" operator="equal">
      <formula>'1855'!$C$15</formula>
    </cfRule>
    <cfRule type="cellIs" dxfId="2329" priority="123" stopIfTrue="1" operator="lessThan">
      <formula>'1855'!$C$15</formula>
    </cfRule>
  </conditionalFormatting>
  <conditionalFormatting sqref="D16">
    <cfRule type="cellIs" dxfId="2328" priority="124" stopIfTrue="1" operator="equal">
      <formula>'1855'!$C$16</formula>
    </cfRule>
    <cfRule type="cellIs" dxfId="2327" priority="125" stopIfTrue="1" operator="lessThan">
      <formula>'1855'!$C$16</formula>
    </cfRule>
  </conditionalFormatting>
  <conditionalFormatting sqref="D17">
    <cfRule type="cellIs" dxfId="2326" priority="126" stopIfTrue="1" operator="equal">
      <formula>'1855'!$C$17</formula>
    </cfRule>
    <cfRule type="cellIs" dxfId="2325" priority="127" stopIfTrue="1" operator="lessThan">
      <formula>'1855'!$C$17</formula>
    </cfRule>
  </conditionalFormatting>
  <conditionalFormatting sqref="D18">
    <cfRule type="cellIs" dxfId="2324" priority="128" stopIfTrue="1" operator="equal">
      <formula>'1855'!$C$18</formula>
    </cfRule>
    <cfRule type="cellIs" dxfId="2323" priority="129" stopIfTrue="1" operator="lessThan">
      <formula>'1855'!$C$18</formula>
    </cfRule>
  </conditionalFormatting>
  <conditionalFormatting sqref="D19">
    <cfRule type="cellIs" dxfId="2322" priority="130" stopIfTrue="1" operator="equal">
      <formula>'1855'!$C$19</formula>
    </cfRule>
    <cfRule type="cellIs" dxfId="2321" priority="131" stopIfTrue="1" operator="lessThan">
      <formula>'1855'!$C$19</formula>
    </cfRule>
  </conditionalFormatting>
  <conditionalFormatting sqref="D20">
    <cfRule type="cellIs" dxfId="2320" priority="132" stopIfTrue="1" operator="equal">
      <formula>'1855'!$C$20</formula>
    </cfRule>
    <cfRule type="cellIs" dxfId="2319" priority="133" stopIfTrue="1" operator="lessThan">
      <formula>'1855'!$C$20</formula>
    </cfRule>
  </conditionalFormatting>
  <conditionalFormatting sqref="D21">
    <cfRule type="cellIs" dxfId="2318" priority="134" stopIfTrue="1" operator="equal">
      <formula>'1855'!$C$21</formula>
    </cfRule>
    <cfRule type="cellIs" dxfId="2317" priority="135" stopIfTrue="1" operator="lessThan">
      <formula>'1855'!$C$21</formula>
    </cfRule>
  </conditionalFormatting>
  <conditionalFormatting sqref="D22">
    <cfRule type="cellIs" dxfId="2316" priority="136" stopIfTrue="1" operator="equal">
      <formula>'1855'!$C$22</formula>
    </cfRule>
    <cfRule type="cellIs" dxfId="2315" priority="137" stopIfTrue="1" operator="lessThan">
      <formula>'1855'!$C$22</formula>
    </cfRule>
  </conditionalFormatting>
  <conditionalFormatting sqref="D23">
    <cfRule type="cellIs" dxfId="2314" priority="138" stopIfTrue="1" operator="equal">
      <formula>'1855'!$C$23</formula>
    </cfRule>
    <cfRule type="cellIs" dxfId="2313" priority="139" stopIfTrue="1" operator="lessThan">
      <formula>'1855'!$C$23</formula>
    </cfRule>
  </conditionalFormatting>
  <conditionalFormatting sqref="D25">
    <cfRule type="cellIs" dxfId="2312" priority="140" stopIfTrue="1" operator="equal">
      <formula>'1855'!$C$25</formula>
    </cfRule>
    <cfRule type="cellIs" dxfId="2311" priority="141" stopIfTrue="1" operator="lessThan">
      <formula>'1855'!$C$25</formula>
    </cfRule>
  </conditionalFormatting>
  <conditionalFormatting sqref="D26">
    <cfRule type="cellIs" dxfId="2310" priority="142" stopIfTrue="1" operator="equal">
      <formula>'1855'!$C$26</formula>
    </cfRule>
    <cfRule type="cellIs" dxfId="2309" priority="143" stopIfTrue="1" operator="lessThan">
      <formula>'1855'!$C$26</formula>
    </cfRule>
  </conditionalFormatting>
  <conditionalFormatting sqref="D27">
    <cfRule type="cellIs" dxfId="2308" priority="144" stopIfTrue="1" operator="equal">
      <formula>'1855'!$C$27</formula>
    </cfRule>
    <cfRule type="cellIs" dxfId="2307" priority="145" stopIfTrue="1" operator="lessThan">
      <formula>'1855'!$C$27</formula>
    </cfRule>
  </conditionalFormatting>
  <conditionalFormatting sqref="D28">
    <cfRule type="cellIs" dxfId="2306" priority="146" stopIfTrue="1" operator="equal">
      <formula>'1855'!$C$28</formula>
    </cfRule>
    <cfRule type="cellIs" dxfId="2305" priority="147" stopIfTrue="1" operator="lessThan">
      <formula>'1855'!$C$28</formula>
    </cfRule>
  </conditionalFormatting>
  <conditionalFormatting sqref="E13">
    <cfRule type="cellIs" dxfId="2304" priority="148" stopIfTrue="1" operator="equal">
      <formula>'1855'!$D$13</formula>
    </cfRule>
    <cfRule type="cellIs" dxfId="2303" priority="149" stopIfTrue="1" operator="lessThan">
      <formula>'1855'!$D$13</formula>
    </cfRule>
  </conditionalFormatting>
  <conditionalFormatting sqref="E14">
    <cfRule type="cellIs" dxfId="2302" priority="150" stopIfTrue="1" operator="equal">
      <formula>'1855'!$D$14</formula>
    </cfRule>
    <cfRule type="cellIs" dxfId="2301" priority="151" stopIfTrue="1" operator="lessThan">
      <formula>'1855'!$D$14</formula>
    </cfRule>
  </conditionalFormatting>
  <conditionalFormatting sqref="E15">
    <cfRule type="cellIs" dxfId="2300" priority="152" stopIfTrue="1" operator="equal">
      <formula>'1855'!$D$15</formula>
    </cfRule>
    <cfRule type="cellIs" dxfId="2299" priority="153" stopIfTrue="1" operator="lessThan">
      <formula>'1855'!$D$15</formula>
    </cfRule>
  </conditionalFormatting>
  <conditionalFormatting sqref="E16">
    <cfRule type="cellIs" dxfId="2298" priority="154" stopIfTrue="1" operator="equal">
      <formula>'1855'!$D$16</formula>
    </cfRule>
    <cfRule type="cellIs" dxfId="2297" priority="155" stopIfTrue="1" operator="lessThan">
      <formula>'1855'!$D$16</formula>
    </cfRule>
  </conditionalFormatting>
  <conditionalFormatting sqref="E17">
    <cfRule type="cellIs" dxfId="2296" priority="156" stopIfTrue="1" operator="equal">
      <formula>'1855'!$D$17</formula>
    </cfRule>
    <cfRule type="cellIs" dxfId="2295" priority="157" stopIfTrue="1" operator="lessThan">
      <formula>'1855'!$D$17</formula>
    </cfRule>
  </conditionalFormatting>
  <conditionalFormatting sqref="E18">
    <cfRule type="cellIs" dxfId="2294" priority="158" stopIfTrue="1" operator="equal">
      <formula>'1855'!$D$18</formula>
    </cfRule>
    <cfRule type="cellIs" dxfId="2293" priority="159" stopIfTrue="1" operator="lessThan">
      <formula>'1855'!$D$18</formula>
    </cfRule>
  </conditionalFormatting>
  <conditionalFormatting sqref="E19">
    <cfRule type="cellIs" dxfId="2292" priority="160" stopIfTrue="1" operator="equal">
      <formula>'1855'!$D$19</formula>
    </cfRule>
    <cfRule type="cellIs" dxfId="2291" priority="161" stopIfTrue="1" operator="lessThan">
      <formula>'1855'!$D$19</formula>
    </cfRule>
  </conditionalFormatting>
  <conditionalFormatting sqref="E20">
    <cfRule type="cellIs" dxfId="2290" priority="162" stopIfTrue="1" operator="equal">
      <formula>'1855'!$D$20</formula>
    </cfRule>
    <cfRule type="cellIs" dxfId="2289" priority="163" stopIfTrue="1" operator="lessThan">
      <formula>'1855'!$D$20</formula>
    </cfRule>
  </conditionalFormatting>
  <conditionalFormatting sqref="E21">
    <cfRule type="cellIs" dxfId="2288" priority="164" stopIfTrue="1" operator="equal">
      <formula>'1855'!$D$21</formula>
    </cfRule>
    <cfRule type="cellIs" dxfId="2287" priority="165" stopIfTrue="1" operator="lessThan">
      <formula>'1855'!$D$21</formula>
    </cfRule>
  </conditionalFormatting>
  <conditionalFormatting sqref="E22">
    <cfRule type="cellIs" dxfId="2286" priority="166" stopIfTrue="1" operator="equal">
      <formula>'1855'!$D$22</formula>
    </cfRule>
    <cfRule type="cellIs" dxfId="2285" priority="167" stopIfTrue="1" operator="lessThan">
      <formula>'1855'!$D$22</formula>
    </cfRule>
  </conditionalFormatting>
  <conditionalFormatting sqref="E23">
    <cfRule type="cellIs" dxfId="2284" priority="168" stopIfTrue="1" operator="equal">
      <formula>'1855'!$D$23</formula>
    </cfRule>
    <cfRule type="cellIs" dxfId="2283" priority="169" stopIfTrue="1" operator="lessThan">
      <formula>'1855'!$D$23</formula>
    </cfRule>
  </conditionalFormatting>
  <conditionalFormatting sqref="E25">
    <cfRule type="cellIs" dxfId="2282" priority="170" stopIfTrue="1" operator="equal">
      <formula>'1855'!$D$25</formula>
    </cfRule>
    <cfRule type="cellIs" dxfId="2281" priority="171" stopIfTrue="1" operator="lessThan">
      <formula>'1855'!$D$25</formula>
    </cfRule>
  </conditionalFormatting>
  <conditionalFormatting sqref="E26">
    <cfRule type="cellIs" dxfId="2280" priority="172" stopIfTrue="1" operator="equal">
      <formula>'1855'!$D$26</formula>
    </cfRule>
    <cfRule type="cellIs" dxfId="2279" priority="173" stopIfTrue="1" operator="lessThan">
      <formula>'1855'!$D$26</formula>
    </cfRule>
  </conditionalFormatting>
  <conditionalFormatting sqref="E27">
    <cfRule type="cellIs" dxfId="2278" priority="174" stopIfTrue="1" operator="equal">
      <formula>'1855'!$D$27</formula>
    </cfRule>
    <cfRule type="cellIs" dxfId="2277" priority="175" stopIfTrue="1" operator="lessThan">
      <formula>'1855'!$D$27</formula>
    </cfRule>
  </conditionalFormatting>
  <conditionalFormatting sqref="E28">
    <cfRule type="cellIs" dxfId="2276" priority="176" stopIfTrue="1" operator="equal">
      <formula>'1855'!$D$28</formula>
    </cfRule>
    <cfRule type="cellIs" dxfId="2275" priority="177" stopIfTrue="1" operator="lessThan">
      <formula>'1855'!$D$28</formula>
    </cfRule>
  </conditionalFormatting>
  <conditionalFormatting sqref="F13">
    <cfRule type="cellIs" dxfId="2274" priority="178" stopIfTrue="1" operator="equal">
      <formula>'1855'!$E$13</formula>
    </cfRule>
    <cfRule type="cellIs" dxfId="2273" priority="179" stopIfTrue="1" operator="lessThan">
      <formula>'1855'!$E$13</formula>
    </cfRule>
  </conditionalFormatting>
  <conditionalFormatting sqref="F14">
    <cfRule type="cellIs" dxfId="2272" priority="180" stopIfTrue="1" operator="equal">
      <formula>'1855'!$E$14</formula>
    </cfRule>
    <cfRule type="cellIs" dxfId="2271" priority="181" stopIfTrue="1" operator="lessThan">
      <formula>'1855'!$E$14</formula>
    </cfRule>
  </conditionalFormatting>
  <conditionalFormatting sqref="F15">
    <cfRule type="cellIs" dxfId="2270" priority="182" stopIfTrue="1" operator="equal">
      <formula>'1855'!$E$15</formula>
    </cfRule>
    <cfRule type="cellIs" dxfId="2269" priority="183" stopIfTrue="1" operator="lessThan">
      <formula>'1855'!$E$15</formula>
    </cfRule>
  </conditionalFormatting>
  <conditionalFormatting sqref="F16">
    <cfRule type="cellIs" dxfId="2268" priority="184" stopIfTrue="1" operator="equal">
      <formula>'1855'!$E$16</formula>
    </cfRule>
    <cfRule type="cellIs" dxfId="2267" priority="185" stopIfTrue="1" operator="lessThan">
      <formula>'1855'!$E$16</formula>
    </cfRule>
  </conditionalFormatting>
  <conditionalFormatting sqref="F17">
    <cfRule type="cellIs" dxfId="2266" priority="186" stopIfTrue="1" operator="equal">
      <formula>'1855'!$E$17</formula>
    </cfRule>
    <cfRule type="cellIs" dxfId="2265" priority="187" stopIfTrue="1" operator="lessThan">
      <formula>'1855'!$E$17</formula>
    </cfRule>
  </conditionalFormatting>
  <conditionalFormatting sqref="F18">
    <cfRule type="cellIs" dxfId="2264" priority="188" stopIfTrue="1" operator="equal">
      <formula>'1855'!$E$18</formula>
    </cfRule>
    <cfRule type="cellIs" dxfId="2263" priority="189" stopIfTrue="1" operator="lessThan">
      <formula>'1855'!$E$18</formula>
    </cfRule>
  </conditionalFormatting>
  <conditionalFormatting sqref="F19">
    <cfRule type="cellIs" dxfId="2262" priority="190" stopIfTrue="1" operator="equal">
      <formula>'1855'!$E$19</formula>
    </cfRule>
    <cfRule type="cellIs" dxfId="2261" priority="191" stopIfTrue="1" operator="lessThan">
      <formula>'1855'!$E$19</formula>
    </cfRule>
  </conditionalFormatting>
  <conditionalFormatting sqref="F20">
    <cfRule type="cellIs" dxfId="2260" priority="192" stopIfTrue="1" operator="equal">
      <formula>'1855'!$E$20</formula>
    </cfRule>
    <cfRule type="cellIs" dxfId="2259" priority="193" stopIfTrue="1" operator="lessThan">
      <formula>'1855'!$E$20</formula>
    </cfRule>
  </conditionalFormatting>
  <conditionalFormatting sqref="F21">
    <cfRule type="cellIs" dxfId="2258" priority="194" stopIfTrue="1" operator="equal">
      <formula>'1855'!$E$21</formula>
    </cfRule>
    <cfRule type="cellIs" dxfId="2257" priority="195" stopIfTrue="1" operator="lessThan">
      <formula>'1855'!$E$21</formula>
    </cfRule>
  </conditionalFormatting>
  <conditionalFormatting sqref="F22">
    <cfRule type="cellIs" dxfId="2256" priority="196" stopIfTrue="1" operator="equal">
      <formula>'1855'!$E$22</formula>
    </cfRule>
    <cfRule type="cellIs" dxfId="2255" priority="197" stopIfTrue="1" operator="lessThan">
      <formula>'1855'!$E$22</formula>
    </cfRule>
  </conditionalFormatting>
  <conditionalFormatting sqref="F23">
    <cfRule type="cellIs" dxfId="2254" priority="198" stopIfTrue="1" operator="equal">
      <formula>'1855'!$E$23</formula>
    </cfRule>
    <cfRule type="cellIs" dxfId="2253" priority="199" stopIfTrue="1" operator="lessThan">
      <formula>'1855'!$E$23</formula>
    </cfRule>
  </conditionalFormatting>
  <conditionalFormatting sqref="F25">
    <cfRule type="cellIs" dxfId="2252" priority="200" stopIfTrue="1" operator="equal">
      <formula>'1855'!$E$25</formula>
    </cfRule>
    <cfRule type="cellIs" dxfId="2251" priority="201" stopIfTrue="1" operator="lessThan">
      <formula>'1855'!$E$25</formula>
    </cfRule>
  </conditionalFormatting>
  <conditionalFormatting sqref="F26">
    <cfRule type="cellIs" dxfId="2250" priority="202" stopIfTrue="1" operator="equal">
      <formula>'1855'!$E$26</formula>
    </cfRule>
    <cfRule type="cellIs" dxfId="2249" priority="203" stopIfTrue="1" operator="lessThan">
      <formula>'1855'!$E$26</formula>
    </cfRule>
  </conditionalFormatting>
  <conditionalFormatting sqref="F27">
    <cfRule type="cellIs" dxfId="2248" priority="204" stopIfTrue="1" operator="equal">
      <formula>'1855'!$E$27</formula>
    </cfRule>
    <cfRule type="cellIs" dxfId="2247" priority="205" stopIfTrue="1" operator="lessThan">
      <formula>'1855'!$E$27</formula>
    </cfRule>
  </conditionalFormatting>
  <conditionalFormatting sqref="F28">
    <cfRule type="cellIs" dxfId="2246" priority="206" stopIfTrue="1" operator="equal">
      <formula>'1855'!$E$28</formula>
    </cfRule>
    <cfRule type="cellIs" dxfId="2245" priority="207" stopIfTrue="1" operator="lessThan">
      <formula>'1855'!$E$28</formula>
    </cfRule>
  </conditionalFormatting>
  <conditionalFormatting sqref="G13">
    <cfRule type="cellIs" dxfId="2244" priority="208" stopIfTrue="1" operator="equal">
      <formula>'1855'!$F$13</formula>
    </cfRule>
    <cfRule type="cellIs" dxfId="2243" priority="209" stopIfTrue="1" operator="lessThan">
      <formula>'1855'!$F$13</formula>
    </cfRule>
  </conditionalFormatting>
  <conditionalFormatting sqref="G14">
    <cfRule type="cellIs" dxfId="2242" priority="210" stopIfTrue="1" operator="equal">
      <formula>'1855'!$F$14</formula>
    </cfRule>
    <cfRule type="cellIs" dxfId="2241" priority="211" stopIfTrue="1" operator="lessThan">
      <formula>'1855'!$F$14</formula>
    </cfRule>
  </conditionalFormatting>
  <conditionalFormatting sqref="G15">
    <cfRule type="cellIs" dxfId="2240" priority="212" stopIfTrue="1" operator="equal">
      <formula>'1855'!$F$15</formula>
    </cfRule>
    <cfRule type="cellIs" dxfId="2239" priority="213" stopIfTrue="1" operator="lessThan">
      <formula>'1855'!$F$15</formula>
    </cfRule>
  </conditionalFormatting>
  <conditionalFormatting sqref="G16">
    <cfRule type="cellIs" dxfId="2238" priority="214" stopIfTrue="1" operator="equal">
      <formula>'1855'!$F$16</formula>
    </cfRule>
    <cfRule type="cellIs" dxfId="2237" priority="215" stopIfTrue="1" operator="lessThan">
      <formula>'1855'!$F$16</formula>
    </cfRule>
  </conditionalFormatting>
  <conditionalFormatting sqref="G17">
    <cfRule type="cellIs" dxfId="2236" priority="216" stopIfTrue="1" operator="equal">
      <formula>'1855'!$F$17</formula>
    </cfRule>
    <cfRule type="cellIs" dxfId="2235" priority="217" stopIfTrue="1" operator="lessThan">
      <formula>'1855'!$F$17</formula>
    </cfRule>
  </conditionalFormatting>
  <conditionalFormatting sqref="G18">
    <cfRule type="cellIs" dxfId="2234" priority="218" stopIfTrue="1" operator="equal">
      <formula>'1855'!$F$18</formula>
    </cfRule>
    <cfRule type="cellIs" dxfId="2233" priority="219" stopIfTrue="1" operator="lessThan">
      <formula>'1855'!$F$18</formula>
    </cfRule>
  </conditionalFormatting>
  <conditionalFormatting sqref="G19">
    <cfRule type="cellIs" dxfId="2232" priority="220" stopIfTrue="1" operator="equal">
      <formula>'1855'!$F$19</formula>
    </cfRule>
    <cfRule type="cellIs" dxfId="2231" priority="221" stopIfTrue="1" operator="lessThan">
      <formula>'1855'!$F$19</formula>
    </cfRule>
  </conditionalFormatting>
  <conditionalFormatting sqref="G20">
    <cfRule type="cellIs" dxfId="2230" priority="222" stopIfTrue="1" operator="equal">
      <formula>'1855'!$F$20</formula>
    </cfRule>
    <cfRule type="cellIs" dxfId="2229" priority="223" stopIfTrue="1" operator="lessThan">
      <formula>'1855'!$F$20</formula>
    </cfRule>
  </conditionalFormatting>
  <conditionalFormatting sqref="G21">
    <cfRule type="cellIs" dxfId="2228" priority="224" stopIfTrue="1" operator="equal">
      <formula>'1855'!$F$21</formula>
    </cfRule>
    <cfRule type="cellIs" dxfId="2227" priority="225" stopIfTrue="1" operator="lessThan">
      <formula>'1855'!$F$21</formula>
    </cfRule>
  </conditionalFormatting>
  <conditionalFormatting sqref="G22">
    <cfRule type="cellIs" dxfId="2226" priority="226" stopIfTrue="1" operator="equal">
      <formula>'1855'!$F$22</formula>
    </cfRule>
    <cfRule type="cellIs" dxfId="2225" priority="227" stopIfTrue="1" operator="lessThan">
      <formula>'1855'!$F$22</formula>
    </cfRule>
  </conditionalFormatting>
  <conditionalFormatting sqref="G23">
    <cfRule type="cellIs" dxfId="2224" priority="228" stopIfTrue="1" operator="equal">
      <formula>'1855'!$F$23</formula>
    </cfRule>
    <cfRule type="cellIs" dxfId="2223" priority="229" stopIfTrue="1" operator="lessThan">
      <formula>'1855'!$F$23</formula>
    </cfRule>
  </conditionalFormatting>
  <conditionalFormatting sqref="G25">
    <cfRule type="cellIs" dxfId="2222" priority="230" stopIfTrue="1" operator="equal">
      <formula>'1855'!$F$25</formula>
    </cfRule>
    <cfRule type="cellIs" dxfId="2221" priority="231" stopIfTrue="1" operator="lessThan">
      <formula>'1855'!$F$25</formula>
    </cfRule>
  </conditionalFormatting>
  <conditionalFormatting sqref="G26">
    <cfRule type="cellIs" dxfId="2220" priority="232" stopIfTrue="1" operator="equal">
      <formula>'1855'!$F$26</formula>
    </cfRule>
    <cfRule type="cellIs" dxfId="2219" priority="233" stopIfTrue="1" operator="lessThan">
      <formula>'1855'!$F$26</formula>
    </cfRule>
  </conditionalFormatting>
  <conditionalFormatting sqref="G27">
    <cfRule type="cellIs" dxfId="2218" priority="234" stopIfTrue="1" operator="equal">
      <formula>'1855'!$F$27</formula>
    </cfRule>
    <cfRule type="cellIs" dxfId="2217" priority="235" stopIfTrue="1" operator="lessThan">
      <formula>'1855'!$F$27</formula>
    </cfRule>
  </conditionalFormatting>
  <conditionalFormatting sqref="G28">
    <cfRule type="cellIs" dxfId="2216" priority="236" stopIfTrue="1" operator="equal">
      <formula>'1855'!$F$28</formula>
    </cfRule>
    <cfRule type="cellIs" dxfId="2215" priority="237" stopIfTrue="1" operator="lessThan">
      <formula>'1855'!$F$28</formula>
    </cfRule>
  </conditionalFormatting>
  <conditionalFormatting sqref="D13">
    <cfRule type="cellIs" dxfId="2214" priority="238" stopIfTrue="1" operator="equal">
      <formula>'1855'!$C$13</formula>
    </cfRule>
    <cfRule type="cellIs" dxfId="2213" priority="239" stopIfTrue="1" operator="lessThan">
      <formula>'1855'!$C$13</formula>
    </cfRule>
  </conditionalFormatting>
  <conditionalFormatting sqref="H13">
    <cfRule type="cellIs" dxfId="2212" priority="240" stopIfTrue="1" operator="equal">
      <formula>'1855'!$G$13</formula>
    </cfRule>
    <cfRule type="cellIs" dxfId="2211" priority="241" stopIfTrue="1" operator="lessThan">
      <formula>'1855'!$G$13</formula>
    </cfRule>
  </conditionalFormatting>
  <conditionalFormatting sqref="H14">
    <cfRule type="cellIs" dxfId="2210" priority="242" stopIfTrue="1" operator="equal">
      <formula>'1855'!$G$14</formula>
    </cfRule>
    <cfRule type="cellIs" dxfId="2209" priority="243" stopIfTrue="1" operator="lessThan">
      <formula>'1855'!$G$14</formula>
    </cfRule>
  </conditionalFormatting>
  <conditionalFormatting sqref="H15">
    <cfRule type="cellIs" dxfId="2208" priority="244" stopIfTrue="1" operator="equal">
      <formula>'1855'!$G$15</formula>
    </cfRule>
    <cfRule type="cellIs" dxfId="2207" priority="245" stopIfTrue="1" operator="lessThan">
      <formula>'1855'!$G$15</formula>
    </cfRule>
  </conditionalFormatting>
  <conditionalFormatting sqref="H16">
    <cfRule type="cellIs" dxfId="2206" priority="246" stopIfTrue="1" operator="equal">
      <formula>'1855'!$G$16</formula>
    </cfRule>
    <cfRule type="cellIs" dxfId="2205" priority="247" stopIfTrue="1" operator="lessThan">
      <formula>'1855'!$G$16</formula>
    </cfRule>
  </conditionalFormatting>
  <conditionalFormatting sqref="H17">
    <cfRule type="cellIs" dxfId="2204" priority="248" stopIfTrue="1" operator="equal">
      <formula>'1855'!$G$17</formula>
    </cfRule>
    <cfRule type="cellIs" dxfId="2203" priority="249" stopIfTrue="1" operator="lessThan">
      <formula>'1855'!$G$17</formula>
    </cfRule>
  </conditionalFormatting>
  <conditionalFormatting sqref="H18">
    <cfRule type="cellIs" dxfId="2202" priority="250" stopIfTrue="1" operator="equal">
      <formula>'1855'!$G$18</formula>
    </cfRule>
    <cfRule type="cellIs" dxfId="2201" priority="251" stopIfTrue="1" operator="lessThan">
      <formula>'1855'!$G$18</formula>
    </cfRule>
  </conditionalFormatting>
  <conditionalFormatting sqref="H19">
    <cfRule type="cellIs" dxfId="2200" priority="252" stopIfTrue="1" operator="equal">
      <formula>'1855'!$G$19</formula>
    </cfRule>
    <cfRule type="cellIs" dxfId="2199" priority="253" stopIfTrue="1" operator="lessThan">
      <formula>'1855'!$G$19</formula>
    </cfRule>
  </conditionalFormatting>
  <conditionalFormatting sqref="H20">
    <cfRule type="cellIs" dxfId="2198" priority="254" stopIfTrue="1" operator="equal">
      <formula>'1855'!$G$20</formula>
    </cfRule>
    <cfRule type="cellIs" dxfId="2197" priority="255" stopIfTrue="1" operator="lessThan">
      <formula>'1855'!$G$20</formula>
    </cfRule>
  </conditionalFormatting>
  <conditionalFormatting sqref="H21">
    <cfRule type="cellIs" dxfId="2196" priority="256" stopIfTrue="1" operator="equal">
      <formula>'1855'!$G$21</formula>
    </cfRule>
    <cfRule type="cellIs" dxfId="2195" priority="257" stopIfTrue="1" operator="lessThan">
      <formula>'1855'!$G$21</formula>
    </cfRule>
  </conditionalFormatting>
  <conditionalFormatting sqref="H22">
    <cfRule type="cellIs" dxfId="2194" priority="258" stopIfTrue="1" operator="equal">
      <formula>'1855'!$G$22</formula>
    </cfRule>
    <cfRule type="cellIs" dxfId="2193" priority="259" stopIfTrue="1" operator="lessThan">
      <formula>'1855'!$G$22</formula>
    </cfRule>
  </conditionalFormatting>
  <conditionalFormatting sqref="H23">
    <cfRule type="cellIs" dxfId="2192" priority="260" stopIfTrue="1" operator="equal">
      <formula>'1855'!$G$23</formula>
    </cfRule>
    <cfRule type="cellIs" dxfId="2191" priority="261" stopIfTrue="1" operator="lessThan">
      <formula>'1855'!$G$23</formula>
    </cfRule>
  </conditionalFormatting>
  <conditionalFormatting sqref="H25">
    <cfRule type="cellIs" dxfId="2190" priority="262" stopIfTrue="1" operator="equal">
      <formula>'1855'!$G$25</formula>
    </cfRule>
    <cfRule type="cellIs" dxfId="2189" priority="263" stopIfTrue="1" operator="lessThan">
      <formula>'1855'!$G$25</formula>
    </cfRule>
  </conditionalFormatting>
  <conditionalFormatting sqref="H26">
    <cfRule type="cellIs" dxfId="2188" priority="264" stopIfTrue="1" operator="equal">
      <formula>'1855'!$G$26</formula>
    </cfRule>
    <cfRule type="cellIs" dxfId="2187" priority="265" stopIfTrue="1" operator="lessThan">
      <formula>'1855'!$G$26</formula>
    </cfRule>
  </conditionalFormatting>
  <conditionalFormatting sqref="H27">
    <cfRule type="cellIs" dxfId="2186" priority="266" stopIfTrue="1" operator="equal">
      <formula>'1855'!$G$27</formula>
    </cfRule>
    <cfRule type="cellIs" dxfId="2185" priority="267" stopIfTrue="1" operator="lessThan">
      <formula>'1855'!$G$27</formula>
    </cfRule>
  </conditionalFormatting>
  <conditionalFormatting sqref="H28">
    <cfRule type="cellIs" dxfId="2184" priority="268" stopIfTrue="1" operator="equal">
      <formula>'1855'!$G$28</formula>
    </cfRule>
    <cfRule type="cellIs" dxfId="2183" priority="269" stopIfTrue="1" operator="lessThan">
      <formula>'1855'!$G$28</formula>
    </cfRule>
  </conditionalFormatting>
  <conditionalFormatting sqref="D24">
    <cfRule type="cellIs" dxfId="2182" priority="270" stopIfTrue="1" operator="equal">
      <formula>'1855'!$C$24</formula>
    </cfRule>
    <cfRule type="cellIs" dxfId="2181" priority="271" stopIfTrue="1" operator="lessThan">
      <formula>'1855'!$C$24</formula>
    </cfRule>
  </conditionalFormatting>
  <conditionalFormatting sqref="E24">
    <cfRule type="cellIs" dxfId="2180" priority="272" stopIfTrue="1" operator="equal">
      <formula>'1855'!$D$24</formula>
    </cfRule>
    <cfRule type="cellIs" dxfId="2179" priority="273" stopIfTrue="1" operator="lessThan">
      <formula>'1855'!$D$24</formula>
    </cfRule>
  </conditionalFormatting>
  <conditionalFormatting sqref="F24">
    <cfRule type="cellIs" dxfId="2178" priority="274" stopIfTrue="1" operator="equal">
      <formula>'1855'!$E$24</formula>
    </cfRule>
    <cfRule type="cellIs" dxfId="2177" priority="275" stopIfTrue="1" operator="lessThan">
      <formula>'1855'!$E$24</formula>
    </cfRule>
  </conditionalFormatting>
  <conditionalFormatting sqref="G24">
    <cfRule type="cellIs" dxfId="2176" priority="276" stopIfTrue="1" operator="equal">
      <formula>'1855'!$F$24</formula>
    </cfRule>
    <cfRule type="cellIs" dxfId="2175" priority="277" stopIfTrue="1" operator="lessThan">
      <formula>'1855'!$F$24</formula>
    </cfRule>
  </conditionalFormatting>
  <conditionalFormatting sqref="H24">
    <cfRule type="cellIs" dxfId="2174" priority="278" stopIfTrue="1" operator="equal">
      <formula>'1855'!$G$24</formula>
    </cfRule>
    <cfRule type="cellIs" dxfId="2173" priority="279" stopIfTrue="1" operator="lessThan">
      <formula>'1855'!$G$24</formula>
    </cfRule>
  </conditionalFormatting>
  <conditionalFormatting sqref="E5">
    <cfRule type="cellIs" dxfId="2172" priority="280" stopIfTrue="1" operator="equal">
      <formula>'1855'!$D$5</formula>
    </cfRule>
    <cfRule type="cellIs" dxfId="2171" priority="281" stopIfTrue="1" operator="lessThan">
      <formula>'1855'!$D$5</formula>
    </cfRule>
  </conditionalFormatting>
  <conditionalFormatting sqref="G5">
    <cfRule type="cellIs" dxfId="2170" priority="282" stopIfTrue="1" operator="equal">
      <formula>'1855'!$F$5</formula>
    </cfRule>
    <cfRule type="cellIs" dxfId="2169" priority="283" stopIfTrue="1" operator="lessThan">
      <formula>'1855'!$F$5</formula>
    </cfRule>
  </conditionalFormatting>
  <conditionalFormatting sqref="G4">
    <cfRule type="cellIs" dxfId="2168" priority="284" stopIfTrue="1" operator="equal">
      <formula>'1855'!$F$4</formula>
    </cfRule>
  </conditionalFormatting>
  <conditionalFormatting sqref="D29:H29 J29:R29">
    <cfRule type="cellIs" dxfId="2167" priority="285" stopIfTrue="1" operator="equal">
      <formula>0</formula>
    </cfRule>
  </conditionalFormatting>
  <conditionalFormatting sqref="I13">
    <cfRule type="cellIs" dxfId="2166" priority="286" stopIfTrue="1" operator="equal">
      <formula>'1855'!$H$13</formula>
    </cfRule>
    <cfRule type="cellIs" dxfId="2165" priority="287" stopIfTrue="1" operator="lessThan">
      <formula>'1855'!$H$13</formula>
    </cfRule>
  </conditionalFormatting>
  <conditionalFormatting sqref="I14">
    <cfRule type="cellIs" dxfId="2164" priority="288" stopIfTrue="1" operator="equal">
      <formula>'1855'!$H$14</formula>
    </cfRule>
    <cfRule type="cellIs" dxfId="2163" priority="289" stopIfTrue="1" operator="lessThan">
      <formula>'1855'!$H$14</formula>
    </cfRule>
  </conditionalFormatting>
  <conditionalFormatting sqref="I15">
    <cfRule type="cellIs" dxfId="2162" priority="290" stopIfTrue="1" operator="equal">
      <formula>'1855'!$H$15</formula>
    </cfRule>
    <cfRule type="cellIs" dxfId="2161" priority="291" stopIfTrue="1" operator="lessThan">
      <formula>'1855'!$H$15</formula>
    </cfRule>
  </conditionalFormatting>
  <conditionalFormatting sqref="I16">
    <cfRule type="cellIs" dxfId="2160" priority="292" stopIfTrue="1" operator="equal">
      <formula>'1855'!$H$16</formula>
    </cfRule>
    <cfRule type="cellIs" dxfId="2159" priority="293" stopIfTrue="1" operator="lessThan">
      <formula>'1855'!$H$16</formula>
    </cfRule>
  </conditionalFormatting>
  <conditionalFormatting sqref="I17">
    <cfRule type="cellIs" dxfId="2158" priority="294" stopIfTrue="1" operator="equal">
      <formula>'1855'!$H$17</formula>
    </cfRule>
    <cfRule type="cellIs" dxfId="2157" priority="295" stopIfTrue="1" operator="lessThan">
      <formula>'1855'!$H$17</formula>
    </cfRule>
  </conditionalFormatting>
  <conditionalFormatting sqref="I18">
    <cfRule type="cellIs" dxfId="2156" priority="296" stopIfTrue="1" operator="equal">
      <formula>'1855'!$H$18</formula>
    </cfRule>
    <cfRule type="cellIs" dxfId="2155" priority="297" stopIfTrue="1" operator="lessThan">
      <formula>'1855'!$H$18</formula>
    </cfRule>
  </conditionalFormatting>
  <conditionalFormatting sqref="I19">
    <cfRule type="cellIs" dxfId="2154" priority="298" stopIfTrue="1" operator="equal">
      <formula>'1855'!$H$19</formula>
    </cfRule>
    <cfRule type="cellIs" dxfId="2153" priority="299" stopIfTrue="1" operator="lessThan">
      <formula>'1855'!$H$19</formula>
    </cfRule>
  </conditionalFormatting>
  <conditionalFormatting sqref="I20">
    <cfRule type="cellIs" dxfId="2152" priority="300" stopIfTrue="1" operator="equal">
      <formula>'1855'!$H$20</formula>
    </cfRule>
    <cfRule type="cellIs" dxfId="2151" priority="301" stopIfTrue="1" operator="lessThan">
      <formula>'1855'!$H$20</formula>
    </cfRule>
  </conditionalFormatting>
  <conditionalFormatting sqref="I21">
    <cfRule type="cellIs" dxfId="2150" priority="302" stopIfTrue="1" operator="equal">
      <formula>'1855'!$H$21</formula>
    </cfRule>
    <cfRule type="cellIs" dxfId="2149" priority="303" stopIfTrue="1" operator="lessThan">
      <formula>'1855'!$H$21</formula>
    </cfRule>
  </conditionalFormatting>
  <conditionalFormatting sqref="I22">
    <cfRule type="cellIs" dxfId="2148" priority="304" stopIfTrue="1" operator="equal">
      <formula>'1855'!$H$22</formula>
    </cfRule>
    <cfRule type="cellIs" dxfId="2147" priority="305" stopIfTrue="1" operator="lessThan">
      <formula>'1855'!$H$22</formula>
    </cfRule>
  </conditionalFormatting>
  <conditionalFormatting sqref="I23">
    <cfRule type="cellIs" dxfId="2146" priority="306" stopIfTrue="1" operator="equal">
      <formula>'1855'!$H$23</formula>
    </cfRule>
    <cfRule type="cellIs" dxfId="2145" priority="307" stopIfTrue="1" operator="lessThan">
      <formula>'1855'!$H$23</formula>
    </cfRule>
  </conditionalFormatting>
  <conditionalFormatting sqref="I24">
    <cfRule type="cellIs" dxfId="2144" priority="308" stopIfTrue="1" operator="equal">
      <formula>'1855'!$H$24</formula>
    </cfRule>
    <cfRule type="cellIs" dxfId="2143" priority="309" stopIfTrue="1" operator="lessThan">
      <formula>'1855'!$H$24</formula>
    </cfRule>
  </conditionalFormatting>
  <conditionalFormatting sqref="I25">
    <cfRule type="cellIs" dxfId="2142" priority="310" stopIfTrue="1" operator="equal">
      <formula>'1855'!$H$25</formula>
    </cfRule>
    <cfRule type="cellIs" dxfId="2141" priority="311" stopIfTrue="1" operator="lessThan">
      <formula>'1855'!$H$25</formula>
    </cfRule>
  </conditionalFormatting>
  <conditionalFormatting sqref="I26">
    <cfRule type="cellIs" dxfId="2140" priority="312" stopIfTrue="1" operator="equal">
      <formula>'1855'!$H$26</formula>
    </cfRule>
    <cfRule type="cellIs" dxfId="2139" priority="313" stopIfTrue="1" operator="lessThan">
      <formula>'1855'!$H$26</formula>
    </cfRule>
  </conditionalFormatting>
  <conditionalFormatting sqref="I27">
    <cfRule type="cellIs" dxfId="2138" priority="314" stopIfTrue="1" operator="equal">
      <formula>'1855'!$H$27</formula>
    </cfRule>
    <cfRule type="cellIs" dxfId="2137" priority="315" stopIfTrue="1" operator="lessThan">
      <formula>'1855'!$H$27</formula>
    </cfRule>
    <cfRule type="cellIs" dxfId="2136" priority="316" stopIfTrue="1" operator="lessThan">
      <formula>'1855'!$H$27</formula>
    </cfRule>
  </conditionalFormatting>
  <conditionalFormatting sqref="I28">
    <cfRule type="cellIs" dxfId="2135" priority="317" stopIfTrue="1" operator="equal">
      <formula>'1855'!$H$28</formula>
    </cfRule>
    <cfRule type="cellIs" dxfId="2134" priority="318" stopIfTrue="1" operator="lessThan">
      <formula>'1855'!$H$28</formula>
    </cfRule>
  </conditionalFormatting>
  <conditionalFormatting sqref="I29">
    <cfRule type="cellIs" dxfId="2133" priority="319" stopIfTrue="1" operator="equal">
      <formula>'1855'!$H$29</formula>
    </cfRule>
    <cfRule type="cellIs" dxfId="2132" priority="320" stopIfTrue="1" operator="lessThan">
      <formula>'1855'!$H$29</formula>
    </cfRule>
  </conditionalFormatting>
  <conditionalFormatting sqref="J13">
    <cfRule type="cellIs" dxfId="2131" priority="321" stopIfTrue="1" operator="equal">
      <formula>'1855'!$I$13</formula>
    </cfRule>
    <cfRule type="cellIs" dxfId="2130" priority="322" stopIfTrue="1" operator="lessThan">
      <formula>'1855'!$I$13</formula>
    </cfRule>
  </conditionalFormatting>
  <conditionalFormatting sqref="J14">
    <cfRule type="cellIs" dxfId="2129" priority="323" stopIfTrue="1" operator="equal">
      <formula>'1855'!$I$14</formula>
    </cfRule>
    <cfRule type="cellIs" dxfId="2128" priority="324" stopIfTrue="1" operator="lessThan">
      <formula>'1855'!$I$14</formula>
    </cfRule>
  </conditionalFormatting>
  <conditionalFormatting sqref="J15">
    <cfRule type="cellIs" dxfId="2127" priority="325" stopIfTrue="1" operator="equal">
      <formula>'1855'!$I$15</formula>
    </cfRule>
    <cfRule type="cellIs" dxfId="2126" priority="326" stopIfTrue="1" operator="lessThan">
      <formula>'1855'!$I$15</formula>
    </cfRule>
  </conditionalFormatting>
  <conditionalFormatting sqref="J16">
    <cfRule type="cellIs" dxfId="2125" priority="327" stopIfTrue="1" operator="equal">
      <formula>'1855'!$I$16</formula>
    </cfRule>
    <cfRule type="cellIs" dxfId="2124" priority="328" stopIfTrue="1" operator="lessThan">
      <formula>'1855'!$I$16</formula>
    </cfRule>
  </conditionalFormatting>
  <conditionalFormatting sqref="J17">
    <cfRule type="cellIs" dxfId="2123" priority="329" stopIfTrue="1" operator="equal">
      <formula>'1855'!$I$17</formula>
    </cfRule>
    <cfRule type="cellIs" dxfId="2122" priority="330" stopIfTrue="1" operator="lessThan">
      <formula>'1855'!$I$17</formula>
    </cfRule>
  </conditionalFormatting>
  <conditionalFormatting sqref="J18">
    <cfRule type="cellIs" dxfId="2121" priority="331" stopIfTrue="1" operator="equal">
      <formula>'1855'!$I$18</formula>
    </cfRule>
    <cfRule type="cellIs" dxfId="2120" priority="332" stopIfTrue="1" operator="lessThan">
      <formula>'1855'!$I$18</formula>
    </cfRule>
  </conditionalFormatting>
  <conditionalFormatting sqref="J19">
    <cfRule type="cellIs" dxfId="2119" priority="333" stopIfTrue="1" operator="equal">
      <formula>'1855'!$I$19</formula>
    </cfRule>
    <cfRule type="cellIs" dxfId="2118" priority="334" stopIfTrue="1" operator="lessThan">
      <formula>'1855'!$I$19</formula>
    </cfRule>
  </conditionalFormatting>
  <conditionalFormatting sqref="J20">
    <cfRule type="cellIs" dxfId="2117" priority="335" stopIfTrue="1" operator="equal">
      <formula>'1855'!$I$20</formula>
    </cfRule>
    <cfRule type="cellIs" dxfId="2116" priority="336" stopIfTrue="1" operator="lessThan">
      <formula>'1855'!$I$20</formula>
    </cfRule>
  </conditionalFormatting>
  <conditionalFormatting sqref="J21">
    <cfRule type="cellIs" dxfId="2115" priority="337" stopIfTrue="1" operator="equal">
      <formula>'1855'!$I$21</formula>
    </cfRule>
    <cfRule type="cellIs" dxfId="2114" priority="338" stopIfTrue="1" operator="lessThan">
      <formula>'1855'!$I$21</formula>
    </cfRule>
  </conditionalFormatting>
  <conditionalFormatting sqref="J22">
    <cfRule type="cellIs" dxfId="2113" priority="339" stopIfTrue="1" operator="equal">
      <formula>'1855'!$I$22</formula>
    </cfRule>
    <cfRule type="cellIs" dxfId="2112" priority="340" stopIfTrue="1" operator="lessThan">
      <formula>'1855'!$I$22</formula>
    </cfRule>
  </conditionalFormatting>
  <conditionalFormatting sqref="J23">
    <cfRule type="cellIs" dxfId="2111" priority="341" stopIfTrue="1" operator="equal">
      <formula>'1855'!$I$23</formula>
    </cfRule>
    <cfRule type="cellIs" dxfId="2110" priority="342" stopIfTrue="1" operator="lessThan">
      <formula>'1855'!$I$23</formula>
    </cfRule>
  </conditionalFormatting>
  <conditionalFormatting sqref="J24">
    <cfRule type="cellIs" dxfId="2109" priority="343" stopIfTrue="1" operator="equal">
      <formula>'1855'!$I$24</formula>
    </cfRule>
    <cfRule type="cellIs" dxfId="2108" priority="344" stopIfTrue="1" operator="lessThan">
      <formula>'1855'!$I$24</formula>
    </cfRule>
  </conditionalFormatting>
  <conditionalFormatting sqref="J25">
    <cfRule type="cellIs" dxfId="2107" priority="345" stopIfTrue="1" operator="equal">
      <formula>'1855'!$I$25</formula>
    </cfRule>
    <cfRule type="cellIs" dxfId="2106" priority="346" stopIfTrue="1" operator="lessThan">
      <formula>'1855'!$I$25</formula>
    </cfRule>
  </conditionalFormatting>
  <conditionalFormatting sqref="J26">
    <cfRule type="cellIs" dxfId="2105" priority="347" stopIfTrue="1" operator="equal">
      <formula>'1855'!$I$26</formula>
    </cfRule>
    <cfRule type="cellIs" dxfId="2104" priority="348" stopIfTrue="1" operator="lessThan">
      <formula>'1855'!$I$26</formula>
    </cfRule>
  </conditionalFormatting>
  <conditionalFormatting sqref="J27">
    <cfRule type="cellIs" dxfId="2103" priority="349" stopIfTrue="1" operator="equal">
      <formula>'1855'!$I$27</formula>
    </cfRule>
    <cfRule type="cellIs" dxfId="2102" priority="350" stopIfTrue="1" operator="lessThan">
      <formula>'1855'!$I$27</formula>
    </cfRule>
  </conditionalFormatting>
  <conditionalFormatting sqref="J28">
    <cfRule type="cellIs" dxfId="2101" priority="351" stopIfTrue="1" operator="equal">
      <formula>'1855'!$I$28</formula>
    </cfRule>
    <cfRule type="cellIs" dxfId="2100" priority="352" stopIfTrue="1" operator="lessThan">
      <formula>'1855'!$I$28</formula>
    </cfRule>
  </conditionalFormatting>
  <conditionalFormatting sqref="K4">
    <cfRule type="cellIs" dxfId="2099" priority="353" stopIfTrue="1" operator="equal">
      <formula>'1855'!$J$4</formula>
    </cfRule>
    <cfRule type="cellIs" dxfId="2098" priority="354" stopIfTrue="1" operator="lessThan">
      <formula>'1855'!$J$4</formula>
    </cfRule>
  </conditionalFormatting>
  <conditionalFormatting sqref="K5">
    <cfRule type="cellIs" dxfId="2097" priority="355" stopIfTrue="1" operator="equal">
      <formula>'1855'!$J$5</formula>
    </cfRule>
    <cfRule type="cellIs" dxfId="2096" priority="356" stopIfTrue="1" operator="lessThan">
      <formula>'1855'!$J$5</formula>
    </cfRule>
  </conditionalFormatting>
  <conditionalFormatting sqref="K6">
    <cfRule type="cellIs" dxfId="2095" priority="357" stopIfTrue="1" operator="equal">
      <formula>'1855'!$J$6</formula>
    </cfRule>
    <cfRule type="cellIs" dxfId="2094" priority="358" stopIfTrue="1" operator="lessThan">
      <formula>'1855'!$J$6</formula>
    </cfRule>
  </conditionalFormatting>
  <conditionalFormatting sqref="K7">
    <cfRule type="cellIs" dxfId="2093" priority="359" stopIfTrue="1" operator="equal">
      <formula>'1855'!$J$7</formula>
    </cfRule>
    <cfRule type="cellIs" dxfId="2092" priority="360" stopIfTrue="1" operator="lessThan">
      <formula>'1855'!$J$7</formula>
    </cfRule>
  </conditionalFormatting>
  <conditionalFormatting sqref="K8">
    <cfRule type="cellIs" dxfId="2091" priority="361" stopIfTrue="1" operator="equal">
      <formula>'1855'!$J$8</formula>
    </cfRule>
    <cfRule type="cellIs" dxfId="2090" priority="362" stopIfTrue="1" operator="lessThan">
      <formula>'1855'!$J$8</formula>
    </cfRule>
  </conditionalFormatting>
  <conditionalFormatting sqref="K9">
    <cfRule type="cellIs" dxfId="2089" priority="363" stopIfTrue="1" operator="equal">
      <formula>'1855'!$J$9</formula>
    </cfRule>
    <cfRule type="cellIs" dxfId="2088" priority="364" stopIfTrue="1" operator="lessThan">
      <formula>'1855'!$J$9</formula>
    </cfRule>
  </conditionalFormatting>
  <conditionalFormatting sqref="K10">
    <cfRule type="cellIs" dxfId="2087" priority="365" stopIfTrue="1" operator="equal">
      <formula>'1855'!$J$10</formula>
    </cfRule>
    <cfRule type="cellIs" dxfId="2086" priority="366" stopIfTrue="1" operator="lessThan">
      <formula>'1855'!$J$10</formula>
    </cfRule>
  </conditionalFormatting>
  <conditionalFormatting sqref="K11">
    <cfRule type="cellIs" dxfId="2085" priority="367" stopIfTrue="1" operator="equal">
      <formula>'1855'!$J$11</formula>
    </cfRule>
    <cfRule type="cellIs" dxfId="2084" priority="368" stopIfTrue="1" operator="lessThan">
      <formula>'1855'!$J$11</formula>
    </cfRule>
  </conditionalFormatting>
  <conditionalFormatting sqref="K12">
    <cfRule type="cellIs" dxfId="2083" priority="369" stopIfTrue="1" operator="equal">
      <formula>'1855'!$J$12</formula>
    </cfRule>
    <cfRule type="cellIs" dxfId="2082" priority="370" stopIfTrue="1" operator="lessThan">
      <formula>'1855'!$J$12</formula>
    </cfRule>
  </conditionalFormatting>
  <conditionalFormatting sqref="K13">
    <cfRule type="cellIs" dxfId="2081" priority="371" stopIfTrue="1" operator="equal">
      <formula>'1855'!$J$13</formula>
    </cfRule>
    <cfRule type="cellIs" dxfId="2080" priority="372" stopIfTrue="1" operator="lessThan">
      <formula>'1855'!$J$13</formula>
    </cfRule>
  </conditionalFormatting>
  <conditionalFormatting sqref="K14">
    <cfRule type="cellIs" dxfId="2079" priority="373" stopIfTrue="1" operator="equal">
      <formula>'1855'!$J$14</formula>
    </cfRule>
    <cfRule type="cellIs" dxfId="2078" priority="374" stopIfTrue="1" operator="lessThan">
      <formula>'1855'!$J$14</formula>
    </cfRule>
  </conditionalFormatting>
  <conditionalFormatting sqref="K15">
    <cfRule type="cellIs" dxfId="2077" priority="375" stopIfTrue="1" operator="equal">
      <formula>'1855'!$J$15</formula>
    </cfRule>
    <cfRule type="cellIs" dxfId="2076" priority="376" stopIfTrue="1" operator="lessThan">
      <formula>'1855'!$J$15</formula>
    </cfRule>
  </conditionalFormatting>
  <conditionalFormatting sqref="K16">
    <cfRule type="cellIs" dxfId="2075" priority="377" stopIfTrue="1" operator="equal">
      <formula>'1855'!$J$16</formula>
    </cfRule>
    <cfRule type="cellIs" dxfId="2074" priority="378" stopIfTrue="1" operator="lessThan">
      <formula>'1855'!$J$16</formula>
    </cfRule>
  </conditionalFormatting>
  <conditionalFormatting sqref="K17">
    <cfRule type="cellIs" dxfId="2073" priority="379" stopIfTrue="1" operator="equal">
      <formula>'1855'!$J$17</formula>
    </cfRule>
    <cfRule type="cellIs" dxfId="2072" priority="380" stopIfTrue="1" operator="lessThan">
      <formula>'1855'!$J$17</formula>
    </cfRule>
  </conditionalFormatting>
  <conditionalFormatting sqref="K18">
    <cfRule type="cellIs" dxfId="2071" priority="381" stopIfTrue="1" operator="equal">
      <formula>'1855'!$J$18</formula>
    </cfRule>
    <cfRule type="cellIs" dxfId="2070" priority="382" stopIfTrue="1" operator="lessThan">
      <formula>'1855'!$J$18</formula>
    </cfRule>
  </conditionalFormatting>
  <conditionalFormatting sqref="K19">
    <cfRule type="cellIs" dxfId="2069" priority="383" stopIfTrue="1" operator="equal">
      <formula>'1855'!$J$19</formula>
    </cfRule>
    <cfRule type="cellIs" dxfId="2068" priority="384" stopIfTrue="1" operator="lessThan">
      <formula>'1855'!$J$19</formula>
    </cfRule>
  </conditionalFormatting>
  <conditionalFormatting sqref="K20">
    <cfRule type="cellIs" dxfId="2067" priority="385" stopIfTrue="1" operator="equal">
      <formula>'1855'!$J$20</formula>
    </cfRule>
    <cfRule type="cellIs" dxfId="2066" priority="386" stopIfTrue="1" operator="lessThan">
      <formula>'1855'!$J$20</formula>
    </cfRule>
  </conditionalFormatting>
  <conditionalFormatting sqref="K21">
    <cfRule type="cellIs" dxfId="2065" priority="387" stopIfTrue="1" operator="equal">
      <formula>'1855'!$J$21</formula>
    </cfRule>
    <cfRule type="cellIs" dxfId="2064" priority="388" stopIfTrue="1" operator="lessThan">
      <formula>'1855'!$J$21</formula>
    </cfRule>
  </conditionalFormatting>
  <conditionalFormatting sqref="K22">
    <cfRule type="cellIs" dxfId="2063" priority="389" stopIfTrue="1" operator="equal">
      <formula>'1855'!$J$22</formula>
    </cfRule>
    <cfRule type="cellIs" dxfId="2062" priority="390" stopIfTrue="1" operator="lessThan">
      <formula>'1855'!$J$22</formula>
    </cfRule>
  </conditionalFormatting>
  <conditionalFormatting sqref="K23">
    <cfRule type="cellIs" dxfId="2061" priority="391" stopIfTrue="1" operator="equal">
      <formula>'1855'!$J$23</formula>
    </cfRule>
    <cfRule type="cellIs" dxfId="2060" priority="392" stopIfTrue="1" operator="lessThan">
      <formula>'1855'!$J$23</formula>
    </cfRule>
  </conditionalFormatting>
  <conditionalFormatting sqref="K24">
    <cfRule type="cellIs" dxfId="2059" priority="393" stopIfTrue="1" operator="equal">
      <formula>'1855'!$J$24</formula>
    </cfRule>
    <cfRule type="cellIs" dxfId="2058" priority="394" stopIfTrue="1" operator="lessThan">
      <formula>'1855'!$J$24</formula>
    </cfRule>
  </conditionalFormatting>
  <conditionalFormatting sqref="K25">
    <cfRule type="cellIs" dxfId="2057" priority="395" stopIfTrue="1" operator="equal">
      <formula>'1855'!$J$25</formula>
    </cfRule>
    <cfRule type="cellIs" dxfId="2056" priority="396" stopIfTrue="1" operator="lessThan">
      <formula>'1855'!$J$25</formula>
    </cfRule>
  </conditionalFormatting>
  <conditionalFormatting sqref="K26">
    <cfRule type="cellIs" dxfId="2055" priority="397" stopIfTrue="1" operator="equal">
      <formula>'1855'!$J$26</formula>
    </cfRule>
    <cfRule type="cellIs" dxfId="2054" priority="398" stopIfTrue="1" operator="lessThan">
      <formula>'1855'!$J$26</formula>
    </cfRule>
  </conditionalFormatting>
  <conditionalFormatting sqref="K27">
    <cfRule type="cellIs" dxfId="2053" priority="399" stopIfTrue="1" operator="equal">
      <formula>'1855'!$J$27</formula>
    </cfRule>
    <cfRule type="cellIs" dxfId="2052" priority="400" stopIfTrue="1" operator="lessThan">
      <formula>'1855'!$J$27</formula>
    </cfRule>
  </conditionalFormatting>
  <conditionalFormatting sqref="K28">
    <cfRule type="cellIs" dxfId="2051" priority="401" stopIfTrue="1" operator="lessThan">
      <formula>'1855'!$J$28</formula>
    </cfRule>
    <cfRule type="cellIs" dxfId="2050" priority="402" stopIfTrue="1" operator="equal">
      <formula>'1855'!$J$28</formula>
    </cfRule>
  </conditionalFormatting>
  <conditionalFormatting sqref="L4:M4">
    <cfRule type="cellIs" dxfId="2049" priority="403" stopIfTrue="1" operator="equal">
      <formula>'1855'!$K$4</formula>
    </cfRule>
    <cfRule type="cellIs" dxfId="2048" priority="404" stopIfTrue="1" operator="lessThan">
      <formula>'1855'!$K$4</formula>
    </cfRule>
  </conditionalFormatting>
  <conditionalFormatting sqref="L5:M5">
    <cfRule type="cellIs" dxfId="2047" priority="405" stopIfTrue="1" operator="equal">
      <formula>'1855'!$K$5</formula>
    </cfRule>
    <cfRule type="cellIs" dxfId="2046" priority="406" stopIfTrue="1" operator="lessThan">
      <formula>'1855'!$K$5</formula>
    </cfRule>
  </conditionalFormatting>
  <conditionalFormatting sqref="L6:M6">
    <cfRule type="cellIs" dxfId="2045" priority="407" stopIfTrue="1" operator="equal">
      <formula>'1855'!$K$6</formula>
    </cfRule>
    <cfRule type="cellIs" dxfId="2044" priority="408" stopIfTrue="1" operator="lessThan">
      <formula>'1855'!$K$6</formula>
    </cfRule>
  </conditionalFormatting>
  <conditionalFormatting sqref="L7:M7">
    <cfRule type="cellIs" dxfId="2043" priority="409" stopIfTrue="1" operator="equal">
      <formula>'1855'!$K$7</formula>
    </cfRule>
    <cfRule type="cellIs" dxfId="2042" priority="410" stopIfTrue="1" operator="lessThan">
      <formula>'1855'!$K$7</formula>
    </cfRule>
  </conditionalFormatting>
  <conditionalFormatting sqref="L8:M8">
    <cfRule type="cellIs" dxfId="2041" priority="411" stopIfTrue="1" operator="equal">
      <formula>'1855'!$K$8</formula>
    </cfRule>
    <cfRule type="cellIs" dxfId="2040" priority="412" stopIfTrue="1" operator="lessThan">
      <formula>'1855'!$K$8</formula>
    </cfRule>
  </conditionalFormatting>
  <conditionalFormatting sqref="L9:M9">
    <cfRule type="cellIs" dxfId="2039" priority="413" stopIfTrue="1" operator="equal">
      <formula>'1855'!$K$9</formula>
    </cfRule>
    <cfRule type="cellIs" dxfId="2038" priority="414" stopIfTrue="1" operator="lessThan">
      <formula>'1855'!$K$9</formula>
    </cfRule>
  </conditionalFormatting>
  <conditionalFormatting sqref="L10:M10">
    <cfRule type="cellIs" dxfId="2037" priority="415" stopIfTrue="1" operator="equal">
      <formula>'1855'!$K$10</formula>
    </cfRule>
    <cfRule type="cellIs" dxfId="2036" priority="416" stopIfTrue="1" operator="lessThan">
      <formula>'1855'!$K$10</formula>
    </cfRule>
  </conditionalFormatting>
  <conditionalFormatting sqref="L12:M12">
    <cfRule type="cellIs" dxfId="2035" priority="417" stopIfTrue="1" operator="equal">
      <formula>'1855'!$K$12</formula>
    </cfRule>
    <cfRule type="cellIs" dxfId="2034" priority="418" stopIfTrue="1" operator="lessThan">
      <formula>'1855'!$K$12</formula>
    </cfRule>
  </conditionalFormatting>
  <conditionalFormatting sqref="L13:M13">
    <cfRule type="cellIs" dxfId="2033" priority="419" stopIfTrue="1" operator="equal">
      <formula>'1855'!$K$13</formula>
    </cfRule>
    <cfRule type="cellIs" dxfId="2032" priority="420" stopIfTrue="1" operator="lessThan">
      <formula>'1855'!$K$13</formula>
    </cfRule>
  </conditionalFormatting>
  <conditionalFormatting sqref="L14:M14">
    <cfRule type="cellIs" dxfId="2031" priority="421" stopIfTrue="1" operator="equal">
      <formula>'1855'!$K$14</formula>
    </cfRule>
    <cfRule type="cellIs" dxfId="2030" priority="422" stopIfTrue="1" operator="lessThan">
      <formula>'1855'!$K$14</formula>
    </cfRule>
  </conditionalFormatting>
  <conditionalFormatting sqref="L15:M15">
    <cfRule type="cellIs" dxfId="2029" priority="423" stopIfTrue="1" operator="equal">
      <formula>'1855'!$K$15</formula>
    </cfRule>
    <cfRule type="cellIs" dxfId="2028" priority="424" stopIfTrue="1" operator="lessThan">
      <formula>'1855'!$K$15</formula>
    </cfRule>
  </conditionalFormatting>
  <conditionalFormatting sqref="L16:M16">
    <cfRule type="cellIs" dxfId="2027" priority="425" stopIfTrue="1" operator="equal">
      <formula>'1855'!$K$16</formula>
    </cfRule>
    <cfRule type="cellIs" dxfId="2026" priority="426" stopIfTrue="1" operator="lessThan">
      <formula>'1855'!$K$16</formula>
    </cfRule>
  </conditionalFormatting>
  <conditionalFormatting sqref="L17:M17">
    <cfRule type="cellIs" dxfId="2025" priority="427" stopIfTrue="1" operator="equal">
      <formula>'1855'!$K$17</formula>
    </cfRule>
    <cfRule type="cellIs" dxfId="2024" priority="428" stopIfTrue="1" operator="lessThan">
      <formula>'1855'!$K$17</formula>
    </cfRule>
  </conditionalFormatting>
  <conditionalFormatting sqref="L18:M18">
    <cfRule type="cellIs" dxfId="2023" priority="429" stopIfTrue="1" operator="equal">
      <formula>'1855'!$K$18</formula>
    </cfRule>
    <cfRule type="cellIs" dxfId="2022" priority="430" stopIfTrue="1" operator="lessThan">
      <formula>'1855'!$K$18</formula>
    </cfRule>
  </conditionalFormatting>
  <conditionalFormatting sqref="L19:M19">
    <cfRule type="cellIs" dxfId="2021" priority="431" stopIfTrue="1" operator="equal">
      <formula>'1855'!$K$19</formula>
    </cfRule>
    <cfRule type="cellIs" dxfId="2020" priority="432" stopIfTrue="1" operator="lessThan">
      <formula>'1855'!$K$19</formula>
    </cfRule>
  </conditionalFormatting>
  <conditionalFormatting sqref="L20:M20">
    <cfRule type="cellIs" dxfId="2019" priority="433" stopIfTrue="1" operator="equal">
      <formula>'1855'!$K$20</formula>
    </cfRule>
    <cfRule type="cellIs" dxfId="2018" priority="434" stopIfTrue="1" operator="lessThan">
      <formula>'1855'!$K$20</formula>
    </cfRule>
  </conditionalFormatting>
  <conditionalFormatting sqref="L21:M21">
    <cfRule type="cellIs" dxfId="2017" priority="435" stopIfTrue="1" operator="equal">
      <formula>'1855'!$K$21</formula>
    </cfRule>
    <cfRule type="cellIs" dxfId="2016" priority="436" stopIfTrue="1" operator="lessThan">
      <formula>'1855'!$K$21</formula>
    </cfRule>
  </conditionalFormatting>
  <conditionalFormatting sqref="L11:M11">
    <cfRule type="cellIs" dxfId="2015" priority="437" stopIfTrue="1" operator="equal">
      <formula>'1855'!$K$11</formula>
    </cfRule>
    <cfRule type="cellIs" dxfId="2014" priority="438" stopIfTrue="1" operator="lessThan">
      <formula>'1855'!$K$11</formula>
    </cfRule>
  </conditionalFormatting>
  <conditionalFormatting sqref="L22:M22">
    <cfRule type="cellIs" dxfId="2013" priority="439" stopIfTrue="1" operator="equal">
      <formula>'1855'!$K$22</formula>
    </cfRule>
    <cfRule type="cellIs" dxfId="2012" priority="440" stopIfTrue="1" operator="lessThan">
      <formula>'1855'!$K$22</formula>
    </cfRule>
  </conditionalFormatting>
  <conditionalFormatting sqref="L23:M23">
    <cfRule type="cellIs" dxfId="2011" priority="441" stopIfTrue="1" operator="equal">
      <formula>'1855'!$K$23</formula>
    </cfRule>
    <cfRule type="cellIs" dxfId="2010" priority="442" stopIfTrue="1" operator="lessThan">
      <formula>'1855'!$K$23</formula>
    </cfRule>
  </conditionalFormatting>
  <conditionalFormatting sqref="L24:M24">
    <cfRule type="cellIs" dxfId="2009" priority="443" stopIfTrue="1" operator="equal">
      <formula>'1855'!$K$24</formula>
    </cfRule>
    <cfRule type="cellIs" dxfId="2008" priority="444" stopIfTrue="1" operator="lessThan">
      <formula>'1855'!$K$24</formula>
    </cfRule>
  </conditionalFormatting>
  <conditionalFormatting sqref="L25:M25">
    <cfRule type="cellIs" dxfId="2007" priority="445" stopIfTrue="1" operator="equal">
      <formula>'1855'!$K$25</formula>
    </cfRule>
    <cfRule type="cellIs" dxfId="2006" priority="446" stopIfTrue="1" operator="lessThan">
      <formula>'1855'!$K$25</formula>
    </cfRule>
  </conditionalFormatting>
  <conditionalFormatting sqref="L26:M26">
    <cfRule type="cellIs" dxfId="2005" priority="447" stopIfTrue="1" operator="equal">
      <formula>'1855'!$K$26</formula>
    </cfRule>
    <cfRule type="cellIs" dxfId="2004" priority="448" stopIfTrue="1" operator="lessThan">
      <formula>'1855'!$K$26</formula>
    </cfRule>
  </conditionalFormatting>
  <conditionalFormatting sqref="L27:M27">
    <cfRule type="cellIs" dxfId="2003" priority="449" stopIfTrue="1" operator="equal">
      <formula>'1855'!$K$27</formula>
    </cfRule>
    <cfRule type="cellIs" dxfId="2002" priority="450" stopIfTrue="1" operator="lessThan">
      <formula>'1855'!$K$27</formula>
    </cfRule>
  </conditionalFormatting>
  <conditionalFormatting sqref="L28:M28">
    <cfRule type="cellIs" dxfId="2001" priority="451" stopIfTrue="1" operator="equal">
      <formula>'1855'!$K$28</formula>
    </cfRule>
    <cfRule type="cellIs" dxfId="2000" priority="452" stopIfTrue="1" operator="lessThan">
      <formula>'1855'!$K$28</formula>
    </cfRule>
  </conditionalFormatting>
  <conditionalFormatting sqref="N4">
    <cfRule type="cellIs" dxfId="1999" priority="453" stopIfTrue="1" operator="lessThan">
      <formula>'1855'!$L$4</formula>
    </cfRule>
    <cfRule type="cellIs" dxfId="1998" priority="454" stopIfTrue="1" operator="equal">
      <formula>'1855'!$L$4</formula>
    </cfRule>
  </conditionalFormatting>
  <conditionalFormatting sqref="N5">
    <cfRule type="cellIs" dxfId="1997" priority="455" stopIfTrue="1" operator="equal">
      <formula>'1855'!$L$5</formula>
    </cfRule>
    <cfRule type="cellIs" dxfId="1996" priority="456" stopIfTrue="1" operator="lessThan">
      <formula>'1855'!$L$5</formula>
    </cfRule>
  </conditionalFormatting>
  <conditionalFormatting sqref="N6">
    <cfRule type="cellIs" dxfId="1995" priority="457" stopIfTrue="1" operator="equal">
      <formula>'1855'!$L$6</formula>
    </cfRule>
    <cfRule type="cellIs" dxfId="1994" priority="458" stopIfTrue="1" operator="lessThan">
      <formula>'1855'!$L$6</formula>
    </cfRule>
  </conditionalFormatting>
  <conditionalFormatting sqref="N7">
    <cfRule type="cellIs" dxfId="1993" priority="459" stopIfTrue="1" operator="equal">
      <formula>'1855'!$L$7</formula>
    </cfRule>
    <cfRule type="cellIs" dxfId="1992" priority="460" stopIfTrue="1" operator="lessThan">
      <formula>'1855'!$L$7</formula>
    </cfRule>
  </conditionalFormatting>
  <conditionalFormatting sqref="N8">
    <cfRule type="cellIs" dxfId="1991" priority="461" stopIfTrue="1" operator="equal">
      <formula>'1855'!$L$8</formula>
    </cfRule>
    <cfRule type="cellIs" dxfId="1990" priority="462" stopIfTrue="1" operator="lessThan">
      <formula>'1855'!$L$8</formula>
    </cfRule>
  </conditionalFormatting>
  <conditionalFormatting sqref="N9">
    <cfRule type="cellIs" dxfId="1989" priority="463" stopIfTrue="1" operator="equal">
      <formula>'1855'!$L$9</formula>
    </cfRule>
    <cfRule type="cellIs" dxfId="1988" priority="464" stopIfTrue="1" operator="lessThan">
      <formula>'1855'!$L$9</formula>
    </cfRule>
  </conditionalFormatting>
  <conditionalFormatting sqref="N10">
    <cfRule type="cellIs" dxfId="1987" priority="465" stopIfTrue="1" operator="equal">
      <formula>'1855'!$L$10</formula>
    </cfRule>
    <cfRule type="cellIs" dxfId="1986" priority="466" stopIfTrue="1" operator="lessThan">
      <formula>'1855'!$L$10</formula>
    </cfRule>
  </conditionalFormatting>
  <conditionalFormatting sqref="N11">
    <cfRule type="cellIs" dxfId="1985" priority="467" stopIfTrue="1" operator="equal">
      <formula>'1855'!$L$11</formula>
    </cfRule>
    <cfRule type="cellIs" dxfId="1984" priority="468" stopIfTrue="1" operator="lessThan">
      <formula>'1855'!$L$11</formula>
    </cfRule>
  </conditionalFormatting>
  <conditionalFormatting sqref="N12">
    <cfRule type="cellIs" dxfId="1983" priority="469" stopIfTrue="1" operator="equal">
      <formula>'1855'!$L$12</formula>
    </cfRule>
    <cfRule type="cellIs" dxfId="1982" priority="470" stopIfTrue="1" operator="lessThan">
      <formula>'1855'!$L$12</formula>
    </cfRule>
  </conditionalFormatting>
  <conditionalFormatting sqref="N13">
    <cfRule type="cellIs" dxfId="1981" priority="471" stopIfTrue="1" operator="equal">
      <formula>'1855'!$L$13</formula>
    </cfRule>
    <cfRule type="cellIs" dxfId="1980" priority="472" stopIfTrue="1" operator="lessThan">
      <formula>'1855'!$L$13</formula>
    </cfRule>
  </conditionalFormatting>
  <conditionalFormatting sqref="N14">
    <cfRule type="cellIs" dxfId="1979" priority="473" stopIfTrue="1" operator="equal">
      <formula>'1855'!$L$14</formula>
    </cfRule>
    <cfRule type="cellIs" dxfId="1978" priority="474" stopIfTrue="1" operator="lessThan">
      <formula>'1855'!$L$14</formula>
    </cfRule>
  </conditionalFormatting>
  <conditionalFormatting sqref="N15">
    <cfRule type="cellIs" dxfId="1977" priority="475" stopIfTrue="1" operator="equal">
      <formula>'1855'!$L$15</formula>
    </cfRule>
    <cfRule type="cellIs" dxfId="1976" priority="476" stopIfTrue="1" operator="lessThan">
      <formula>'1855'!$L$15</formula>
    </cfRule>
  </conditionalFormatting>
  <conditionalFormatting sqref="N16">
    <cfRule type="cellIs" dxfId="1975" priority="477" stopIfTrue="1" operator="equal">
      <formula>'1855'!$L$16</formula>
    </cfRule>
    <cfRule type="cellIs" dxfId="1974" priority="478" stopIfTrue="1" operator="lessThan">
      <formula>'1855'!$L$16</formula>
    </cfRule>
  </conditionalFormatting>
  <conditionalFormatting sqref="N17">
    <cfRule type="cellIs" dxfId="1973" priority="479" stopIfTrue="1" operator="equal">
      <formula>'1855'!$L$17</formula>
    </cfRule>
    <cfRule type="cellIs" dxfId="1972" priority="480" stopIfTrue="1" operator="lessThan">
      <formula>'1855'!$L$17</formula>
    </cfRule>
  </conditionalFormatting>
  <conditionalFormatting sqref="N18">
    <cfRule type="cellIs" dxfId="1971" priority="481" stopIfTrue="1" operator="equal">
      <formula>'1855'!$L$18</formula>
    </cfRule>
    <cfRule type="cellIs" dxfId="1970" priority="482" stopIfTrue="1" operator="lessThan">
      <formula>'1855'!$L$18</formula>
    </cfRule>
  </conditionalFormatting>
  <conditionalFormatting sqref="N19">
    <cfRule type="cellIs" dxfId="1969" priority="483" stopIfTrue="1" operator="equal">
      <formula>'1855'!$L$19</formula>
    </cfRule>
    <cfRule type="cellIs" dxfId="1968" priority="484" stopIfTrue="1" operator="lessThan">
      <formula>'1855'!$L$19</formula>
    </cfRule>
  </conditionalFormatting>
  <conditionalFormatting sqref="N20">
    <cfRule type="cellIs" dxfId="1967" priority="485" stopIfTrue="1" operator="equal">
      <formula>'1855'!$L$20</formula>
    </cfRule>
    <cfRule type="cellIs" dxfId="1966" priority="486" stopIfTrue="1" operator="lessThan">
      <formula>'1855'!$L$20</formula>
    </cfRule>
  </conditionalFormatting>
  <conditionalFormatting sqref="N21">
    <cfRule type="cellIs" dxfId="1965" priority="487" stopIfTrue="1" operator="equal">
      <formula>'1855'!$L$21</formula>
    </cfRule>
    <cfRule type="cellIs" dxfId="1964" priority="488" stopIfTrue="1" operator="lessThan">
      <formula>'1855'!$L$21</formula>
    </cfRule>
  </conditionalFormatting>
  <conditionalFormatting sqref="N22">
    <cfRule type="cellIs" dxfId="1963" priority="489" stopIfTrue="1" operator="equal">
      <formula>'1855'!$L$22</formula>
    </cfRule>
    <cfRule type="cellIs" dxfId="1962" priority="490" stopIfTrue="1" operator="lessThan">
      <formula>'1855'!$L$22</formula>
    </cfRule>
  </conditionalFormatting>
  <conditionalFormatting sqref="N23">
    <cfRule type="cellIs" dxfId="1961" priority="491" stopIfTrue="1" operator="equal">
      <formula>'1855'!$L$23</formula>
    </cfRule>
    <cfRule type="cellIs" dxfId="1960" priority="492" stopIfTrue="1" operator="lessThan">
      <formula>'1855'!$L$23</formula>
    </cfRule>
  </conditionalFormatting>
  <conditionalFormatting sqref="N24">
    <cfRule type="cellIs" dxfId="1959" priority="493" stopIfTrue="1" operator="equal">
      <formula>'1855'!$L$24</formula>
    </cfRule>
    <cfRule type="cellIs" dxfId="1958" priority="494" stopIfTrue="1" operator="lessThan">
      <formula>'1855'!$L$24</formula>
    </cfRule>
  </conditionalFormatting>
  <conditionalFormatting sqref="N25">
    <cfRule type="cellIs" dxfId="1957" priority="495" stopIfTrue="1" operator="equal">
      <formula>'1855'!$L$25</formula>
    </cfRule>
    <cfRule type="cellIs" dxfId="1956" priority="496" stopIfTrue="1" operator="lessThan">
      <formula>'1855'!$L$25</formula>
    </cfRule>
  </conditionalFormatting>
  <conditionalFormatting sqref="N26">
    <cfRule type="cellIs" dxfId="1955" priority="497" stopIfTrue="1" operator="equal">
      <formula>'1855'!$L$26</formula>
    </cfRule>
    <cfRule type="cellIs" dxfId="1954" priority="498" stopIfTrue="1" operator="lessThan">
      <formula>'1855'!$L$26</formula>
    </cfRule>
  </conditionalFormatting>
  <conditionalFormatting sqref="N27">
    <cfRule type="cellIs" dxfId="1953" priority="499" stopIfTrue="1" operator="equal">
      <formula>'1855'!$L$27</formula>
    </cfRule>
    <cfRule type="cellIs" dxfId="1952" priority="500" stopIfTrue="1" operator="lessThan">
      <formula>'1855'!$L$27</formula>
    </cfRule>
  </conditionalFormatting>
  <conditionalFormatting sqref="N28">
    <cfRule type="cellIs" dxfId="1951" priority="501" stopIfTrue="1" operator="equal">
      <formula>'1855'!$L$28</formula>
    </cfRule>
    <cfRule type="cellIs" dxfId="1950" priority="502" stopIfTrue="1" operator="lessThan">
      <formula>'1855'!$L$28</formula>
    </cfRule>
  </conditionalFormatting>
  <conditionalFormatting sqref="O4:Q4">
    <cfRule type="cellIs" dxfId="1949" priority="503" stopIfTrue="1" operator="equal">
      <formula>'1855'!$M$4</formula>
    </cfRule>
    <cfRule type="cellIs" dxfId="1948" priority="504" stopIfTrue="1" operator="lessThan">
      <formula>'1855'!$M$4</formula>
    </cfRule>
  </conditionalFormatting>
  <conditionalFormatting sqref="O5:Q5">
    <cfRule type="cellIs" dxfId="1947" priority="505" stopIfTrue="1" operator="equal">
      <formula>'1855'!$M$5</formula>
    </cfRule>
    <cfRule type="cellIs" dxfId="1946" priority="506" stopIfTrue="1" operator="lessThan">
      <formula>'1855'!$M$5</formula>
    </cfRule>
  </conditionalFormatting>
  <conditionalFormatting sqref="O6:Q6">
    <cfRule type="cellIs" dxfId="1945" priority="507" stopIfTrue="1" operator="equal">
      <formula>'1855'!$M$6</formula>
    </cfRule>
    <cfRule type="cellIs" dxfId="1944" priority="508" stopIfTrue="1" operator="lessThan">
      <formula>'1855'!$M$6</formula>
    </cfRule>
  </conditionalFormatting>
  <conditionalFormatting sqref="O7:Q7">
    <cfRule type="cellIs" dxfId="1943" priority="509" stopIfTrue="1" operator="equal">
      <formula>'1855'!$M$7</formula>
    </cfRule>
    <cfRule type="cellIs" dxfId="1942" priority="510" stopIfTrue="1" operator="lessThan">
      <formula>'1855'!$M$7</formula>
    </cfRule>
  </conditionalFormatting>
  <conditionalFormatting sqref="O8:Q8">
    <cfRule type="cellIs" dxfId="1941" priority="511" stopIfTrue="1" operator="equal">
      <formula>'1855'!$M$8</formula>
    </cfRule>
    <cfRule type="cellIs" dxfId="1940" priority="512" stopIfTrue="1" operator="lessThan">
      <formula>'1855'!$M$8</formula>
    </cfRule>
  </conditionalFormatting>
  <conditionalFormatting sqref="O9:Q9">
    <cfRule type="cellIs" dxfId="1939" priority="513" stopIfTrue="1" operator="equal">
      <formula>'1855'!$M$9</formula>
    </cfRule>
    <cfRule type="cellIs" dxfId="1938" priority="514" stopIfTrue="1" operator="lessThan">
      <formula>'1855'!$M$9</formula>
    </cfRule>
  </conditionalFormatting>
  <conditionalFormatting sqref="O10:Q10">
    <cfRule type="cellIs" dxfId="1937" priority="515" stopIfTrue="1" operator="equal">
      <formula>'1855'!$M$10</formula>
    </cfRule>
    <cfRule type="cellIs" dxfId="1936" priority="516" stopIfTrue="1" operator="lessThan">
      <formula>'1855'!$M$10</formula>
    </cfRule>
  </conditionalFormatting>
  <conditionalFormatting sqref="O11:Q11">
    <cfRule type="cellIs" dxfId="1935" priority="517" stopIfTrue="1" operator="equal">
      <formula>'1855'!$M$11</formula>
    </cfRule>
    <cfRule type="cellIs" dxfId="1934" priority="518" stopIfTrue="1" operator="lessThan">
      <formula>'1855'!$M$11</formula>
    </cfRule>
  </conditionalFormatting>
  <conditionalFormatting sqref="O12:Q12">
    <cfRule type="cellIs" dxfId="1933" priority="519" stopIfTrue="1" operator="equal">
      <formula>'1855'!$M$12</formula>
    </cfRule>
    <cfRule type="cellIs" dxfId="1932" priority="520" stopIfTrue="1" operator="lessThan">
      <formula>'1855'!$M$12</formula>
    </cfRule>
  </conditionalFormatting>
  <conditionalFormatting sqref="O13:Q13">
    <cfRule type="cellIs" dxfId="1931" priority="521" stopIfTrue="1" operator="equal">
      <formula>'1855'!$M$13</formula>
    </cfRule>
    <cfRule type="cellIs" dxfId="1930" priority="522" stopIfTrue="1" operator="lessThan">
      <formula>'1855'!$M$13</formula>
    </cfRule>
  </conditionalFormatting>
  <conditionalFormatting sqref="O14:Q14">
    <cfRule type="cellIs" dxfId="1929" priority="523" stopIfTrue="1" operator="equal">
      <formula>'1855'!$M$14</formula>
    </cfRule>
    <cfRule type="cellIs" dxfId="1928" priority="524" stopIfTrue="1" operator="lessThan">
      <formula>'1855'!$M$14</formula>
    </cfRule>
  </conditionalFormatting>
  <conditionalFormatting sqref="O15:Q15">
    <cfRule type="cellIs" dxfId="1927" priority="525" stopIfTrue="1" operator="equal">
      <formula>'1855'!$M$15</formula>
    </cfRule>
    <cfRule type="cellIs" dxfId="1926" priority="526" stopIfTrue="1" operator="lessThan">
      <formula>'1855'!$M$15</formula>
    </cfRule>
  </conditionalFormatting>
  <conditionalFormatting sqref="O16:Q16">
    <cfRule type="cellIs" dxfId="1925" priority="527" stopIfTrue="1" operator="equal">
      <formula>'1855'!$M$16</formula>
    </cfRule>
    <cfRule type="cellIs" dxfId="1924" priority="528" stopIfTrue="1" operator="lessThan">
      <formula>'1855'!$M$16</formula>
    </cfRule>
  </conditionalFormatting>
  <conditionalFormatting sqref="O17:Q17">
    <cfRule type="cellIs" dxfId="1923" priority="529" stopIfTrue="1" operator="equal">
      <formula>'1855'!$M$17</formula>
    </cfRule>
    <cfRule type="cellIs" dxfId="1922" priority="530" stopIfTrue="1" operator="lessThan">
      <formula>'1855'!$M$17</formula>
    </cfRule>
  </conditionalFormatting>
  <conditionalFormatting sqref="O18:Q18">
    <cfRule type="cellIs" dxfId="1921" priority="531" stopIfTrue="1" operator="equal">
      <formula>'1855'!$M$18</formula>
    </cfRule>
    <cfRule type="cellIs" dxfId="1920" priority="532" stopIfTrue="1" operator="lessThan">
      <formula>'1855'!$M$18</formula>
    </cfRule>
  </conditionalFormatting>
  <conditionalFormatting sqref="O19:Q19">
    <cfRule type="cellIs" dxfId="1919" priority="533" stopIfTrue="1" operator="equal">
      <formula>'1855'!$M$19</formula>
    </cfRule>
    <cfRule type="cellIs" dxfId="1918" priority="534" stopIfTrue="1" operator="lessThan">
      <formula>'1855'!$M$19</formula>
    </cfRule>
  </conditionalFormatting>
  <conditionalFormatting sqref="O20:Q20">
    <cfRule type="cellIs" dxfId="1917" priority="535" stopIfTrue="1" operator="equal">
      <formula>'1855'!$M$20</formula>
    </cfRule>
    <cfRule type="cellIs" dxfId="1916" priority="536" stopIfTrue="1" operator="lessThan">
      <formula>'1855'!$M$20</formula>
    </cfRule>
  </conditionalFormatting>
  <conditionalFormatting sqref="O21:Q21">
    <cfRule type="cellIs" dxfId="1915" priority="537" stopIfTrue="1" operator="equal">
      <formula>'1855'!$M$21</formula>
    </cfRule>
    <cfRule type="cellIs" dxfId="1914" priority="538" stopIfTrue="1" operator="lessThan">
      <formula>'1855'!$M$21</formula>
    </cfRule>
  </conditionalFormatting>
  <conditionalFormatting sqref="O22:Q22">
    <cfRule type="cellIs" dxfId="1913" priority="539" stopIfTrue="1" operator="equal">
      <formula>'1855'!$M$22</formula>
    </cfRule>
    <cfRule type="cellIs" dxfId="1912" priority="540" stopIfTrue="1" operator="lessThan">
      <formula>'1855'!$M$22</formula>
    </cfRule>
  </conditionalFormatting>
  <conditionalFormatting sqref="O23:Q23">
    <cfRule type="cellIs" dxfId="1911" priority="541" stopIfTrue="1" operator="equal">
      <formula>'1855'!$M$23</formula>
    </cfRule>
    <cfRule type="cellIs" dxfId="1910" priority="542" stopIfTrue="1" operator="lessThan">
      <formula>'1855'!$M$23</formula>
    </cfRule>
  </conditionalFormatting>
  <conditionalFormatting sqref="O24:Q24">
    <cfRule type="cellIs" dxfId="1909" priority="543" stopIfTrue="1" operator="equal">
      <formula>'1855'!$M$24</formula>
    </cfRule>
    <cfRule type="cellIs" dxfId="1908" priority="544" stopIfTrue="1" operator="lessThan">
      <formula>'1855'!$M$24</formula>
    </cfRule>
  </conditionalFormatting>
  <conditionalFormatting sqref="O25:Q25">
    <cfRule type="cellIs" dxfId="1907" priority="545" stopIfTrue="1" operator="equal">
      <formula>'1855'!$M$25</formula>
    </cfRule>
    <cfRule type="cellIs" dxfId="1906" priority="546" stopIfTrue="1" operator="lessThan">
      <formula>'1855'!$M$25</formula>
    </cfRule>
  </conditionalFormatting>
  <conditionalFormatting sqref="O26:Q26">
    <cfRule type="cellIs" dxfId="1905" priority="547" stopIfTrue="1" operator="equal">
      <formula>'1855'!$M$26</formula>
    </cfRule>
    <cfRule type="cellIs" dxfId="1904" priority="548" stopIfTrue="1" operator="lessThan">
      <formula>'1855'!$M$26</formula>
    </cfRule>
  </conditionalFormatting>
  <conditionalFormatting sqref="O27:Q27">
    <cfRule type="cellIs" dxfId="1903" priority="549" stopIfTrue="1" operator="equal">
      <formula>'1855'!$M$27</formula>
    </cfRule>
    <cfRule type="cellIs" dxfId="1902" priority="550" stopIfTrue="1" operator="lessThan">
      <formula>'1855'!$M$27</formula>
    </cfRule>
  </conditionalFormatting>
  <conditionalFormatting sqref="O28:Q28">
    <cfRule type="cellIs" dxfId="1901" priority="551" stopIfTrue="1" operator="equal">
      <formula>'1855'!$M$28</formula>
    </cfRule>
    <cfRule type="cellIs" dxfId="1900" priority="552" stopIfTrue="1" operator="lessThan">
      <formula>'1855'!$M$28</formula>
    </cfRule>
  </conditionalFormatting>
  <conditionalFormatting sqref="R4">
    <cfRule type="cellIs" dxfId="1899" priority="553" stopIfTrue="1" operator="equal">
      <formula>'1855'!$N$4</formula>
    </cfRule>
    <cfRule type="cellIs" dxfId="1898" priority="554" stopIfTrue="1" operator="lessThan">
      <formula>'1855'!$N$4</formula>
    </cfRule>
  </conditionalFormatting>
  <conditionalFormatting sqref="R5">
    <cfRule type="cellIs" dxfId="1897" priority="555" stopIfTrue="1" operator="equal">
      <formula>'1855'!$N$5</formula>
    </cfRule>
    <cfRule type="cellIs" dxfId="1896" priority="556" stopIfTrue="1" operator="lessThan">
      <formula>'1855'!$N$5</formula>
    </cfRule>
  </conditionalFormatting>
  <conditionalFormatting sqref="R6">
    <cfRule type="cellIs" dxfId="1895" priority="557" stopIfTrue="1" operator="equal">
      <formula>'1855'!$N$6</formula>
    </cfRule>
    <cfRule type="cellIs" dxfId="1894" priority="558" stopIfTrue="1" operator="lessThan">
      <formula>'1855'!$N$6</formula>
    </cfRule>
  </conditionalFormatting>
  <conditionalFormatting sqref="R7">
    <cfRule type="cellIs" dxfId="1893" priority="559" stopIfTrue="1" operator="equal">
      <formula>'1855'!$N$7</formula>
    </cfRule>
    <cfRule type="cellIs" dxfId="1892" priority="560" stopIfTrue="1" operator="lessThan">
      <formula>'1855'!$N$7</formula>
    </cfRule>
  </conditionalFormatting>
  <conditionalFormatting sqref="R8">
    <cfRule type="cellIs" dxfId="1891" priority="561" stopIfTrue="1" operator="equal">
      <formula>'1855'!$N$8</formula>
    </cfRule>
    <cfRule type="cellIs" dxfId="1890" priority="562" stopIfTrue="1" operator="lessThan">
      <formula>'1855'!$N$8</formula>
    </cfRule>
  </conditionalFormatting>
  <conditionalFormatting sqref="R9">
    <cfRule type="cellIs" dxfId="1889" priority="563" stopIfTrue="1" operator="equal">
      <formula>'1855'!$N$9</formula>
    </cfRule>
    <cfRule type="cellIs" dxfId="1888" priority="564" stopIfTrue="1" operator="lessThan">
      <formula>'1855'!$N$9</formula>
    </cfRule>
  </conditionalFormatting>
  <conditionalFormatting sqref="R10">
    <cfRule type="cellIs" dxfId="1887" priority="565" stopIfTrue="1" operator="equal">
      <formula>'1855'!$N$10</formula>
    </cfRule>
    <cfRule type="cellIs" dxfId="1886" priority="566" stopIfTrue="1" operator="lessThan">
      <formula>'1855'!$N$10</formula>
    </cfRule>
  </conditionalFormatting>
  <conditionalFormatting sqref="R11">
    <cfRule type="cellIs" dxfId="1885" priority="567" stopIfTrue="1" operator="equal">
      <formula>'1855'!$N$11</formula>
    </cfRule>
    <cfRule type="cellIs" dxfId="1884" priority="568" stopIfTrue="1" operator="lessThan">
      <formula>'1855'!$N$11</formula>
    </cfRule>
  </conditionalFormatting>
  <conditionalFormatting sqref="R12">
    <cfRule type="cellIs" dxfId="1883" priority="569" stopIfTrue="1" operator="equal">
      <formula>'1855'!$N$12</formula>
    </cfRule>
    <cfRule type="cellIs" dxfId="1882" priority="570" stopIfTrue="1" operator="lessThan">
      <formula>'1855'!$N$12</formula>
    </cfRule>
  </conditionalFormatting>
  <conditionalFormatting sqref="R13">
    <cfRule type="cellIs" dxfId="1881" priority="571" stopIfTrue="1" operator="equal">
      <formula>'1855'!$N$13</formula>
    </cfRule>
    <cfRule type="cellIs" dxfId="1880" priority="572" stopIfTrue="1" operator="lessThan">
      <formula>'1855'!$N$13</formula>
    </cfRule>
  </conditionalFormatting>
  <conditionalFormatting sqref="R14">
    <cfRule type="cellIs" dxfId="1879" priority="573" stopIfTrue="1" operator="equal">
      <formula>'1855'!$N$14</formula>
    </cfRule>
    <cfRule type="cellIs" dxfId="1878" priority="574" stopIfTrue="1" operator="lessThan">
      <formula>'1855'!$N$14</formula>
    </cfRule>
  </conditionalFormatting>
  <conditionalFormatting sqref="R15">
    <cfRule type="cellIs" dxfId="1877" priority="575" stopIfTrue="1" operator="equal">
      <formula>'1855'!$N$15</formula>
    </cfRule>
    <cfRule type="cellIs" dxfId="1876" priority="576" stopIfTrue="1" operator="lessThan">
      <formula>'1855'!$N$15</formula>
    </cfRule>
  </conditionalFormatting>
  <conditionalFormatting sqref="R16">
    <cfRule type="cellIs" dxfId="1875" priority="577" stopIfTrue="1" operator="equal">
      <formula>'1855'!$N$16</formula>
    </cfRule>
    <cfRule type="cellIs" dxfId="1874" priority="578" stopIfTrue="1" operator="lessThan">
      <formula>'1855'!$N$16</formula>
    </cfRule>
  </conditionalFormatting>
  <conditionalFormatting sqref="R17">
    <cfRule type="cellIs" dxfId="1873" priority="579" stopIfTrue="1" operator="equal">
      <formula>'1855'!$N$17</formula>
    </cfRule>
    <cfRule type="cellIs" dxfId="1872" priority="580" stopIfTrue="1" operator="lessThan">
      <formula>'1855'!$N$17</formula>
    </cfRule>
  </conditionalFormatting>
  <conditionalFormatting sqref="R18">
    <cfRule type="cellIs" dxfId="1871" priority="581" stopIfTrue="1" operator="equal">
      <formula>'1855'!$N$18</formula>
    </cfRule>
    <cfRule type="cellIs" dxfId="1870" priority="582" stopIfTrue="1" operator="lessThan">
      <formula>'1855'!$N$18</formula>
    </cfRule>
  </conditionalFormatting>
  <conditionalFormatting sqref="R19">
    <cfRule type="cellIs" dxfId="1869" priority="583" stopIfTrue="1" operator="equal">
      <formula>'1855'!$N$19</formula>
    </cfRule>
    <cfRule type="cellIs" dxfId="1868" priority="584" stopIfTrue="1" operator="lessThan">
      <formula>'1855'!$N$19</formula>
    </cfRule>
  </conditionalFormatting>
  <conditionalFormatting sqref="R20">
    <cfRule type="cellIs" dxfId="1867" priority="585" stopIfTrue="1" operator="equal">
      <formula>'1855'!$N$20</formula>
    </cfRule>
    <cfRule type="cellIs" dxfId="1866" priority="586" stopIfTrue="1" operator="lessThan">
      <formula>'1855'!$N$20</formula>
    </cfRule>
  </conditionalFormatting>
  <conditionalFormatting sqref="R21">
    <cfRule type="cellIs" dxfId="1865" priority="587" stopIfTrue="1" operator="equal">
      <formula>'1855'!$N$21</formula>
    </cfRule>
    <cfRule type="cellIs" dxfId="1864" priority="588" stopIfTrue="1" operator="lessThan">
      <formula>'1855'!$N$21</formula>
    </cfRule>
  </conditionalFormatting>
  <conditionalFormatting sqref="R22">
    <cfRule type="cellIs" dxfId="1863" priority="589" stopIfTrue="1" operator="equal">
      <formula>'1855'!$N$22</formula>
    </cfRule>
    <cfRule type="cellIs" dxfId="1862" priority="590" stopIfTrue="1" operator="lessThan">
      <formula>'1855'!$N$22</formula>
    </cfRule>
  </conditionalFormatting>
  <conditionalFormatting sqref="R23">
    <cfRule type="cellIs" dxfId="1861" priority="591" stopIfTrue="1" operator="equal">
      <formula>'1855'!$N$23</formula>
    </cfRule>
    <cfRule type="cellIs" dxfId="1860" priority="592" stopIfTrue="1" operator="lessThan">
      <formula>'1855'!$N$23</formula>
    </cfRule>
  </conditionalFormatting>
  <conditionalFormatting sqref="R24">
    <cfRule type="cellIs" dxfId="1859" priority="593" stopIfTrue="1" operator="equal">
      <formula>'1855'!$N$24</formula>
    </cfRule>
    <cfRule type="cellIs" dxfId="1858" priority="594" stopIfTrue="1" operator="lessThan">
      <formula>'1855'!$N$24</formula>
    </cfRule>
  </conditionalFormatting>
  <conditionalFormatting sqref="R25">
    <cfRule type="cellIs" dxfId="1857" priority="595" stopIfTrue="1" operator="equal">
      <formula>'1855'!$N$25</formula>
    </cfRule>
    <cfRule type="cellIs" dxfId="1856" priority="596" stopIfTrue="1" operator="lessThan">
      <formula>'1855'!$N$25</formula>
    </cfRule>
  </conditionalFormatting>
  <conditionalFormatting sqref="R26">
    <cfRule type="cellIs" dxfId="1855" priority="597" stopIfTrue="1" operator="equal">
      <formula>'1855'!$N$26</formula>
    </cfRule>
    <cfRule type="cellIs" dxfId="1854" priority="598" stopIfTrue="1" operator="lessThan">
      <formula>'1855'!$N$26</formula>
    </cfRule>
  </conditionalFormatting>
  <conditionalFormatting sqref="R27">
    <cfRule type="cellIs" dxfId="1853" priority="599" stopIfTrue="1" operator="equal">
      <formula>'1855'!$N$27</formula>
    </cfRule>
    <cfRule type="cellIs" dxfId="1852" priority="600" stopIfTrue="1" operator="lessThan">
      <formula>'1855'!$N$27</formula>
    </cfRule>
  </conditionalFormatting>
  <conditionalFormatting sqref="R28">
    <cfRule type="cellIs" dxfId="1851" priority="601" stopIfTrue="1" operator="equal">
      <formula>'1855'!$N$28</formula>
    </cfRule>
    <cfRule type="cellIs" dxfId="1850" priority="602" stopIfTrue="1" operator="lessThan">
      <formula>'1855'!$N$28</formula>
    </cfRule>
  </conditionalFormatting>
  <pageMargins left="0.7" right="0.7" top="0.78749999999999998" bottom="0.78749999999999998" header="0.51180555555555551" footer="0.51180555555555551"/>
  <pageSetup paperSize="9" scale="99" firstPageNumber="0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H33"/>
  <sheetViews>
    <sheetView topLeftCell="O1" workbookViewId="0">
      <selection activeCell="T31" sqref="T31"/>
    </sheetView>
  </sheetViews>
  <sheetFormatPr defaultRowHeight="15"/>
  <cols>
    <col min="1" max="1" width="8.5703125" style="177" customWidth="1"/>
    <col min="2" max="2" width="26.140625" customWidth="1"/>
    <col min="3" max="17" width="10.140625" customWidth="1"/>
    <col min="18" max="18" width="9.85546875" bestFit="1" customWidth="1"/>
    <col min="19" max="19" width="11.140625" bestFit="1" customWidth="1"/>
    <col min="20" max="20" width="9.28515625" bestFit="1" customWidth="1"/>
  </cols>
  <sheetData>
    <row r="1" spans="1:34" ht="15.75" thickBot="1"/>
    <row r="2" spans="1:34" s="1" customFormat="1" ht="21" customHeight="1" thickBot="1">
      <c r="A2" s="172">
        <v>1856</v>
      </c>
      <c r="B2" s="2"/>
      <c r="C2" s="3">
        <f>'1850'!C2</f>
        <v>43466</v>
      </c>
      <c r="D2" s="3">
        <f>'1850'!D2</f>
        <v>43497</v>
      </c>
      <c r="E2" s="3">
        <f>'1850'!E2</f>
        <v>43526</v>
      </c>
      <c r="F2" s="3">
        <f>'1850'!F2</f>
        <v>43556</v>
      </c>
      <c r="G2" s="3">
        <f>'1850'!G2</f>
        <v>43588</v>
      </c>
      <c r="H2" s="3">
        <f>'1850'!H2</f>
        <v>43620</v>
      </c>
      <c r="I2" s="3">
        <f>'1850'!I2</f>
        <v>43647</v>
      </c>
      <c r="J2" s="3">
        <f>'1850'!J2</f>
        <v>43678</v>
      </c>
      <c r="K2" s="3">
        <f>'1850'!K2</f>
        <v>43679</v>
      </c>
      <c r="L2" s="3">
        <f>'1850'!L2</f>
        <v>43739</v>
      </c>
      <c r="M2" s="221">
        <f>'1850'!M2</f>
        <v>43742</v>
      </c>
      <c r="N2" s="4">
        <f>'1850'!N2</f>
        <v>43770</v>
      </c>
      <c r="O2" s="4">
        <f>'1850'!O2</f>
        <v>43798</v>
      </c>
      <c r="P2" s="246">
        <f>'1850'!P2</f>
        <v>43804</v>
      </c>
      <c r="Q2" s="246">
        <f>'1850'!Q2</f>
        <v>43804</v>
      </c>
      <c r="R2" s="3">
        <f>'1850'!R2</f>
        <v>43831</v>
      </c>
      <c r="S2" s="1" t="s">
        <v>61</v>
      </c>
      <c r="T2" s="1" t="s">
        <v>62</v>
      </c>
      <c r="U2" s="1" t="s">
        <v>63</v>
      </c>
      <c r="W2" s="234"/>
      <c r="X2" s="235"/>
      <c r="Y2" s="235"/>
      <c r="Z2" s="235"/>
      <c r="AA2" s="235" t="s">
        <v>320</v>
      </c>
      <c r="AB2" s="235"/>
      <c r="AC2" s="235"/>
      <c r="AD2" s="235"/>
      <c r="AE2" s="238"/>
      <c r="AF2" s="236"/>
      <c r="AG2" s="236" t="s">
        <v>319</v>
      </c>
      <c r="AH2" s="237"/>
    </row>
    <row r="3" spans="1:34" s="1" customFormat="1" ht="15.75" thickBot="1">
      <c r="A3" s="173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222" t="s">
        <v>228</v>
      </c>
      <c r="N3" s="5" t="s">
        <v>13</v>
      </c>
      <c r="O3" s="5" t="s">
        <v>14</v>
      </c>
      <c r="P3" s="249" t="s">
        <v>326</v>
      </c>
      <c r="Q3" s="249" t="s">
        <v>228</v>
      </c>
      <c r="R3" s="5" t="s">
        <v>3</v>
      </c>
      <c r="S3" s="1" t="s">
        <v>178</v>
      </c>
      <c r="T3" s="1" t="s">
        <v>177</v>
      </c>
      <c r="U3" s="1" t="s">
        <v>179</v>
      </c>
      <c r="V3" s="1" t="s">
        <v>321</v>
      </c>
      <c r="W3" s="5" t="s">
        <v>4</v>
      </c>
      <c r="X3" s="5" t="s">
        <v>5</v>
      </c>
      <c r="Y3" s="5" t="s">
        <v>6</v>
      </c>
      <c r="Z3" s="5" t="s">
        <v>7</v>
      </c>
      <c r="AA3" s="5" t="s">
        <v>8</v>
      </c>
      <c r="AB3" s="5" t="s">
        <v>9</v>
      </c>
      <c r="AC3" s="5" t="s">
        <v>10</v>
      </c>
      <c r="AD3" s="5" t="s">
        <v>11</v>
      </c>
      <c r="AE3" s="5" t="s">
        <v>12</v>
      </c>
      <c r="AF3" s="227" t="s">
        <v>13</v>
      </c>
      <c r="AG3" s="227" t="s">
        <v>14</v>
      </c>
      <c r="AH3" s="227" t="s">
        <v>3</v>
      </c>
    </row>
    <row r="4" spans="1:34" ht="15.75" thickBot="1">
      <c r="A4" s="276">
        <v>1</v>
      </c>
      <c r="B4" s="223" t="s">
        <v>305</v>
      </c>
      <c r="C4" s="93">
        <v>171.59700000000001</v>
      </c>
      <c r="D4" s="7">
        <v>186.05600000000001</v>
      </c>
      <c r="E4" s="7">
        <v>199.18899999999999</v>
      </c>
      <c r="F4" s="7">
        <v>214.34399999999999</v>
      </c>
      <c r="G4" s="7">
        <v>230.9</v>
      </c>
      <c r="H4" s="7">
        <v>243.28700000000001</v>
      </c>
      <c r="I4" s="7">
        <v>250.78800000000001</v>
      </c>
      <c r="J4" s="7">
        <v>261.79500000000002</v>
      </c>
      <c r="K4" s="7">
        <v>276.851</v>
      </c>
      <c r="L4" s="8">
        <v>291.94099999999997</v>
      </c>
      <c r="M4" s="7">
        <v>0.01</v>
      </c>
      <c r="N4" s="7">
        <v>10.864000000000001</v>
      </c>
      <c r="O4" s="7">
        <v>21.553999999999998</v>
      </c>
      <c r="P4" s="7">
        <v>23.995000000000001</v>
      </c>
      <c r="Q4" s="7">
        <v>23.995000000000001</v>
      </c>
      <c r="R4" s="7">
        <v>36.043999999999997</v>
      </c>
      <c r="S4" s="9">
        <f>R4-M4+L4-C4</f>
        <v>156.37799999999996</v>
      </c>
      <c r="T4" s="9"/>
      <c r="V4" s="1">
        <v>1</v>
      </c>
      <c r="W4" s="228">
        <f>D4-C4</f>
        <v>14.459000000000003</v>
      </c>
      <c r="X4" s="228">
        <f t="shared" ref="X4:AE4" si="0">E4-D4</f>
        <v>13.132999999999981</v>
      </c>
      <c r="Y4" s="228">
        <f t="shared" si="0"/>
        <v>15.155000000000001</v>
      </c>
      <c r="Z4" s="228">
        <f t="shared" si="0"/>
        <v>16.556000000000012</v>
      </c>
      <c r="AA4" s="228">
        <f t="shared" si="0"/>
        <v>12.387</v>
      </c>
      <c r="AB4" s="228">
        <f t="shared" si="0"/>
        <v>7.5010000000000048</v>
      </c>
      <c r="AC4" s="228">
        <f t="shared" si="0"/>
        <v>11.007000000000005</v>
      </c>
      <c r="AD4" s="228">
        <f t="shared" si="0"/>
        <v>15.055999999999983</v>
      </c>
      <c r="AE4" s="228">
        <f t="shared" si="0"/>
        <v>15.089999999999975</v>
      </c>
      <c r="AF4" s="228">
        <f>N4-M4</f>
        <v>10.854000000000001</v>
      </c>
      <c r="AG4" s="228">
        <f t="shared" ref="AG4" si="1">O4-N4</f>
        <v>10.689999999999998</v>
      </c>
      <c r="AH4" s="228">
        <f>R4-Q4</f>
        <v>12.048999999999996</v>
      </c>
    </row>
    <row r="5" spans="1:34">
      <c r="A5" s="276"/>
      <c r="B5" s="10" t="s">
        <v>102</v>
      </c>
      <c r="C5" s="94">
        <v>38.137</v>
      </c>
      <c r="D5" s="11">
        <v>44.756</v>
      </c>
      <c r="E5" s="11">
        <v>49.286999999999999</v>
      </c>
      <c r="F5" s="11">
        <v>52.529000000000003</v>
      </c>
      <c r="G5" s="11">
        <v>54.228999999999999</v>
      </c>
      <c r="H5" s="11">
        <v>55.823999999999998</v>
      </c>
      <c r="I5" s="11">
        <v>56.216999999999999</v>
      </c>
      <c r="J5" s="11">
        <v>56.752000000000002</v>
      </c>
      <c r="K5" s="11">
        <v>57.432000000000002</v>
      </c>
      <c r="L5" s="12">
        <v>58.238999999999997</v>
      </c>
      <c r="M5" s="12"/>
      <c r="N5" s="11">
        <v>60.53</v>
      </c>
      <c r="O5" s="11">
        <v>64.218000000000004</v>
      </c>
      <c r="P5" s="11"/>
      <c r="Q5" s="11"/>
      <c r="R5" s="11">
        <v>70.006</v>
      </c>
      <c r="T5" s="9">
        <f>R5-C5</f>
        <v>31.869</v>
      </c>
      <c r="V5" s="1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</row>
    <row r="6" spans="1:34">
      <c r="A6" s="275">
        <v>2</v>
      </c>
      <c r="B6" s="248" t="s">
        <v>332</v>
      </c>
      <c r="C6" s="94">
        <v>263.29300000000001</v>
      </c>
      <c r="D6" s="11">
        <v>268.18200000000002</v>
      </c>
      <c r="E6" s="11">
        <v>272.44400000000002</v>
      </c>
      <c r="F6" s="11">
        <v>277.53500000000003</v>
      </c>
      <c r="G6" s="11">
        <v>281.92200000000003</v>
      </c>
      <c r="H6" s="11">
        <v>286.75099999999998</v>
      </c>
      <c r="I6" s="11">
        <v>292.21899999999999</v>
      </c>
      <c r="J6" s="11">
        <v>298.11200000000002</v>
      </c>
      <c r="K6" s="11">
        <v>304.75599999999997</v>
      </c>
      <c r="L6" s="11">
        <v>310.48700000000002</v>
      </c>
      <c r="M6" s="11">
        <v>0.01</v>
      </c>
      <c r="N6" s="11">
        <v>1.57</v>
      </c>
      <c r="O6" s="11">
        <v>3.1619999999999999</v>
      </c>
      <c r="P6" s="247">
        <v>3.4449999999999998</v>
      </c>
      <c r="Q6" s="247">
        <v>4.2999999999999997E-2</v>
      </c>
      <c r="R6" s="11">
        <v>5.5750000000000002</v>
      </c>
      <c r="S6" s="9">
        <f>R6-Q6+P6-M6+L6-C6</f>
        <v>56.161000000000001</v>
      </c>
      <c r="T6" s="9"/>
      <c r="V6" s="1">
        <v>2</v>
      </c>
      <c r="W6" s="230">
        <f t="shared" ref="W6:AE6" si="2">D6-C6</f>
        <v>4.88900000000001</v>
      </c>
      <c r="X6" s="230">
        <f t="shared" si="2"/>
        <v>4.2620000000000005</v>
      </c>
      <c r="Y6" s="230">
        <f t="shared" si="2"/>
        <v>5.0910000000000082</v>
      </c>
      <c r="Z6" s="230">
        <f t="shared" si="2"/>
        <v>4.3870000000000005</v>
      </c>
      <c r="AA6" s="230">
        <f t="shared" si="2"/>
        <v>4.8289999999999509</v>
      </c>
      <c r="AB6" s="230">
        <f t="shared" si="2"/>
        <v>5.4680000000000177</v>
      </c>
      <c r="AC6" s="230">
        <f t="shared" si="2"/>
        <v>5.8930000000000291</v>
      </c>
      <c r="AD6" s="230">
        <f t="shared" si="2"/>
        <v>6.6439999999999486</v>
      </c>
      <c r="AE6" s="230">
        <f t="shared" si="2"/>
        <v>5.7310000000000514</v>
      </c>
      <c r="AF6" s="231">
        <f t="shared" ref="AF6:AG6" si="3">N6-M6</f>
        <v>1.56</v>
      </c>
      <c r="AG6" s="231">
        <f t="shared" si="3"/>
        <v>1.5919999999999999</v>
      </c>
      <c r="AH6" s="230">
        <f>R6-Q6</f>
        <v>5.532</v>
      </c>
    </row>
    <row r="7" spans="1:34">
      <c r="A7" s="275"/>
      <c r="B7" s="10" t="s">
        <v>103</v>
      </c>
      <c r="C7" s="94">
        <v>12.442</v>
      </c>
      <c r="D7" s="11">
        <v>14.448</v>
      </c>
      <c r="E7" s="11">
        <v>15.859</v>
      </c>
      <c r="F7" s="11">
        <v>16.689</v>
      </c>
      <c r="G7" s="11">
        <v>17.126999999999999</v>
      </c>
      <c r="H7" s="11">
        <v>17.538</v>
      </c>
      <c r="I7" s="11">
        <v>17.881</v>
      </c>
      <c r="J7" s="11">
        <v>18.239999999999998</v>
      </c>
      <c r="K7" s="11">
        <v>18.635999999999999</v>
      </c>
      <c r="L7" s="11">
        <v>19.007999999999999</v>
      </c>
      <c r="M7" s="11"/>
      <c r="N7" s="11">
        <v>19.541</v>
      </c>
      <c r="O7" s="11">
        <v>20.984999999999999</v>
      </c>
      <c r="P7" s="11"/>
      <c r="Q7" s="11"/>
      <c r="R7" s="11">
        <v>22.991</v>
      </c>
      <c r="T7" s="9">
        <f>R7-C7</f>
        <v>10.548999999999999</v>
      </c>
      <c r="V7" s="1"/>
      <c r="W7" s="229"/>
      <c r="X7" s="229"/>
      <c r="Y7" s="229"/>
      <c r="Z7" s="229"/>
      <c r="AA7" s="229"/>
      <c r="AB7" s="229"/>
      <c r="AC7" s="229"/>
      <c r="AD7" s="229"/>
      <c r="AE7" s="229"/>
      <c r="AF7" s="233"/>
      <c r="AG7" s="233"/>
      <c r="AH7" s="229"/>
    </row>
    <row r="8" spans="1:34">
      <c r="A8" s="275">
        <v>3</v>
      </c>
      <c r="B8" s="224" t="s">
        <v>306</v>
      </c>
      <c r="C8" s="94">
        <v>334.697</v>
      </c>
      <c r="D8" s="11">
        <v>342.33199999999999</v>
      </c>
      <c r="E8" s="11">
        <v>349.40199999999999</v>
      </c>
      <c r="F8" s="11">
        <v>355.70400000000001</v>
      </c>
      <c r="G8" s="11">
        <v>362.63600000000002</v>
      </c>
      <c r="H8" s="11">
        <v>370.077</v>
      </c>
      <c r="I8" s="11">
        <v>374.25700000000001</v>
      </c>
      <c r="J8" s="11">
        <v>374.82400000000001</v>
      </c>
      <c r="K8" s="11">
        <v>374.85500000000002</v>
      </c>
      <c r="L8" s="11">
        <v>374.91800000000001</v>
      </c>
      <c r="M8" s="11">
        <v>0.01</v>
      </c>
      <c r="N8" s="11">
        <v>1.0089999999999999</v>
      </c>
      <c r="O8" s="11">
        <v>4.843</v>
      </c>
      <c r="P8" s="11">
        <v>5.7009999999999996</v>
      </c>
      <c r="Q8" s="11">
        <v>5.7009999999999996</v>
      </c>
      <c r="R8" s="11">
        <v>9.7210000000000001</v>
      </c>
      <c r="S8" s="9">
        <f t="shared" ref="S8" si="4">R8-M8+L8-C8</f>
        <v>49.932000000000016</v>
      </c>
      <c r="T8" s="9"/>
      <c r="V8" s="1">
        <v>3</v>
      </c>
      <c r="W8" s="230">
        <f t="shared" ref="W8:AE8" si="5">D8-C8</f>
        <v>7.6349999999999909</v>
      </c>
      <c r="X8" s="230">
        <f t="shared" si="5"/>
        <v>7.0699999999999932</v>
      </c>
      <c r="Y8" s="230">
        <f t="shared" si="5"/>
        <v>6.3020000000000209</v>
      </c>
      <c r="Z8" s="230">
        <f t="shared" si="5"/>
        <v>6.9320000000000164</v>
      </c>
      <c r="AA8" s="230">
        <f t="shared" si="5"/>
        <v>7.4409999999999741</v>
      </c>
      <c r="AB8" s="230">
        <f t="shared" si="5"/>
        <v>4.1800000000000068</v>
      </c>
      <c r="AC8" s="230">
        <f t="shared" si="5"/>
        <v>0.56700000000000728</v>
      </c>
      <c r="AD8" s="230">
        <f t="shared" si="5"/>
        <v>3.1000000000005912E-2</v>
      </c>
      <c r="AE8" s="230">
        <f t="shared" si="5"/>
        <v>6.2999999999988177E-2</v>
      </c>
      <c r="AF8" s="232">
        <f t="shared" ref="AF8:AG8" si="6">N8-M8</f>
        <v>0.99899999999999989</v>
      </c>
      <c r="AG8" s="232">
        <f t="shared" si="6"/>
        <v>3.8340000000000001</v>
      </c>
      <c r="AH8" s="230">
        <f t="shared" ref="AH8" si="7">R8-Q8</f>
        <v>4.0200000000000005</v>
      </c>
    </row>
    <row r="9" spans="1:34">
      <c r="A9" s="275"/>
      <c r="B9" s="10" t="s">
        <v>104</v>
      </c>
      <c r="C9" s="94">
        <v>41.606000000000002</v>
      </c>
      <c r="D9" s="11">
        <v>47.103000000000002</v>
      </c>
      <c r="E9" s="11">
        <v>51.64</v>
      </c>
      <c r="F9" s="11">
        <v>54.784999999999997</v>
      </c>
      <c r="G9" s="11">
        <v>56.835000000000001</v>
      </c>
      <c r="H9" s="11">
        <v>58.518999999999998</v>
      </c>
      <c r="I9" s="11">
        <v>58.933</v>
      </c>
      <c r="J9" s="11">
        <v>59.1</v>
      </c>
      <c r="K9" s="11">
        <v>59.234999999999999</v>
      </c>
      <c r="L9" s="11">
        <v>59.366999999999997</v>
      </c>
      <c r="M9" s="11"/>
      <c r="N9" s="11">
        <v>60.298999999999999</v>
      </c>
      <c r="O9" s="11">
        <v>63.438000000000002</v>
      </c>
      <c r="P9" s="11"/>
      <c r="Q9" s="11"/>
      <c r="R9" s="11">
        <v>67.147000000000006</v>
      </c>
      <c r="T9" s="9">
        <f>R9-C9</f>
        <v>25.541000000000004</v>
      </c>
      <c r="V9" s="1"/>
      <c r="W9" s="229"/>
      <c r="X9" s="229"/>
      <c r="Y9" s="229"/>
      <c r="Z9" s="229"/>
      <c r="AA9" s="229"/>
      <c r="AB9" s="229"/>
      <c r="AC9" s="229"/>
      <c r="AD9" s="229"/>
      <c r="AE9" s="229"/>
      <c r="AF9" s="233"/>
      <c r="AG9" s="233"/>
      <c r="AH9" s="229"/>
    </row>
    <row r="10" spans="1:34">
      <c r="A10" s="275">
        <v>4</v>
      </c>
      <c r="B10" s="224" t="s">
        <v>307</v>
      </c>
      <c r="C10" s="94">
        <v>188.352</v>
      </c>
      <c r="D10" s="11">
        <v>195.36099999999999</v>
      </c>
      <c r="E10" s="11">
        <v>201.35400000000001</v>
      </c>
      <c r="F10" s="11">
        <v>207.33500000000001</v>
      </c>
      <c r="G10" s="11">
        <v>214.48099999999999</v>
      </c>
      <c r="H10" s="11">
        <v>221.31800000000001</v>
      </c>
      <c r="I10" s="11">
        <v>227.43199999999999</v>
      </c>
      <c r="J10" s="11">
        <v>232.66900000000001</v>
      </c>
      <c r="K10" s="11">
        <v>237.20500000000001</v>
      </c>
      <c r="L10" s="11">
        <v>244.94399999999999</v>
      </c>
      <c r="M10" s="11">
        <v>0.01</v>
      </c>
      <c r="N10" s="11">
        <v>6.452</v>
      </c>
      <c r="O10" s="11">
        <v>12.615</v>
      </c>
      <c r="P10" s="11">
        <v>14.199</v>
      </c>
      <c r="Q10" s="11">
        <v>14.199</v>
      </c>
      <c r="R10" s="11">
        <v>20.273</v>
      </c>
      <c r="S10" s="9">
        <f t="shared" ref="S10" si="8">R10-M10+L10-C10</f>
        <v>76.85499999999999</v>
      </c>
      <c r="T10" s="9"/>
      <c r="V10" s="1">
        <v>4</v>
      </c>
      <c r="W10" s="230">
        <f t="shared" ref="W10:AE10" si="9">D10-C10</f>
        <v>7.0089999999999861</v>
      </c>
      <c r="X10" s="230">
        <f t="shared" si="9"/>
        <v>5.9930000000000234</v>
      </c>
      <c r="Y10" s="230">
        <f t="shared" si="9"/>
        <v>5.9809999999999945</v>
      </c>
      <c r="Z10" s="230">
        <f t="shared" si="9"/>
        <v>7.1459999999999866</v>
      </c>
      <c r="AA10" s="230">
        <f t="shared" si="9"/>
        <v>6.8370000000000175</v>
      </c>
      <c r="AB10" s="230">
        <f t="shared" si="9"/>
        <v>6.1139999999999759</v>
      </c>
      <c r="AC10" s="230">
        <f t="shared" si="9"/>
        <v>5.2370000000000232</v>
      </c>
      <c r="AD10" s="230">
        <f t="shared" si="9"/>
        <v>4.5360000000000014</v>
      </c>
      <c r="AE10" s="230">
        <f t="shared" si="9"/>
        <v>7.7389999999999759</v>
      </c>
      <c r="AF10" s="232">
        <f t="shared" ref="AF10:AG10" si="10">N10-M10</f>
        <v>6.4420000000000002</v>
      </c>
      <c r="AG10" s="232">
        <f t="shared" si="10"/>
        <v>6.1630000000000003</v>
      </c>
      <c r="AH10" s="230">
        <f t="shared" ref="AH10" si="11">R10-Q10</f>
        <v>6.0739999999999998</v>
      </c>
    </row>
    <row r="11" spans="1:34">
      <c r="A11" s="275"/>
      <c r="B11" s="10" t="s">
        <v>105</v>
      </c>
      <c r="C11" s="94">
        <v>23.812999999999999</v>
      </c>
      <c r="D11" s="11">
        <v>26.949000000000002</v>
      </c>
      <c r="E11" s="11">
        <v>28.940999999999999</v>
      </c>
      <c r="F11" s="11">
        <v>30.542999999999999</v>
      </c>
      <c r="G11" s="11">
        <v>31.709</v>
      </c>
      <c r="H11" s="11">
        <v>32.704999999999998</v>
      </c>
      <c r="I11" s="11">
        <v>33.296999999999997</v>
      </c>
      <c r="J11" s="11">
        <v>33.718000000000004</v>
      </c>
      <c r="K11" s="11">
        <v>34.101999999999997</v>
      </c>
      <c r="L11" s="11">
        <v>34.725000000000001</v>
      </c>
      <c r="M11" s="11"/>
      <c r="N11" s="11">
        <v>35.933999999999997</v>
      </c>
      <c r="O11" s="11">
        <v>37.542000000000002</v>
      </c>
      <c r="P11" s="11"/>
      <c r="Q11" s="11"/>
      <c r="R11" s="11">
        <v>39.926000000000002</v>
      </c>
      <c r="T11" s="9">
        <f>R11-C11</f>
        <v>16.113000000000003</v>
      </c>
      <c r="V11" s="1"/>
      <c r="W11" s="229"/>
      <c r="X11" s="229"/>
      <c r="Y11" s="229"/>
      <c r="Z11" s="229"/>
      <c r="AA11" s="229"/>
      <c r="AB11" s="229"/>
      <c r="AC11" s="229"/>
      <c r="AD11" s="229"/>
      <c r="AE11" s="229"/>
      <c r="AF11" s="233"/>
      <c r="AG11" s="233"/>
      <c r="AH11" s="229"/>
    </row>
    <row r="12" spans="1:34">
      <c r="A12" s="275">
        <v>5</v>
      </c>
      <c r="B12" s="224" t="s">
        <v>308</v>
      </c>
      <c r="C12" s="94">
        <v>121.384</v>
      </c>
      <c r="D12" s="11">
        <v>122.93899999999999</v>
      </c>
      <c r="E12" s="11">
        <v>124.65600000000001</v>
      </c>
      <c r="F12" s="11">
        <v>126.83799999999999</v>
      </c>
      <c r="G12" s="11">
        <v>128.52500000000001</v>
      </c>
      <c r="H12" s="11">
        <v>129.81800000000001</v>
      </c>
      <c r="I12" s="11">
        <v>131.679</v>
      </c>
      <c r="J12" s="11">
        <v>133.416</v>
      </c>
      <c r="K12" s="11">
        <v>135.066</v>
      </c>
      <c r="L12" s="11">
        <v>137.47200000000001</v>
      </c>
      <c r="M12" s="11">
        <v>0.01</v>
      </c>
      <c r="N12" s="11">
        <v>1.476</v>
      </c>
      <c r="O12" s="11">
        <v>2.1840000000000002</v>
      </c>
      <c r="P12" s="11">
        <v>2.2599999999999998</v>
      </c>
      <c r="Q12" s="11">
        <v>2.2599999999999998</v>
      </c>
      <c r="R12" s="11">
        <v>3.2210000000000001</v>
      </c>
      <c r="S12" s="9">
        <f t="shared" ref="S12" si="12">R12-M12+L12-C12</f>
        <v>19.299000000000021</v>
      </c>
      <c r="T12" s="9"/>
      <c r="V12" s="1">
        <v>5</v>
      </c>
      <c r="W12" s="230">
        <f t="shared" ref="W12:AE12" si="13">D12-C12</f>
        <v>1.5549999999999926</v>
      </c>
      <c r="X12" s="230">
        <f t="shared" si="13"/>
        <v>1.717000000000013</v>
      </c>
      <c r="Y12" s="230">
        <f t="shared" si="13"/>
        <v>2.1819999999999879</v>
      </c>
      <c r="Z12" s="230">
        <f t="shared" si="13"/>
        <v>1.6870000000000118</v>
      </c>
      <c r="AA12" s="230">
        <f t="shared" si="13"/>
        <v>1.2930000000000064</v>
      </c>
      <c r="AB12" s="230">
        <f t="shared" si="13"/>
        <v>1.86099999999999</v>
      </c>
      <c r="AC12" s="230">
        <f t="shared" si="13"/>
        <v>1.7369999999999948</v>
      </c>
      <c r="AD12" s="230">
        <f t="shared" si="13"/>
        <v>1.6500000000000057</v>
      </c>
      <c r="AE12" s="230">
        <f t="shared" si="13"/>
        <v>2.4060000000000059</v>
      </c>
      <c r="AF12" s="232">
        <f t="shared" ref="AF12:AG12" si="14">N12-M12</f>
        <v>1.466</v>
      </c>
      <c r="AG12" s="232">
        <f t="shared" si="14"/>
        <v>0.70800000000000018</v>
      </c>
      <c r="AH12" s="230">
        <f t="shared" ref="AH12" si="15">R12-Q12</f>
        <v>0.9610000000000003</v>
      </c>
    </row>
    <row r="13" spans="1:34">
      <c r="A13" s="275"/>
      <c r="B13" s="10" t="s">
        <v>106</v>
      </c>
      <c r="C13" s="94">
        <v>7.1420000000000003</v>
      </c>
      <c r="D13" s="11">
        <v>8.0510000000000002</v>
      </c>
      <c r="E13" s="11">
        <v>8.6240000000000006</v>
      </c>
      <c r="F13" s="11">
        <v>9.1679999999999993</v>
      </c>
      <c r="G13" s="11">
        <v>9.3030000000000008</v>
      </c>
      <c r="H13" s="11">
        <v>9.4179999999999993</v>
      </c>
      <c r="I13" s="11">
        <v>9.4779999999999998</v>
      </c>
      <c r="J13" s="11">
        <v>9.5229999999999997</v>
      </c>
      <c r="K13" s="11">
        <v>9.5649999999999995</v>
      </c>
      <c r="L13" s="11">
        <v>9.6479999999999997</v>
      </c>
      <c r="M13" s="11"/>
      <c r="N13" s="11">
        <v>9.7560000000000002</v>
      </c>
      <c r="O13" s="11">
        <v>9.923</v>
      </c>
      <c r="P13" s="11"/>
      <c r="Q13" s="11"/>
      <c r="R13" s="11">
        <v>10.252000000000001</v>
      </c>
      <c r="T13" s="9">
        <f>R13-C13</f>
        <v>3.1100000000000003</v>
      </c>
      <c r="V13" s="1"/>
      <c r="W13" s="229"/>
      <c r="X13" s="229"/>
      <c r="Y13" s="229"/>
      <c r="Z13" s="229"/>
      <c r="AA13" s="229"/>
      <c r="AB13" s="229"/>
      <c r="AC13" s="229"/>
      <c r="AD13" s="229"/>
      <c r="AE13" s="229"/>
      <c r="AF13" s="233"/>
      <c r="AG13" s="233"/>
      <c r="AH13" s="229"/>
    </row>
    <row r="14" spans="1:34">
      <c r="A14" s="275">
        <v>6</v>
      </c>
      <c r="B14" s="224" t="s">
        <v>309</v>
      </c>
      <c r="C14" s="94">
        <v>48.514000000000003</v>
      </c>
      <c r="D14" s="11">
        <v>54.98</v>
      </c>
      <c r="E14" s="11">
        <v>60.529000000000003</v>
      </c>
      <c r="F14" s="11">
        <v>66.382999999999996</v>
      </c>
      <c r="G14" s="11">
        <v>72.638000000000005</v>
      </c>
      <c r="H14" s="11">
        <v>78.894999999999996</v>
      </c>
      <c r="I14" s="11">
        <v>84.096999999999994</v>
      </c>
      <c r="J14" s="11">
        <v>90.064999999999998</v>
      </c>
      <c r="K14" s="11">
        <v>95.888999999999996</v>
      </c>
      <c r="L14" s="11">
        <v>101.81</v>
      </c>
      <c r="M14" s="11">
        <v>0.01</v>
      </c>
      <c r="N14" s="11">
        <v>5.8970000000000002</v>
      </c>
      <c r="O14" s="11">
        <v>10.919</v>
      </c>
      <c r="P14" s="11">
        <v>11.888999999999999</v>
      </c>
      <c r="Q14" s="11">
        <v>11.888999999999999</v>
      </c>
      <c r="R14" s="11">
        <v>17.565999999999999</v>
      </c>
      <c r="S14" s="9">
        <f t="shared" ref="S14" si="16">R14-M14+L14-C14</f>
        <v>70.852000000000004</v>
      </c>
      <c r="T14" s="9"/>
      <c r="V14" s="1">
        <v>6</v>
      </c>
      <c r="W14" s="230">
        <f t="shared" ref="W14:AE14" si="17">D14-C14</f>
        <v>6.465999999999994</v>
      </c>
      <c r="X14" s="230">
        <f t="shared" si="17"/>
        <v>5.5490000000000066</v>
      </c>
      <c r="Y14" s="230">
        <f t="shared" si="17"/>
        <v>5.8539999999999921</v>
      </c>
      <c r="Z14" s="230">
        <f t="shared" si="17"/>
        <v>6.2550000000000097</v>
      </c>
      <c r="AA14" s="230">
        <f t="shared" si="17"/>
        <v>6.2569999999999908</v>
      </c>
      <c r="AB14" s="230">
        <f t="shared" si="17"/>
        <v>5.2019999999999982</v>
      </c>
      <c r="AC14" s="230">
        <f t="shared" si="17"/>
        <v>5.9680000000000035</v>
      </c>
      <c r="AD14" s="230">
        <f t="shared" si="17"/>
        <v>5.8239999999999981</v>
      </c>
      <c r="AE14" s="230">
        <f t="shared" si="17"/>
        <v>5.9210000000000065</v>
      </c>
      <c r="AF14" s="232">
        <f t="shared" ref="AF14:AG14" si="18">N14-M14</f>
        <v>5.8870000000000005</v>
      </c>
      <c r="AG14" s="232">
        <f t="shared" si="18"/>
        <v>5.0220000000000002</v>
      </c>
      <c r="AH14" s="230">
        <f t="shared" ref="AH14" si="19">R14-Q14</f>
        <v>5.6769999999999996</v>
      </c>
    </row>
    <row r="15" spans="1:34">
      <c r="A15" s="275"/>
      <c r="B15" s="10" t="s">
        <v>107</v>
      </c>
      <c r="C15" s="94">
        <v>6.8869999999999996</v>
      </c>
      <c r="D15" s="11">
        <v>9.6660000000000004</v>
      </c>
      <c r="E15" s="11">
        <v>11.938000000000001</v>
      </c>
      <c r="F15" s="11">
        <v>13.407999999999999</v>
      </c>
      <c r="G15" s="11">
        <v>14.468</v>
      </c>
      <c r="H15" s="11">
        <v>15.443</v>
      </c>
      <c r="I15" s="11">
        <v>15.741</v>
      </c>
      <c r="J15" s="11">
        <v>16.088999999999999</v>
      </c>
      <c r="K15" s="11">
        <v>16.422000000000001</v>
      </c>
      <c r="L15" s="11">
        <v>16.733000000000001</v>
      </c>
      <c r="M15" s="11"/>
      <c r="N15" s="11">
        <v>17.273</v>
      </c>
      <c r="O15" s="11">
        <v>18.620999999999999</v>
      </c>
      <c r="P15" s="11"/>
      <c r="Q15" s="11"/>
      <c r="R15" s="11">
        <v>20.887</v>
      </c>
      <c r="T15" s="9">
        <f>R15-C15</f>
        <v>14</v>
      </c>
      <c r="V15" s="1"/>
      <c r="W15" s="229"/>
      <c r="X15" s="229"/>
      <c r="Y15" s="229"/>
      <c r="Z15" s="229"/>
      <c r="AA15" s="229"/>
      <c r="AB15" s="229"/>
      <c r="AC15" s="229"/>
      <c r="AD15" s="229"/>
      <c r="AE15" s="229"/>
      <c r="AF15" s="233"/>
      <c r="AG15" s="233"/>
      <c r="AH15" s="229"/>
    </row>
    <row r="16" spans="1:34">
      <c r="A16" s="275">
        <v>7</v>
      </c>
      <c r="B16" s="248" t="s">
        <v>333</v>
      </c>
      <c r="C16" s="94">
        <v>194.54300000000001</v>
      </c>
      <c r="D16" s="11">
        <v>199.596</v>
      </c>
      <c r="E16" s="11">
        <v>204.274</v>
      </c>
      <c r="F16" s="11">
        <v>209.30500000000001</v>
      </c>
      <c r="G16" s="11">
        <v>214.08799999999999</v>
      </c>
      <c r="H16" s="11">
        <v>218.572</v>
      </c>
      <c r="I16" s="11">
        <v>222.29400000000001</v>
      </c>
      <c r="J16" s="11">
        <v>226.65899999999999</v>
      </c>
      <c r="K16" s="11">
        <v>230.92099999999999</v>
      </c>
      <c r="L16" s="11">
        <v>235.321</v>
      </c>
      <c r="M16" s="11">
        <v>0.01</v>
      </c>
      <c r="N16" s="11">
        <v>1.6639999999999999</v>
      </c>
      <c r="O16" s="11">
        <v>2.5259999999999998</v>
      </c>
      <c r="P16" s="247">
        <v>2.7810000000000001</v>
      </c>
      <c r="Q16" s="247">
        <v>5.1999999999999998E-2</v>
      </c>
      <c r="R16" s="11">
        <v>4.4189999999999996</v>
      </c>
      <c r="S16" s="9">
        <f>R16-Q16+P16-M16+L16-C16</f>
        <v>47.915999999999997</v>
      </c>
      <c r="T16" s="9"/>
      <c r="V16" s="1">
        <v>7</v>
      </c>
      <c r="W16" s="230">
        <f t="shared" ref="W16:AE16" si="20">D16-C16</f>
        <v>5.0529999999999973</v>
      </c>
      <c r="X16" s="230">
        <f t="shared" si="20"/>
        <v>4.6779999999999973</v>
      </c>
      <c r="Y16" s="230">
        <f t="shared" si="20"/>
        <v>5.0310000000000059</v>
      </c>
      <c r="Z16" s="230">
        <f t="shared" si="20"/>
        <v>4.782999999999987</v>
      </c>
      <c r="AA16" s="230">
        <f t="shared" si="20"/>
        <v>4.4840000000000089</v>
      </c>
      <c r="AB16" s="230">
        <f t="shared" si="20"/>
        <v>3.7220000000000084</v>
      </c>
      <c r="AC16" s="230">
        <f t="shared" si="20"/>
        <v>4.3649999999999807</v>
      </c>
      <c r="AD16" s="230">
        <f t="shared" si="20"/>
        <v>4.2620000000000005</v>
      </c>
      <c r="AE16" s="230">
        <f t="shared" si="20"/>
        <v>4.4000000000000057</v>
      </c>
      <c r="AF16" s="231">
        <f t="shared" ref="AF16:AG16" si="21">N16-M16</f>
        <v>1.6539999999999999</v>
      </c>
      <c r="AG16" s="231">
        <f t="shared" si="21"/>
        <v>0.86199999999999988</v>
      </c>
      <c r="AH16" s="230">
        <f t="shared" ref="AH16" si="22">R16-Q16</f>
        <v>4.367</v>
      </c>
    </row>
    <row r="17" spans="1:34">
      <c r="A17" s="275"/>
      <c r="B17" s="10" t="s">
        <v>108</v>
      </c>
      <c r="C17" s="94">
        <v>9.7560000000000002</v>
      </c>
      <c r="D17" s="11">
        <v>13.894</v>
      </c>
      <c r="E17" s="11">
        <v>15.755000000000001</v>
      </c>
      <c r="F17" s="11">
        <v>17.314</v>
      </c>
      <c r="G17" s="11">
        <v>17.876999999999999</v>
      </c>
      <c r="H17" s="11">
        <v>18.416</v>
      </c>
      <c r="I17" s="11">
        <v>18.702999999999999</v>
      </c>
      <c r="J17" s="11">
        <v>19.032</v>
      </c>
      <c r="K17" s="11">
        <v>19.338999999999999</v>
      </c>
      <c r="L17" s="11">
        <v>19.655000000000001</v>
      </c>
      <c r="M17" s="11"/>
      <c r="N17" s="11">
        <v>20.158999999999999</v>
      </c>
      <c r="O17" s="11">
        <v>21.981999999999999</v>
      </c>
      <c r="P17" s="11"/>
      <c r="Q17" s="11"/>
      <c r="R17" s="11">
        <v>25.277999999999999</v>
      </c>
      <c r="T17" s="9">
        <f>R17-C17</f>
        <v>15.521999999999998</v>
      </c>
      <c r="V17" s="1"/>
      <c r="W17" s="229"/>
      <c r="X17" s="229"/>
      <c r="Y17" s="229"/>
      <c r="Z17" s="229"/>
      <c r="AA17" s="229"/>
      <c r="AB17" s="229"/>
      <c r="AC17" s="229"/>
      <c r="AD17" s="229"/>
      <c r="AE17" s="229"/>
      <c r="AF17" s="229"/>
      <c r="AG17" s="229"/>
      <c r="AH17" s="229"/>
    </row>
    <row r="18" spans="1:34">
      <c r="A18" s="275">
        <v>8</v>
      </c>
      <c r="B18" s="224" t="s">
        <v>310</v>
      </c>
      <c r="C18" s="94">
        <v>197.58099999999999</v>
      </c>
      <c r="D18" s="11">
        <v>205.24199999999999</v>
      </c>
      <c r="E18" s="11">
        <v>212.35</v>
      </c>
      <c r="F18" s="11">
        <v>221.441</v>
      </c>
      <c r="G18" s="11">
        <v>231.49100000000001</v>
      </c>
      <c r="H18" s="11">
        <v>241.18100000000001</v>
      </c>
      <c r="I18" s="11">
        <v>250.09899999999999</v>
      </c>
      <c r="J18" s="11">
        <v>261.31299999999999</v>
      </c>
      <c r="K18" s="11">
        <v>272.97199999999998</v>
      </c>
      <c r="L18" s="11">
        <v>284.15499999999997</v>
      </c>
      <c r="M18" s="11">
        <v>0.01</v>
      </c>
      <c r="N18" s="11">
        <v>8.4309999999999992</v>
      </c>
      <c r="O18" s="11">
        <v>18.282</v>
      </c>
      <c r="P18" s="11">
        <v>20.513999999999999</v>
      </c>
      <c r="Q18" s="11">
        <v>20.513999999999999</v>
      </c>
      <c r="R18" s="11">
        <v>29.399000000000001</v>
      </c>
      <c r="S18" s="9">
        <f t="shared" ref="S18" si="23">R18-M18+L18-C18</f>
        <v>115.96299999999999</v>
      </c>
      <c r="T18" s="9"/>
      <c r="V18" s="1">
        <v>8</v>
      </c>
      <c r="W18" s="230">
        <f t="shared" ref="W18:AE18" si="24">D18-C18</f>
        <v>7.6610000000000014</v>
      </c>
      <c r="X18" s="230">
        <f t="shared" si="24"/>
        <v>7.1080000000000041</v>
      </c>
      <c r="Y18" s="230">
        <f t="shared" si="24"/>
        <v>9.0910000000000082</v>
      </c>
      <c r="Z18" s="230">
        <f t="shared" si="24"/>
        <v>10.050000000000011</v>
      </c>
      <c r="AA18" s="230">
        <f t="shared" si="24"/>
        <v>9.6899999999999977</v>
      </c>
      <c r="AB18" s="230">
        <f t="shared" si="24"/>
        <v>8.9179999999999779</v>
      </c>
      <c r="AC18" s="230">
        <f t="shared" si="24"/>
        <v>11.213999999999999</v>
      </c>
      <c r="AD18" s="230">
        <f t="shared" si="24"/>
        <v>11.658999999999992</v>
      </c>
      <c r="AE18" s="230">
        <f t="shared" si="24"/>
        <v>11.182999999999993</v>
      </c>
      <c r="AF18" s="230">
        <f t="shared" ref="AF18:AG18" si="25">N18-M18</f>
        <v>8.4209999999999994</v>
      </c>
      <c r="AG18" s="230">
        <f t="shared" si="25"/>
        <v>9.8510000000000009</v>
      </c>
      <c r="AH18" s="230">
        <f t="shared" ref="AH18" si="26">R18-Q18</f>
        <v>8.8850000000000016</v>
      </c>
    </row>
    <row r="19" spans="1:34">
      <c r="A19" s="275"/>
      <c r="B19" s="10" t="s">
        <v>109</v>
      </c>
      <c r="C19" s="94">
        <v>63.1</v>
      </c>
      <c r="D19" s="11">
        <v>69.346999999999994</v>
      </c>
      <c r="E19" s="11">
        <v>72.120999999999995</v>
      </c>
      <c r="F19" s="11">
        <v>73.796000000000006</v>
      </c>
      <c r="G19" s="11">
        <v>75.206000000000003</v>
      </c>
      <c r="H19" s="11">
        <v>76.016999999999996</v>
      </c>
      <c r="I19" s="11">
        <v>76.45</v>
      </c>
      <c r="J19" s="11">
        <v>76.974000000000004</v>
      </c>
      <c r="K19" s="11">
        <v>77.536000000000001</v>
      </c>
      <c r="L19" s="11">
        <v>78.213999999999999</v>
      </c>
      <c r="M19" s="11"/>
      <c r="N19" s="11">
        <v>81.528000000000006</v>
      </c>
      <c r="O19" s="11">
        <v>86.447000000000003</v>
      </c>
      <c r="P19" s="11"/>
      <c r="Q19" s="11"/>
      <c r="R19" s="11">
        <v>92.554000000000002</v>
      </c>
      <c r="T19" s="9">
        <f>R19-C19</f>
        <v>29.454000000000001</v>
      </c>
      <c r="V19" s="1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  <c r="AH19" s="229"/>
    </row>
    <row r="20" spans="1:34">
      <c r="A20" s="275">
        <v>9</v>
      </c>
      <c r="B20" s="248" t="s">
        <v>334</v>
      </c>
      <c r="C20" s="94">
        <v>324.33</v>
      </c>
      <c r="D20" s="11">
        <v>331.755</v>
      </c>
      <c r="E20" s="11">
        <v>338.952</v>
      </c>
      <c r="F20" s="11">
        <v>344.767</v>
      </c>
      <c r="G20" s="11">
        <v>351.68900000000002</v>
      </c>
      <c r="H20" s="11">
        <v>359.51</v>
      </c>
      <c r="I20" s="11">
        <v>363.303</v>
      </c>
      <c r="J20" s="11">
        <v>367.733</v>
      </c>
      <c r="K20" s="11">
        <v>372.11900000000003</v>
      </c>
      <c r="L20" s="11">
        <v>378.48099999999999</v>
      </c>
      <c r="M20" s="11">
        <v>0.01</v>
      </c>
      <c r="N20" s="11">
        <v>3.613</v>
      </c>
      <c r="O20" s="11">
        <v>6.4640000000000004</v>
      </c>
      <c r="P20" s="247">
        <v>7.0069999999999997</v>
      </c>
      <c r="Q20" s="247">
        <v>4.5999999999999999E-2</v>
      </c>
      <c r="R20" s="11">
        <v>7.8140000000000001</v>
      </c>
      <c r="S20" s="9">
        <f>R20-Q20+P20-M20+L20-C20</f>
        <v>68.915999999999997</v>
      </c>
      <c r="T20" s="9"/>
      <c r="V20" s="1">
        <v>9</v>
      </c>
      <c r="W20" s="230">
        <f t="shared" ref="W20:AE20" si="27">D20-C20</f>
        <v>7.4250000000000114</v>
      </c>
      <c r="X20" s="230">
        <f t="shared" si="27"/>
        <v>7.1970000000000027</v>
      </c>
      <c r="Y20" s="230">
        <f t="shared" si="27"/>
        <v>5.8149999999999977</v>
      </c>
      <c r="Z20" s="230">
        <f t="shared" si="27"/>
        <v>6.9220000000000255</v>
      </c>
      <c r="AA20" s="230">
        <f t="shared" si="27"/>
        <v>7.8209999999999695</v>
      </c>
      <c r="AB20" s="230">
        <f t="shared" si="27"/>
        <v>3.7930000000000064</v>
      </c>
      <c r="AC20" s="230">
        <f t="shared" si="27"/>
        <v>4.4300000000000068</v>
      </c>
      <c r="AD20" s="230">
        <f t="shared" si="27"/>
        <v>4.3860000000000241</v>
      </c>
      <c r="AE20" s="230">
        <f t="shared" si="27"/>
        <v>6.3619999999999663</v>
      </c>
      <c r="AF20" s="231">
        <f t="shared" ref="AF20:AG20" si="28">N20-M20</f>
        <v>3.6030000000000002</v>
      </c>
      <c r="AG20" s="231">
        <f t="shared" si="28"/>
        <v>2.8510000000000004</v>
      </c>
      <c r="AH20" s="230">
        <f t="shared" ref="AH20" si="29">R20-Q20</f>
        <v>7.7679999999999998</v>
      </c>
    </row>
    <row r="21" spans="1:34">
      <c r="A21" s="275"/>
      <c r="B21" s="10" t="s">
        <v>110</v>
      </c>
      <c r="C21" s="94">
        <v>36.143999999999998</v>
      </c>
      <c r="D21" s="11">
        <v>41.286000000000001</v>
      </c>
      <c r="E21" s="11">
        <v>44.518000000000001</v>
      </c>
      <c r="F21" s="11">
        <v>46.87</v>
      </c>
      <c r="G21" s="11">
        <v>48.014000000000003</v>
      </c>
      <c r="H21" s="11">
        <v>49.194000000000003</v>
      </c>
      <c r="I21" s="11">
        <v>49.408999999999999</v>
      </c>
      <c r="J21" s="11">
        <v>49.652000000000001</v>
      </c>
      <c r="K21" s="11">
        <v>49.911000000000001</v>
      </c>
      <c r="L21" s="11">
        <v>50.295999999999999</v>
      </c>
      <c r="M21" s="11"/>
      <c r="N21" s="11">
        <v>51.972999999999999</v>
      </c>
      <c r="O21" s="11">
        <v>55.082000000000001</v>
      </c>
      <c r="P21" s="11"/>
      <c r="Q21" s="11"/>
      <c r="R21" s="11">
        <v>59.372999999999998</v>
      </c>
      <c r="T21" s="9">
        <f>R21-C21</f>
        <v>23.228999999999999</v>
      </c>
      <c r="V21" s="1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</row>
    <row r="22" spans="1:34">
      <c r="A22" s="275">
        <v>10</v>
      </c>
      <c r="B22" s="224" t="s">
        <v>311</v>
      </c>
      <c r="C22" s="94">
        <v>361.08</v>
      </c>
      <c r="D22" s="11">
        <v>368.47300000000001</v>
      </c>
      <c r="E22" s="11">
        <v>374.70299999999997</v>
      </c>
      <c r="F22" s="11">
        <v>381.58199999999999</v>
      </c>
      <c r="G22" s="11">
        <v>387.16399999999999</v>
      </c>
      <c r="H22" s="11">
        <v>394.66899999999998</v>
      </c>
      <c r="I22" s="11">
        <v>402.411</v>
      </c>
      <c r="J22" s="11">
        <v>407.32799999999997</v>
      </c>
      <c r="K22" s="11">
        <v>413.416</v>
      </c>
      <c r="L22" s="11">
        <v>421.00700000000001</v>
      </c>
      <c r="M22" s="11">
        <v>0.01</v>
      </c>
      <c r="N22" s="11">
        <v>7.1479999999999997</v>
      </c>
      <c r="O22" s="11">
        <v>13.144</v>
      </c>
      <c r="P22" s="11">
        <v>14.391</v>
      </c>
      <c r="Q22" s="11">
        <v>14.391</v>
      </c>
      <c r="R22" s="11">
        <v>24.46</v>
      </c>
      <c r="S22" s="9">
        <f t="shared" ref="S22" si="30">R22-M22+L22-C22</f>
        <v>84.37700000000001</v>
      </c>
      <c r="T22" s="9"/>
      <c r="V22" s="1">
        <v>10</v>
      </c>
      <c r="W22" s="230">
        <f t="shared" ref="W22:AE22" si="31">D22-C22</f>
        <v>7.3930000000000291</v>
      </c>
      <c r="X22" s="230">
        <f t="shared" si="31"/>
        <v>6.2299999999999613</v>
      </c>
      <c r="Y22" s="230">
        <f t="shared" si="31"/>
        <v>6.8790000000000191</v>
      </c>
      <c r="Z22" s="230">
        <f t="shared" si="31"/>
        <v>5.5819999999999936</v>
      </c>
      <c r="AA22" s="230">
        <f t="shared" si="31"/>
        <v>7.5049999999999955</v>
      </c>
      <c r="AB22" s="230">
        <f t="shared" si="31"/>
        <v>7.7420000000000186</v>
      </c>
      <c r="AC22" s="230">
        <f t="shared" si="31"/>
        <v>4.9169999999999732</v>
      </c>
      <c r="AD22" s="230">
        <f t="shared" si="31"/>
        <v>6.0880000000000223</v>
      </c>
      <c r="AE22" s="230">
        <f t="shared" si="31"/>
        <v>7.5910000000000082</v>
      </c>
      <c r="AF22" s="230">
        <f t="shared" ref="AF22:AG22" si="32">N22-M22</f>
        <v>7.1379999999999999</v>
      </c>
      <c r="AG22" s="230">
        <f t="shared" si="32"/>
        <v>5.9960000000000004</v>
      </c>
      <c r="AH22" s="230">
        <f t="shared" ref="AH22" si="33">R22-Q22</f>
        <v>10.069000000000001</v>
      </c>
    </row>
    <row r="23" spans="1:34">
      <c r="A23" s="275"/>
      <c r="B23" s="10" t="s">
        <v>111</v>
      </c>
      <c r="C23" s="94">
        <v>25.95</v>
      </c>
      <c r="D23" s="11">
        <v>30.408999999999999</v>
      </c>
      <c r="E23" s="11">
        <v>33.591999999999999</v>
      </c>
      <c r="F23" s="11">
        <v>35.704000000000001</v>
      </c>
      <c r="G23" s="11">
        <v>36.518000000000001</v>
      </c>
      <c r="H23" s="11">
        <v>37.078000000000003</v>
      </c>
      <c r="I23" s="11">
        <v>37.414000000000001</v>
      </c>
      <c r="J23" s="11">
        <v>37.588000000000001</v>
      </c>
      <c r="K23" s="11">
        <v>37.825000000000003</v>
      </c>
      <c r="L23" s="11">
        <v>38.201999999999998</v>
      </c>
      <c r="M23" s="11"/>
      <c r="N23" s="11">
        <v>38.978999999999999</v>
      </c>
      <c r="O23" s="11">
        <v>41.569000000000003</v>
      </c>
      <c r="P23" s="11"/>
      <c r="Q23" s="11"/>
      <c r="R23" s="11">
        <v>45.445</v>
      </c>
      <c r="S23" s="38"/>
      <c r="T23" s="146">
        <f>R23-C23</f>
        <v>19.495000000000001</v>
      </c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  <c r="AG23" s="229"/>
      <c r="AH23" s="229"/>
    </row>
    <row r="24" spans="1:34">
      <c r="A24" s="174"/>
      <c r="B24" s="10"/>
      <c r="C24" s="9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9">
        <f>SUM(S4:S23)</f>
        <v>746.64900000000011</v>
      </c>
      <c r="T24" s="9">
        <f>SUM(T4:T23)</f>
        <v>188.88200000000001</v>
      </c>
    </row>
    <row r="25" spans="1:34">
      <c r="A25" s="174" t="s">
        <v>25</v>
      </c>
      <c r="B25" s="10" t="s">
        <v>112</v>
      </c>
      <c r="C25" s="95">
        <v>34280</v>
      </c>
      <c r="D25" s="15">
        <v>34511</v>
      </c>
      <c r="E25" s="15">
        <v>34748</v>
      </c>
      <c r="F25" s="15">
        <v>34968</v>
      </c>
      <c r="G25" s="15">
        <v>35199</v>
      </c>
      <c r="H25" s="15">
        <v>35433</v>
      </c>
      <c r="I25" s="15">
        <v>35625</v>
      </c>
      <c r="J25" s="15">
        <v>35845</v>
      </c>
      <c r="K25" s="15">
        <v>36086</v>
      </c>
      <c r="L25" s="15">
        <v>36295</v>
      </c>
      <c r="M25" s="15"/>
      <c r="N25" s="15">
        <v>36527</v>
      </c>
      <c r="O25" s="15">
        <v>36740</v>
      </c>
      <c r="P25" s="15"/>
      <c r="Q25" s="15"/>
      <c r="R25" s="15">
        <v>37015</v>
      </c>
      <c r="T25" s="9"/>
      <c r="U25" s="18">
        <f>R25-C25</f>
        <v>2735</v>
      </c>
    </row>
    <row r="26" spans="1:34">
      <c r="A26" s="174"/>
      <c r="B26" s="224" t="s">
        <v>304</v>
      </c>
      <c r="C26" s="96">
        <v>2352.1999999999998</v>
      </c>
      <c r="D26" s="20">
        <v>2426.5</v>
      </c>
      <c r="E26" s="20">
        <v>2493.6999999999998</v>
      </c>
      <c r="F26" s="20">
        <v>2565.4</v>
      </c>
      <c r="G26" s="20">
        <v>2640.6</v>
      </c>
      <c r="H26" s="20">
        <v>2714</v>
      </c>
      <c r="I26" s="20">
        <v>2772.1</v>
      </c>
      <c r="J26" s="20">
        <v>2831</v>
      </c>
      <c r="K26" s="20">
        <v>2895.3</v>
      </c>
      <c r="L26" s="20">
        <v>2966.1</v>
      </c>
      <c r="M26" s="20">
        <v>0</v>
      </c>
      <c r="N26" s="20">
        <v>61.4</v>
      </c>
      <c r="O26" s="20">
        <v>125.8</v>
      </c>
      <c r="P26" s="20">
        <v>139.4</v>
      </c>
      <c r="Q26" s="20">
        <v>139.4</v>
      </c>
      <c r="R26" s="20">
        <v>210.3</v>
      </c>
      <c r="S26" s="9">
        <f t="shared" ref="S26" si="34">R26-M26+L26-C26</f>
        <v>824.20000000000027</v>
      </c>
      <c r="T26" s="9"/>
    </row>
    <row r="27" spans="1:34">
      <c r="A27" s="183"/>
      <c r="B27" s="10" t="s">
        <v>89</v>
      </c>
      <c r="C27" s="97">
        <v>157.47</v>
      </c>
      <c r="D27" s="21">
        <v>170.11</v>
      </c>
      <c r="E27" s="21">
        <v>178.27</v>
      </c>
      <c r="F27" s="21">
        <v>184.1</v>
      </c>
      <c r="G27" s="21">
        <v>187.63</v>
      </c>
      <c r="H27" s="21">
        <v>190.67</v>
      </c>
      <c r="I27" s="21">
        <v>191.92</v>
      </c>
      <c r="J27" s="21">
        <v>193.15</v>
      </c>
      <c r="K27" s="22">
        <v>194.41</v>
      </c>
      <c r="L27" s="21">
        <v>195.91</v>
      </c>
      <c r="M27" s="21"/>
      <c r="N27" s="21">
        <v>199.75</v>
      </c>
      <c r="O27" s="21">
        <v>207.09</v>
      </c>
      <c r="P27" s="21"/>
      <c r="Q27" s="21"/>
      <c r="R27" s="21">
        <v>217.63</v>
      </c>
      <c r="T27" s="9">
        <f>(R27-C27)*3.6</f>
        <v>216.57599999999999</v>
      </c>
    </row>
    <row r="28" spans="1:34" ht="15.75" thickBot="1">
      <c r="A28" s="173"/>
      <c r="B28" s="31" t="s">
        <v>28</v>
      </c>
      <c r="C28" s="98">
        <v>8991</v>
      </c>
      <c r="D28" s="24">
        <v>9472</v>
      </c>
      <c r="E28" s="24">
        <v>9744</v>
      </c>
      <c r="F28" s="24">
        <v>9934</v>
      </c>
      <c r="G28" s="24">
        <v>10066</v>
      </c>
      <c r="H28" s="24">
        <v>10189</v>
      </c>
      <c r="I28" s="24">
        <v>10250</v>
      </c>
      <c r="J28" s="24">
        <v>10314</v>
      </c>
      <c r="K28" s="37">
        <v>10380</v>
      </c>
      <c r="L28" s="24">
        <v>10450</v>
      </c>
      <c r="M28" s="24"/>
      <c r="N28" s="24">
        <v>10589</v>
      </c>
      <c r="O28" s="24">
        <v>10820</v>
      </c>
      <c r="P28" s="24"/>
      <c r="Q28" s="24"/>
      <c r="R28" s="24">
        <v>11150</v>
      </c>
      <c r="T28" s="9"/>
    </row>
    <row r="29" spans="1:34" ht="15.75" thickBot="1">
      <c r="A29" s="187" t="str">
        <f>'1854'!A29</f>
        <v>Fakturační vodoměr:           02343759</v>
      </c>
      <c r="B29" s="25"/>
      <c r="C29" s="26">
        <f>'1854'!C29</f>
        <v>18371</v>
      </c>
      <c r="D29" s="26">
        <f>'1854'!D29</f>
        <v>18663.400000000001</v>
      </c>
      <c r="E29" s="26">
        <f>'1854'!E29</f>
        <v>18931.2</v>
      </c>
      <c r="F29" s="26">
        <f>'1854'!F29</f>
        <v>19208.5</v>
      </c>
      <c r="G29" s="26">
        <f>'1854'!G29</f>
        <v>19505.5</v>
      </c>
      <c r="H29" s="26">
        <f>'1854'!H29</f>
        <v>19795.5</v>
      </c>
      <c r="I29" s="26">
        <f>'1854'!I29</f>
        <v>20033.7</v>
      </c>
      <c r="J29" s="26">
        <f>'1854'!J29</f>
        <v>20265</v>
      </c>
      <c r="K29" s="26">
        <f>'1854'!K29</f>
        <v>20525.099999999999</v>
      </c>
      <c r="L29" s="26">
        <f>'1854'!L29</f>
        <v>20786.5</v>
      </c>
      <c r="M29" s="26"/>
      <c r="N29" s="26">
        <f>'1854'!N29</f>
        <v>21062.5</v>
      </c>
      <c r="O29" s="26">
        <f>'1854'!O29</f>
        <v>21335.599999999999</v>
      </c>
      <c r="P29" s="26"/>
      <c r="Q29" s="26"/>
      <c r="R29" s="26">
        <f>'1854'!R29</f>
        <v>21658.9</v>
      </c>
      <c r="S29">
        <f>R29-C29</f>
        <v>3287.9000000000015</v>
      </c>
      <c r="T29" s="9"/>
    </row>
    <row r="31" spans="1:34">
      <c r="A31" s="176"/>
      <c r="D31" s="28" t="s">
        <v>29</v>
      </c>
      <c r="F31" s="29"/>
      <c r="I31" s="217" t="s">
        <v>227</v>
      </c>
      <c r="J31" s="218"/>
      <c r="K31" s="219"/>
      <c r="L31" s="218"/>
    </row>
    <row r="32" spans="1:34">
      <c r="I32" t="s">
        <v>318</v>
      </c>
    </row>
    <row r="33" spans="9:12">
      <c r="I33" s="259" t="s">
        <v>346</v>
      </c>
      <c r="J33" s="257"/>
      <c r="K33" s="258"/>
      <c r="L33" s="257"/>
    </row>
  </sheetData>
  <sheetProtection selectLockedCells="1" selectUnlockedCells="1"/>
  <mergeCells count="10"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H4">
    <cfRule type="cellIs" dxfId="1849" priority="1" stopIfTrue="1" operator="lessThan">
      <formula>'1856'!$G$4</formula>
    </cfRule>
    <cfRule type="cellIs" dxfId="1848" priority="2" stopIfTrue="1" operator="equal">
      <formula>'1856'!$G$4</formula>
    </cfRule>
  </conditionalFormatting>
  <conditionalFormatting sqref="G7">
    <cfRule type="cellIs" dxfId="1847" priority="3" stopIfTrue="1" operator="equal">
      <formula>'1856'!$F$7</formula>
    </cfRule>
    <cfRule type="cellIs" dxfId="1846" priority="4" stopIfTrue="1" operator="lessThan">
      <formula>'1856'!$F$7</formula>
    </cfRule>
  </conditionalFormatting>
  <conditionalFormatting sqref="H5">
    <cfRule type="cellIs" dxfId="1845" priority="5" stopIfTrue="1" operator="equal">
      <formula>'1856'!$G$5</formula>
    </cfRule>
    <cfRule type="cellIs" dxfId="1844" priority="6" stopIfTrue="1" operator="lessThan">
      <formula>'1856'!$G$5</formula>
    </cfRule>
  </conditionalFormatting>
  <conditionalFormatting sqref="I5">
    <cfRule type="cellIs" dxfId="1843" priority="7" stopIfTrue="1" operator="equal">
      <formula>'1856'!$H$5</formula>
    </cfRule>
    <cfRule type="cellIs" dxfId="1842" priority="8" stopIfTrue="1" operator="lessThan">
      <formula>'1856'!$H$5</formula>
    </cfRule>
  </conditionalFormatting>
  <conditionalFormatting sqref="J5">
    <cfRule type="cellIs" dxfId="1841" priority="9" stopIfTrue="1" operator="equal">
      <formula>'1856'!$I$5</formula>
    </cfRule>
    <cfRule type="cellIs" dxfId="1840" priority="10" stopIfTrue="1" operator="lessThan">
      <formula>'1856'!$I$5</formula>
    </cfRule>
  </conditionalFormatting>
  <conditionalFormatting sqref="F4">
    <cfRule type="cellIs" dxfId="1839" priority="11" stopIfTrue="1" operator="equal">
      <formula>'1856'!$E$4</formula>
    </cfRule>
    <cfRule type="cellIs" dxfId="1838" priority="12" stopIfTrue="1" operator="lessThan">
      <formula>'1856'!$E$4</formula>
    </cfRule>
  </conditionalFormatting>
  <conditionalFormatting sqref="D4">
    <cfRule type="cellIs" dxfId="1837" priority="13" stopIfTrue="1" operator="lessThan">
      <formula>'1856'!$C$4</formula>
    </cfRule>
    <cfRule type="cellIs" dxfId="1836" priority="14" stopIfTrue="1" operator="equal">
      <formula>'1856'!$C$4</formula>
    </cfRule>
  </conditionalFormatting>
  <conditionalFormatting sqref="E4">
    <cfRule type="cellIs" dxfId="1835" priority="15" stopIfTrue="1" operator="equal">
      <formula>'1856'!$D$4</formula>
    </cfRule>
    <cfRule type="cellIs" dxfId="1834" priority="16" stopIfTrue="1" operator="lessThan">
      <formula>'1856'!$D$4</formula>
    </cfRule>
  </conditionalFormatting>
  <conditionalFormatting sqref="D5">
    <cfRule type="cellIs" dxfId="1833" priority="17" stopIfTrue="1" operator="equal">
      <formula>'1856'!$C$5</formula>
    </cfRule>
    <cfRule type="cellIs" dxfId="1832" priority="18" stopIfTrue="1" operator="lessThan">
      <formula>'1856'!$C$5</formula>
    </cfRule>
  </conditionalFormatting>
  <conditionalFormatting sqref="F5">
    <cfRule type="cellIs" dxfId="1831" priority="19" stopIfTrue="1" operator="equal">
      <formula>'1856'!$E$5</formula>
    </cfRule>
    <cfRule type="cellIs" dxfId="1830" priority="20" stopIfTrue="1" operator="lessThan">
      <formula>'1856'!$E$5</formula>
    </cfRule>
  </conditionalFormatting>
  <conditionalFormatting sqref="I4">
    <cfRule type="cellIs" dxfId="1829" priority="21" stopIfTrue="1" operator="equal">
      <formula>'1856'!$H$4</formula>
    </cfRule>
  </conditionalFormatting>
  <conditionalFormatting sqref="J4">
    <cfRule type="cellIs" dxfId="1828" priority="22" stopIfTrue="1" operator="lessThan">
      <formula>'1856'!$I$4</formula>
    </cfRule>
    <cfRule type="cellIs" dxfId="1827" priority="23" stopIfTrue="1" operator="equal">
      <formula>'1856'!$I$4</formula>
    </cfRule>
  </conditionalFormatting>
  <conditionalFormatting sqref="D6">
    <cfRule type="cellIs" dxfId="1826" priority="24" stopIfTrue="1" operator="equal">
      <formula>'1856'!$C$6</formula>
    </cfRule>
    <cfRule type="cellIs" dxfId="1825" priority="25" stopIfTrue="1" operator="lessThan">
      <formula>'1856'!$C$6</formula>
    </cfRule>
  </conditionalFormatting>
  <conditionalFormatting sqref="E6">
    <cfRule type="cellIs" dxfId="1824" priority="26" stopIfTrue="1" operator="equal">
      <formula>'1856'!$D$6</formula>
    </cfRule>
    <cfRule type="cellIs" dxfId="1823" priority="27" stopIfTrue="1" operator="lessThan">
      <formula>'1856'!$D$6</formula>
    </cfRule>
  </conditionalFormatting>
  <conditionalFormatting sqref="F6">
    <cfRule type="cellIs" dxfId="1822" priority="28" stopIfTrue="1" operator="equal">
      <formula>'1856'!$E$6</formula>
    </cfRule>
    <cfRule type="cellIs" dxfId="1821" priority="29" stopIfTrue="1" operator="lessThan">
      <formula>'1856'!$E$6</formula>
    </cfRule>
  </conditionalFormatting>
  <conditionalFormatting sqref="G6">
    <cfRule type="cellIs" dxfId="1820" priority="30" stopIfTrue="1" operator="equal">
      <formula>'1856'!$F$6</formula>
    </cfRule>
    <cfRule type="cellIs" dxfId="1819" priority="31" stopIfTrue="1" operator="lessThan">
      <formula>'1856'!$F$6</formula>
    </cfRule>
  </conditionalFormatting>
  <conditionalFormatting sqref="H6">
    <cfRule type="cellIs" dxfId="1818" priority="32" stopIfTrue="1" operator="equal">
      <formula>'1856'!$G$6</formula>
    </cfRule>
    <cfRule type="cellIs" dxfId="1817" priority="33" stopIfTrue="1" operator="lessThan">
      <formula>'1856'!$G$6</formula>
    </cfRule>
  </conditionalFormatting>
  <conditionalFormatting sqref="I6">
    <cfRule type="cellIs" dxfId="1816" priority="34" stopIfTrue="1" operator="equal">
      <formula>'1856'!$H$6</formula>
    </cfRule>
    <cfRule type="cellIs" dxfId="1815" priority="35" stopIfTrue="1" operator="lessThan">
      <formula>'1856'!$H$6</formula>
    </cfRule>
  </conditionalFormatting>
  <conditionalFormatting sqref="J6">
    <cfRule type="cellIs" dxfId="1814" priority="36" stopIfTrue="1" operator="equal">
      <formula>'1856'!$I$6</formula>
    </cfRule>
    <cfRule type="cellIs" dxfId="1813" priority="37" stopIfTrue="1" operator="lessThan">
      <formula>'1856'!$I$6</formula>
    </cfRule>
  </conditionalFormatting>
  <conditionalFormatting sqref="D7">
    <cfRule type="cellIs" dxfId="1812" priority="38" stopIfTrue="1" operator="equal">
      <formula>'1856'!$C$7</formula>
    </cfRule>
    <cfRule type="cellIs" dxfId="1811" priority="39" stopIfTrue="1" operator="lessThan">
      <formula>'1856'!$C$7</formula>
    </cfRule>
  </conditionalFormatting>
  <conditionalFormatting sqref="E7">
    <cfRule type="cellIs" dxfId="1810" priority="40" stopIfTrue="1" operator="equal">
      <formula>'1856'!$D$7</formula>
    </cfRule>
    <cfRule type="cellIs" dxfId="1809" priority="41" stopIfTrue="1" operator="lessThan">
      <formula>'1856'!$D$7</formula>
    </cfRule>
  </conditionalFormatting>
  <conditionalFormatting sqref="F7">
    <cfRule type="cellIs" dxfId="1808" priority="42" stopIfTrue="1" operator="equal">
      <formula>'1856'!$E$7</formula>
    </cfRule>
    <cfRule type="cellIs" dxfId="1807" priority="43" stopIfTrue="1" operator="lessThan">
      <formula>'1856'!$E$7</formula>
    </cfRule>
  </conditionalFormatting>
  <conditionalFormatting sqref="H7">
    <cfRule type="cellIs" dxfId="1806" priority="44" stopIfTrue="1" operator="equal">
      <formula>'1856'!$G$7</formula>
    </cfRule>
    <cfRule type="cellIs" dxfId="1805" priority="45" stopIfTrue="1" operator="lessThan">
      <formula>'1856'!$G$7</formula>
    </cfRule>
  </conditionalFormatting>
  <conditionalFormatting sqref="I7">
    <cfRule type="cellIs" dxfId="1804" priority="46" stopIfTrue="1" operator="equal">
      <formula>'1856'!$H$7</formula>
    </cfRule>
    <cfRule type="cellIs" dxfId="1803" priority="47" stopIfTrue="1" operator="lessThan">
      <formula>'1856'!$H$7</formula>
    </cfRule>
  </conditionalFormatting>
  <conditionalFormatting sqref="J7">
    <cfRule type="cellIs" dxfId="1802" priority="48" stopIfTrue="1" operator="equal">
      <formula>'1856'!$I$7</formula>
    </cfRule>
    <cfRule type="cellIs" dxfId="1801" priority="49" stopIfTrue="1" operator="lessThan">
      <formula>'1856'!$I$7</formula>
    </cfRule>
  </conditionalFormatting>
  <conditionalFormatting sqref="D8">
    <cfRule type="cellIs" dxfId="1800" priority="50" stopIfTrue="1" operator="equal">
      <formula>'1856'!$C$8</formula>
    </cfRule>
    <cfRule type="cellIs" dxfId="1799" priority="51" stopIfTrue="1" operator="lessThan">
      <formula>'1856'!$C$8</formula>
    </cfRule>
  </conditionalFormatting>
  <conditionalFormatting sqref="E8">
    <cfRule type="cellIs" dxfId="1798" priority="52" stopIfTrue="1" operator="equal">
      <formula>'1856'!$D$8</formula>
    </cfRule>
    <cfRule type="cellIs" dxfId="1797" priority="53" stopIfTrue="1" operator="lessThan">
      <formula>'1856'!$D$8</formula>
    </cfRule>
  </conditionalFormatting>
  <conditionalFormatting sqref="F8">
    <cfRule type="cellIs" dxfId="1796" priority="54" stopIfTrue="1" operator="equal">
      <formula>'1856'!$E$8</formula>
    </cfRule>
    <cfRule type="cellIs" dxfId="1795" priority="55" stopIfTrue="1" operator="lessThan">
      <formula>'1856'!$E$8</formula>
    </cfRule>
  </conditionalFormatting>
  <conditionalFormatting sqref="G8">
    <cfRule type="cellIs" dxfId="1794" priority="56" stopIfTrue="1" operator="equal">
      <formula>'1856'!$F$8</formula>
    </cfRule>
    <cfRule type="cellIs" dxfId="1793" priority="57" stopIfTrue="1" operator="lessThan">
      <formula>'1856'!$F$8</formula>
    </cfRule>
  </conditionalFormatting>
  <conditionalFormatting sqref="H8">
    <cfRule type="cellIs" dxfId="1792" priority="58" stopIfTrue="1" operator="equal">
      <formula>'1856'!$G$8</formula>
    </cfRule>
    <cfRule type="cellIs" dxfId="1791" priority="59" stopIfTrue="1" operator="lessThan">
      <formula>'1856'!$G$8</formula>
    </cfRule>
  </conditionalFormatting>
  <conditionalFormatting sqref="I8">
    <cfRule type="cellIs" dxfId="1790" priority="60" stopIfTrue="1" operator="equal">
      <formula>'1856'!$H$8</formula>
    </cfRule>
    <cfRule type="cellIs" dxfId="1789" priority="61" stopIfTrue="1" operator="lessThan">
      <formula>'1856'!$H$8</formula>
    </cfRule>
  </conditionalFormatting>
  <conditionalFormatting sqref="J8">
    <cfRule type="cellIs" dxfId="1788" priority="62" stopIfTrue="1" operator="equal">
      <formula>'1856'!$I$8</formula>
    </cfRule>
    <cfRule type="cellIs" dxfId="1787" priority="63" stopIfTrue="1" operator="lessThan">
      <formula>'1856'!$I$8</formula>
    </cfRule>
  </conditionalFormatting>
  <conditionalFormatting sqref="D9">
    <cfRule type="cellIs" dxfId="1786" priority="64" stopIfTrue="1" operator="equal">
      <formula>'1856'!$C$9</formula>
    </cfRule>
    <cfRule type="cellIs" dxfId="1785" priority="65" stopIfTrue="1" operator="lessThan">
      <formula>'1856'!$C$9</formula>
    </cfRule>
  </conditionalFormatting>
  <conditionalFormatting sqref="E9">
    <cfRule type="cellIs" dxfId="1784" priority="66" stopIfTrue="1" operator="equal">
      <formula>'1856'!$D$9</formula>
    </cfRule>
    <cfRule type="cellIs" dxfId="1783" priority="67" stopIfTrue="1" operator="lessThan">
      <formula>'1856'!$D$9</formula>
    </cfRule>
  </conditionalFormatting>
  <conditionalFormatting sqref="F9">
    <cfRule type="cellIs" dxfId="1782" priority="68" stopIfTrue="1" operator="equal">
      <formula>'1856'!$E$9</formula>
    </cfRule>
    <cfRule type="cellIs" dxfId="1781" priority="69" stopIfTrue="1" operator="lessThan">
      <formula>'1856'!$E$9</formula>
    </cfRule>
  </conditionalFormatting>
  <conditionalFormatting sqref="G9">
    <cfRule type="cellIs" dxfId="1780" priority="70" stopIfTrue="1" operator="equal">
      <formula>'1856'!$F$9</formula>
    </cfRule>
    <cfRule type="cellIs" dxfId="1779" priority="71" stopIfTrue="1" operator="lessThan">
      <formula>'1856'!$F$9</formula>
    </cfRule>
  </conditionalFormatting>
  <conditionalFormatting sqref="H9">
    <cfRule type="cellIs" dxfId="1778" priority="72" stopIfTrue="1" operator="equal">
      <formula>'1856'!$G$9</formula>
    </cfRule>
    <cfRule type="cellIs" dxfId="1777" priority="73" stopIfTrue="1" operator="lessThan">
      <formula>'1856'!$G$9</formula>
    </cfRule>
  </conditionalFormatting>
  <conditionalFormatting sqref="I9">
    <cfRule type="cellIs" dxfId="1776" priority="74" stopIfTrue="1" operator="equal">
      <formula>'1856'!$H$9</formula>
    </cfRule>
    <cfRule type="cellIs" dxfId="1775" priority="75" stopIfTrue="1" operator="lessThan">
      <formula>'1856'!$H$9</formula>
    </cfRule>
  </conditionalFormatting>
  <conditionalFormatting sqref="J9">
    <cfRule type="cellIs" dxfId="1774" priority="76" stopIfTrue="1" operator="equal">
      <formula>'1856'!$I$9</formula>
    </cfRule>
    <cfRule type="cellIs" dxfId="1773" priority="77" stopIfTrue="1" operator="lessThan">
      <formula>'1856'!$I$9</formula>
    </cfRule>
  </conditionalFormatting>
  <conditionalFormatting sqref="D10">
    <cfRule type="cellIs" dxfId="1772" priority="78" stopIfTrue="1" operator="equal">
      <formula>'1856'!$C$10</formula>
    </cfRule>
    <cfRule type="cellIs" dxfId="1771" priority="79" stopIfTrue="1" operator="lessThan">
      <formula>'1856'!$C$10</formula>
    </cfRule>
  </conditionalFormatting>
  <conditionalFormatting sqref="E10">
    <cfRule type="cellIs" dxfId="1770" priority="80" stopIfTrue="1" operator="equal">
      <formula>'1856'!$D$10</formula>
    </cfRule>
    <cfRule type="cellIs" dxfId="1769" priority="81" stopIfTrue="1" operator="lessThan">
      <formula>'1856'!$D$10</formula>
    </cfRule>
  </conditionalFormatting>
  <conditionalFormatting sqref="F10">
    <cfRule type="cellIs" dxfId="1768" priority="82" stopIfTrue="1" operator="equal">
      <formula>'1856'!$E$10</formula>
    </cfRule>
    <cfRule type="cellIs" dxfId="1767" priority="83" stopIfTrue="1" operator="lessThan">
      <formula>'1856'!$E$10</formula>
    </cfRule>
  </conditionalFormatting>
  <conditionalFormatting sqref="G10">
    <cfRule type="cellIs" dxfId="1766" priority="84" stopIfTrue="1" operator="equal">
      <formula>'1856'!$F$10</formula>
    </cfRule>
    <cfRule type="cellIs" dxfId="1765" priority="85" stopIfTrue="1" operator="lessThan">
      <formula>'1856'!$F$10</formula>
    </cfRule>
  </conditionalFormatting>
  <conditionalFormatting sqref="H10">
    <cfRule type="cellIs" dxfId="1764" priority="86" stopIfTrue="1" operator="equal">
      <formula>'1856'!$G$10</formula>
    </cfRule>
    <cfRule type="cellIs" dxfId="1763" priority="87" stopIfTrue="1" operator="lessThan">
      <formula>'1856'!$G$10</formula>
    </cfRule>
  </conditionalFormatting>
  <conditionalFormatting sqref="I10">
    <cfRule type="cellIs" dxfId="1762" priority="88" stopIfTrue="1" operator="equal">
      <formula>'1856'!$H$10</formula>
    </cfRule>
    <cfRule type="cellIs" dxfId="1761" priority="89" stopIfTrue="1" operator="lessThan">
      <formula>'1856'!$H$10</formula>
    </cfRule>
  </conditionalFormatting>
  <conditionalFormatting sqref="J10">
    <cfRule type="cellIs" dxfId="1760" priority="90" stopIfTrue="1" operator="equal">
      <formula>'1856'!$I$10</formula>
    </cfRule>
    <cfRule type="cellIs" dxfId="1759" priority="91" stopIfTrue="1" operator="lessThan">
      <formula>'1856'!$I$10</formula>
    </cfRule>
  </conditionalFormatting>
  <conditionalFormatting sqref="D11">
    <cfRule type="cellIs" dxfId="1758" priority="92" stopIfTrue="1" operator="equal">
      <formula>'1856'!$C$11</formula>
    </cfRule>
    <cfRule type="cellIs" dxfId="1757" priority="93" stopIfTrue="1" operator="lessThan">
      <formula>'1856'!$C$11</formula>
    </cfRule>
  </conditionalFormatting>
  <conditionalFormatting sqref="E11">
    <cfRule type="cellIs" dxfId="1756" priority="94" stopIfTrue="1" operator="equal">
      <formula>'1856'!$D$11</formula>
    </cfRule>
    <cfRule type="cellIs" dxfId="1755" priority="95" stopIfTrue="1" operator="lessThan">
      <formula>'1856'!$D$11</formula>
    </cfRule>
  </conditionalFormatting>
  <conditionalFormatting sqref="F11">
    <cfRule type="cellIs" dxfId="1754" priority="96" stopIfTrue="1" operator="equal">
      <formula>'1856'!$E$11</formula>
    </cfRule>
    <cfRule type="cellIs" dxfId="1753" priority="97" stopIfTrue="1" operator="lessThan">
      <formula>'1856'!$E$11</formula>
    </cfRule>
  </conditionalFormatting>
  <conditionalFormatting sqref="G11">
    <cfRule type="cellIs" dxfId="1752" priority="98" stopIfTrue="1" operator="equal">
      <formula>'1856'!$F$11</formula>
    </cfRule>
    <cfRule type="cellIs" dxfId="1751" priority="99" stopIfTrue="1" operator="lessThan">
      <formula>'1856'!$F$11</formula>
    </cfRule>
  </conditionalFormatting>
  <conditionalFormatting sqref="H11">
    <cfRule type="cellIs" dxfId="1750" priority="100" stopIfTrue="1" operator="equal">
      <formula>'1856'!$G$11</formula>
    </cfRule>
    <cfRule type="cellIs" dxfId="1749" priority="101" stopIfTrue="1" operator="lessThan">
      <formula>'1856'!$G$11</formula>
    </cfRule>
  </conditionalFormatting>
  <conditionalFormatting sqref="I11">
    <cfRule type="cellIs" dxfId="1748" priority="102" stopIfTrue="1" operator="equal">
      <formula>'1856'!$H$11</formula>
    </cfRule>
    <cfRule type="cellIs" dxfId="1747" priority="103" stopIfTrue="1" operator="lessThan">
      <formula>'1856'!$H$11</formula>
    </cfRule>
  </conditionalFormatting>
  <conditionalFormatting sqref="J11">
    <cfRule type="cellIs" dxfId="1746" priority="104" stopIfTrue="1" operator="equal">
      <formula>'1856'!$I$11</formula>
    </cfRule>
    <cfRule type="cellIs" dxfId="1745" priority="105" stopIfTrue="1" operator="lessThan">
      <formula>'1856'!$I$11</formula>
    </cfRule>
  </conditionalFormatting>
  <conditionalFormatting sqref="D12">
    <cfRule type="cellIs" dxfId="1744" priority="106" stopIfTrue="1" operator="equal">
      <formula>'1856'!$C$12</formula>
    </cfRule>
    <cfRule type="cellIs" dxfId="1743" priority="107" stopIfTrue="1" operator="lessThan">
      <formula>'1856'!$C$12</formula>
    </cfRule>
  </conditionalFormatting>
  <conditionalFormatting sqref="E12">
    <cfRule type="cellIs" dxfId="1742" priority="108" stopIfTrue="1" operator="equal">
      <formula>'1856'!$D$12</formula>
    </cfRule>
    <cfRule type="cellIs" dxfId="1741" priority="109" stopIfTrue="1" operator="lessThan">
      <formula>'1856'!$D$12</formula>
    </cfRule>
  </conditionalFormatting>
  <conditionalFormatting sqref="F12">
    <cfRule type="cellIs" dxfId="1740" priority="110" stopIfTrue="1" operator="equal">
      <formula>'1856'!$E$12</formula>
    </cfRule>
    <cfRule type="cellIs" dxfId="1739" priority="111" stopIfTrue="1" operator="lessThan">
      <formula>'1856'!$E$12</formula>
    </cfRule>
  </conditionalFormatting>
  <conditionalFormatting sqref="G12">
    <cfRule type="cellIs" dxfId="1738" priority="112" stopIfTrue="1" operator="equal">
      <formula>'1856'!$F$12</formula>
    </cfRule>
    <cfRule type="cellIs" dxfId="1737" priority="113" stopIfTrue="1" operator="lessThan">
      <formula>'1856'!$F$12</formula>
    </cfRule>
  </conditionalFormatting>
  <conditionalFormatting sqref="H12">
    <cfRule type="cellIs" dxfId="1736" priority="114" stopIfTrue="1" operator="equal">
      <formula>'1856'!$G$12</formula>
    </cfRule>
    <cfRule type="cellIs" dxfId="1735" priority="115" stopIfTrue="1" operator="lessThan">
      <formula>'1856'!$G$12</formula>
    </cfRule>
  </conditionalFormatting>
  <conditionalFormatting sqref="I12">
    <cfRule type="cellIs" dxfId="1734" priority="116" stopIfTrue="1" operator="equal">
      <formula>'1856'!$H$12</formula>
    </cfRule>
    <cfRule type="cellIs" dxfId="1733" priority="117" stopIfTrue="1" operator="lessThan">
      <formula>'1856'!$H$12</formula>
    </cfRule>
  </conditionalFormatting>
  <conditionalFormatting sqref="J12">
    <cfRule type="cellIs" dxfId="1732" priority="118" stopIfTrue="1" operator="equal">
      <formula>'1856'!$I$12</formula>
    </cfRule>
    <cfRule type="cellIs" dxfId="1731" priority="119" stopIfTrue="1" operator="lessThan">
      <formula>'1856'!$I$12</formula>
    </cfRule>
  </conditionalFormatting>
  <conditionalFormatting sqref="D14">
    <cfRule type="cellIs" dxfId="1730" priority="120" stopIfTrue="1" operator="equal">
      <formula>'1856'!$C$14</formula>
    </cfRule>
    <cfRule type="cellIs" dxfId="1729" priority="121" stopIfTrue="1" operator="lessThan">
      <formula>'1856'!$C$14</formula>
    </cfRule>
  </conditionalFormatting>
  <conditionalFormatting sqref="D15">
    <cfRule type="cellIs" dxfId="1728" priority="122" stopIfTrue="1" operator="equal">
      <formula>'1856'!$C$15</formula>
    </cfRule>
    <cfRule type="cellIs" dxfId="1727" priority="123" stopIfTrue="1" operator="lessThan">
      <formula>'1856'!$C$15</formula>
    </cfRule>
  </conditionalFormatting>
  <conditionalFormatting sqref="D16">
    <cfRule type="cellIs" dxfId="1726" priority="124" stopIfTrue="1" operator="equal">
      <formula>'1856'!$C$16</formula>
    </cfRule>
    <cfRule type="cellIs" dxfId="1725" priority="125" stopIfTrue="1" operator="lessThan">
      <formula>'1856'!$C$16</formula>
    </cfRule>
  </conditionalFormatting>
  <conditionalFormatting sqref="D17">
    <cfRule type="cellIs" dxfId="1724" priority="126" stopIfTrue="1" operator="equal">
      <formula>'1856'!$C$17</formula>
    </cfRule>
    <cfRule type="cellIs" dxfId="1723" priority="127" stopIfTrue="1" operator="lessThan">
      <formula>'1856'!$C$17</formula>
    </cfRule>
  </conditionalFormatting>
  <conditionalFormatting sqref="D18">
    <cfRule type="cellIs" dxfId="1722" priority="128" stopIfTrue="1" operator="equal">
      <formula>'1856'!$C$18</formula>
    </cfRule>
    <cfRule type="cellIs" dxfId="1721" priority="129" stopIfTrue="1" operator="lessThan">
      <formula>'1856'!$C$18</formula>
    </cfRule>
  </conditionalFormatting>
  <conditionalFormatting sqref="D19">
    <cfRule type="cellIs" dxfId="1720" priority="130" stopIfTrue="1" operator="equal">
      <formula>'1856'!$C$19</formula>
    </cfRule>
    <cfRule type="cellIs" dxfId="1719" priority="131" stopIfTrue="1" operator="lessThan">
      <formula>'1856'!$C$19</formula>
    </cfRule>
  </conditionalFormatting>
  <conditionalFormatting sqref="D20">
    <cfRule type="cellIs" dxfId="1718" priority="132" stopIfTrue="1" operator="equal">
      <formula>'1856'!$C$20</formula>
    </cfRule>
    <cfRule type="cellIs" dxfId="1717" priority="133" stopIfTrue="1" operator="lessThan">
      <formula>'1856'!$C$20</formula>
    </cfRule>
  </conditionalFormatting>
  <conditionalFormatting sqref="D21">
    <cfRule type="cellIs" dxfId="1716" priority="134" stopIfTrue="1" operator="equal">
      <formula>'1856'!$C$21</formula>
    </cfRule>
    <cfRule type="cellIs" dxfId="1715" priority="135" stopIfTrue="1" operator="lessThan">
      <formula>'1856'!$C$21</formula>
    </cfRule>
  </conditionalFormatting>
  <conditionalFormatting sqref="D22">
    <cfRule type="cellIs" dxfId="1714" priority="136" stopIfTrue="1" operator="equal">
      <formula>'1856'!$C$22</formula>
    </cfRule>
    <cfRule type="cellIs" dxfId="1713" priority="137" stopIfTrue="1" operator="lessThan">
      <formula>'1856'!$C$22</formula>
    </cfRule>
  </conditionalFormatting>
  <conditionalFormatting sqref="D23">
    <cfRule type="cellIs" dxfId="1712" priority="138" stopIfTrue="1" operator="equal">
      <formula>'1856'!$C$23</formula>
    </cfRule>
    <cfRule type="cellIs" dxfId="1711" priority="139" stopIfTrue="1" operator="lessThan">
      <formula>'1856'!$C$23</formula>
    </cfRule>
  </conditionalFormatting>
  <conditionalFormatting sqref="D25">
    <cfRule type="cellIs" dxfId="1710" priority="140" stopIfTrue="1" operator="equal">
      <formula>'1856'!$C$25</formula>
    </cfRule>
    <cfRule type="cellIs" dxfId="1709" priority="141" stopIfTrue="1" operator="lessThan">
      <formula>'1856'!$C$25</formula>
    </cfRule>
  </conditionalFormatting>
  <conditionalFormatting sqref="D26">
    <cfRule type="cellIs" dxfId="1708" priority="142" stopIfTrue="1" operator="equal">
      <formula>'1856'!$C$26</formula>
    </cfRule>
    <cfRule type="cellIs" dxfId="1707" priority="143" stopIfTrue="1" operator="lessThan">
      <formula>'1856'!$C$26</formula>
    </cfRule>
  </conditionalFormatting>
  <conditionalFormatting sqref="D27">
    <cfRule type="cellIs" dxfId="1706" priority="144" stopIfTrue="1" operator="equal">
      <formula>'1856'!$C$27</formula>
    </cfRule>
    <cfRule type="cellIs" dxfId="1705" priority="145" stopIfTrue="1" operator="lessThan">
      <formula>'1856'!$C$27</formula>
    </cfRule>
  </conditionalFormatting>
  <conditionalFormatting sqref="D28">
    <cfRule type="cellIs" dxfId="1704" priority="146" stopIfTrue="1" operator="equal">
      <formula>'1856'!$C$28</formula>
    </cfRule>
    <cfRule type="cellIs" dxfId="1703" priority="147" stopIfTrue="1" operator="lessThan">
      <formula>'1856'!$C$28</formula>
    </cfRule>
  </conditionalFormatting>
  <conditionalFormatting sqref="E13">
    <cfRule type="cellIs" dxfId="1702" priority="148" stopIfTrue="1" operator="equal">
      <formula>'1856'!$D$13</formula>
    </cfRule>
    <cfRule type="cellIs" dxfId="1701" priority="149" stopIfTrue="1" operator="lessThan">
      <formula>'1856'!$D$13</formula>
    </cfRule>
  </conditionalFormatting>
  <conditionalFormatting sqref="E14">
    <cfRule type="cellIs" dxfId="1700" priority="150" stopIfTrue="1" operator="equal">
      <formula>'1856'!$D$14</formula>
    </cfRule>
    <cfRule type="cellIs" dxfId="1699" priority="151" stopIfTrue="1" operator="lessThan">
      <formula>'1856'!$D$14</formula>
    </cfRule>
  </conditionalFormatting>
  <conditionalFormatting sqref="E15">
    <cfRule type="cellIs" dxfId="1698" priority="152" stopIfTrue="1" operator="equal">
      <formula>'1856'!$D$15</formula>
    </cfRule>
    <cfRule type="cellIs" dxfId="1697" priority="153" stopIfTrue="1" operator="lessThan">
      <formula>'1856'!$D$15</formula>
    </cfRule>
  </conditionalFormatting>
  <conditionalFormatting sqref="E16">
    <cfRule type="cellIs" dxfId="1696" priority="154" stopIfTrue="1" operator="equal">
      <formula>'1856'!$D$16</formula>
    </cfRule>
    <cfRule type="cellIs" dxfId="1695" priority="155" stopIfTrue="1" operator="lessThan">
      <formula>'1856'!$D$16</formula>
    </cfRule>
  </conditionalFormatting>
  <conditionalFormatting sqref="E17">
    <cfRule type="cellIs" dxfId="1694" priority="156" stopIfTrue="1" operator="equal">
      <formula>'1856'!$D$17</formula>
    </cfRule>
    <cfRule type="cellIs" dxfId="1693" priority="157" stopIfTrue="1" operator="lessThan">
      <formula>'1856'!$D$17</formula>
    </cfRule>
  </conditionalFormatting>
  <conditionalFormatting sqref="E18">
    <cfRule type="cellIs" dxfId="1692" priority="158" stopIfTrue="1" operator="equal">
      <formula>'1856'!$D$18</formula>
    </cfRule>
    <cfRule type="cellIs" dxfId="1691" priority="159" stopIfTrue="1" operator="lessThan">
      <formula>'1856'!$D$18</formula>
    </cfRule>
  </conditionalFormatting>
  <conditionalFormatting sqref="E19">
    <cfRule type="cellIs" dxfId="1690" priority="160" stopIfTrue="1" operator="equal">
      <formula>'1856'!$D$19</formula>
    </cfRule>
    <cfRule type="cellIs" dxfId="1689" priority="161" stopIfTrue="1" operator="lessThan">
      <formula>'1856'!$D$19</formula>
    </cfRule>
  </conditionalFormatting>
  <conditionalFormatting sqref="E20">
    <cfRule type="cellIs" dxfId="1688" priority="162" stopIfTrue="1" operator="equal">
      <formula>'1856'!$D$20</formula>
    </cfRule>
    <cfRule type="cellIs" dxfId="1687" priority="163" stopIfTrue="1" operator="lessThan">
      <formula>'1856'!$D$20</formula>
    </cfRule>
  </conditionalFormatting>
  <conditionalFormatting sqref="E21">
    <cfRule type="cellIs" dxfId="1686" priority="164" stopIfTrue="1" operator="equal">
      <formula>'1856'!$D$21</formula>
    </cfRule>
    <cfRule type="cellIs" dxfId="1685" priority="165" stopIfTrue="1" operator="lessThan">
      <formula>'1856'!$D$21</formula>
    </cfRule>
  </conditionalFormatting>
  <conditionalFormatting sqref="E22">
    <cfRule type="cellIs" dxfId="1684" priority="166" stopIfTrue="1" operator="equal">
      <formula>'1856'!$D$22</formula>
    </cfRule>
    <cfRule type="cellIs" dxfId="1683" priority="167" stopIfTrue="1" operator="lessThan">
      <formula>'1856'!$D$22</formula>
    </cfRule>
  </conditionalFormatting>
  <conditionalFormatting sqref="E23">
    <cfRule type="cellIs" dxfId="1682" priority="168" stopIfTrue="1" operator="equal">
      <formula>'1856'!$D$23</formula>
    </cfRule>
    <cfRule type="cellIs" dxfId="1681" priority="169" stopIfTrue="1" operator="lessThan">
      <formula>'1856'!$D$23</formula>
    </cfRule>
  </conditionalFormatting>
  <conditionalFormatting sqref="E25">
    <cfRule type="cellIs" dxfId="1680" priority="170" stopIfTrue="1" operator="equal">
      <formula>'1856'!$D$25</formula>
    </cfRule>
    <cfRule type="cellIs" dxfId="1679" priority="171" stopIfTrue="1" operator="lessThan">
      <formula>'1856'!$D$25</formula>
    </cfRule>
  </conditionalFormatting>
  <conditionalFormatting sqref="E26">
    <cfRule type="cellIs" dxfId="1678" priority="172" stopIfTrue="1" operator="equal">
      <formula>'1856'!$D$26</formula>
    </cfRule>
    <cfRule type="cellIs" dxfId="1677" priority="173" stopIfTrue="1" operator="lessThan">
      <formula>'1856'!$D$26</formula>
    </cfRule>
  </conditionalFormatting>
  <conditionalFormatting sqref="E27">
    <cfRule type="cellIs" dxfId="1676" priority="174" stopIfTrue="1" operator="equal">
      <formula>'1856'!$D$27</formula>
    </cfRule>
    <cfRule type="cellIs" dxfId="1675" priority="175" stopIfTrue="1" operator="lessThan">
      <formula>'1856'!$D$27</formula>
    </cfRule>
  </conditionalFormatting>
  <conditionalFormatting sqref="E28">
    <cfRule type="cellIs" dxfId="1674" priority="176" stopIfTrue="1" operator="equal">
      <formula>'1856'!$D$28</formula>
    </cfRule>
    <cfRule type="cellIs" dxfId="1673" priority="177" stopIfTrue="1" operator="lessThan">
      <formula>'1856'!$D$28</formula>
    </cfRule>
  </conditionalFormatting>
  <conditionalFormatting sqref="F13">
    <cfRule type="cellIs" dxfId="1672" priority="178" stopIfTrue="1" operator="equal">
      <formula>'1856'!$E$13</formula>
    </cfRule>
    <cfRule type="cellIs" dxfId="1671" priority="179" stopIfTrue="1" operator="lessThan">
      <formula>'1856'!$E$13</formula>
    </cfRule>
  </conditionalFormatting>
  <conditionalFormatting sqref="F14">
    <cfRule type="cellIs" dxfId="1670" priority="180" stopIfTrue="1" operator="equal">
      <formula>'1856'!$E$14</formula>
    </cfRule>
    <cfRule type="cellIs" dxfId="1669" priority="181" stopIfTrue="1" operator="lessThan">
      <formula>'1856'!$E$14</formula>
    </cfRule>
  </conditionalFormatting>
  <conditionalFormatting sqref="F15">
    <cfRule type="cellIs" dxfId="1668" priority="182" stopIfTrue="1" operator="equal">
      <formula>'1856'!$E$15</formula>
    </cfRule>
    <cfRule type="cellIs" dxfId="1667" priority="183" stopIfTrue="1" operator="lessThan">
      <formula>'1856'!$E$15</formula>
    </cfRule>
  </conditionalFormatting>
  <conditionalFormatting sqref="F16">
    <cfRule type="cellIs" dxfId="1666" priority="184" stopIfTrue="1" operator="equal">
      <formula>'1856'!$E$16</formula>
    </cfRule>
    <cfRule type="cellIs" dxfId="1665" priority="185" stopIfTrue="1" operator="lessThan">
      <formula>'1856'!$E$16</formula>
    </cfRule>
  </conditionalFormatting>
  <conditionalFormatting sqref="F17">
    <cfRule type="cellIs" dxfId="1664" priority="186" stopIfTrue="1" operator="equal">
      <formula>'1856'!$E$17</formula>
    </cfRule>
    <cfRule type="cellIs" dxfId="1663" priority="187" stopIfTrue="1" operator="lessThan">
      <formula>'1856'!$E$17</formula>
    </cfRule>
  </conditionalFormatting>
  <conditionalFormatting sqref="F18">
    <cfRule type="cellIs" dxfId="1662" priority="188" stopIfTrue="1" operator="equal">
      <formula>'1856'!$E$18</formula>
    </cfRule>
    <cfRule type="cellIs" dxfId="1661" priority="189" stopIfTrue="1" operator="lessThan">
      <formula>'1856'!$E$18</formula>
    </cfRule>
  </conditionalFormatting>
  <conditionalFormatting sqref="F19">
    <cfRule type="cellIs" dxfId="1660" priority="190" stopIfTrue="1" operator="equal">
      <formula>'1856'!$E$19</formula>
    </cfRule>
    <cfRule type="cellIs" dxfId="1659" priority="191" stopIfTrue="1" operator="lessThan">
      <formula>'1856'!$E$19</formula>
    </cfRule>
  </conditionalFormatting>
  <conditionalFormatting sqref="F20">
    <cfRule type="cellIs" dxfId="1658" priority="192" stopIfTrue="1" operator="equal">
      <formula>'1856'!$E$20</formula>
    </cfRule>
    <cfRule type="cellIs" dxfId="1657" priority="193" stopIfTrue="1" operator="lessThan">
      <formula>'1856'!$E$20</formula>
    </cfRule>
  </conditionalFormatting>
  <conditionalFormatting sqref="F21">
    <cfRule type="cellIs" dxfId="1656" priority="194" stopIfTrue="1" operator="equal">
      <formula>'1856'!$E$21</formula>
    </cfRule>
    <cfRule type="cellIs" dxfId="1655" priority="195" stopIfTrue="1" operator="lessThan">
      <formula>'1856'!$E$21</formula>
    </cfRule>
  </conditionalFormatting>
  <conditionalFormatting sqref="F22">
    <cfRule type="cellIs" dxfId="1654" priority="196" stopIfTrue="1" operator="equal">
      <formula>'1856'!$E$22</formula>
    </cfRule>
    <cfRule type="cellIs" dxfId="1653" priority="197" stopIfTrue="1" operator="lessThan">
      <formula>'1856'!$E$22</formula>
    </cfRule>
  </conditionalFormatting>
  <conditionalFormatting sqref="F23">
    <cfRule type="cellIs" dxfId="1652" priority="198" stopIfTrue="1" operator="equal">
      <formula>'1856'!$E$23</formula>
    </cfRule>
    <cfRule type="cellIs" dxfId="1651" priority="199" stopIfTrue="1" operator="lessThan">
      <formula>'1856'!$E$23</formula>
    </cfRule>
  </conditionalFormatting>
  <conditionalFormatting sqref="F25">
    <cfRule type="cellIs" dxfId="1650" priority="200" stopIfTrue="1" operator="equal">
      <formula>'1856'!$E$25</formula>
    </cfRule>
    <cfRule type="cellIs" dxfId="1649" priority="201" stopIfTrue="1" operator="lessThan">
      <formula>'1856'!$E$25</formula>
    </cfRule>
  </conditionalFormatting>
  <conditionalFormatting sqref="F26">
    <cfRule type="cellIs" dxfId="1648" priority="202" stopIfTrue="1" operator="equal">
      <formula>'1856'!$E$26</formula>
    </cfRule>
    <cfRule type="cellIs" dxfId="1647" priority="203" stopIfTrue="1" operator="lessThan">
      <formula>'1856'!$E$26</formula>
    </cfRule>
  </conditionalFormatting>
  <conditionalFormatting sqref="F27">
    <cfRule type="cellIs" dxfId="1646" priority="204" stopIfTrue="1" operator="equal">
      <formula>'1856'!$E$27</formula>
    </cfRule>
    <cfRule type="cellIs" dxfId="1645" priority="205" stopIfTrue="1" operator="lessThan">
      <formula>'1856'!$E$27</formula>
    </cfRule>
  </conditionalFormatting>
  <conditionalFormatting sqref="F28">
    <cfRule type="cellIs" dxfId="1644" priority="206" stopIfTrue="1" operator="equal">
      <formula>'1856'!$E$28</formula>
    </cfRule>
    <cfRule type="cellIs" dxfId="1643" priority="207" stopIfTrue="1" operator="lessThan">
      <formula>'1856'!$E$28</formula>
    </cfRule>
  </conditionalFormatting>
  <conditionalFormatting sqref="G13">
    <cfRule type="cellIs" dxfId="1642" priority="208" stopIfTrue="1" operator="equal">
      <formula>'1856'!$F$13</formula>
    </cfRule>
    <cfRule type="cellIs" dxfId="1641" priority="209" stopIfTrue="1" operator="lessThan">
      <formula>'1856'!$F$13</formula>
    </cfRule>
  </conditionalFormatting>
  <conditionalFormatting sqref="G14">
    <cfRule type="cellIs" dxfId="1640" priority="210" stopIfTrue="1" operator="equal">
      <formula>'1856'!$F$14</formula>
    </cfRule>
    <cfRule type="cellIs" dxfId="1639" priority="211" stopIfTrue="1" operator="lessThan">
      <formula>'1856'!$F$14</formula>
    </cfRule>
  </conditionalFormatting>
  <conditionalFormatting sqref="G15">
    <cfRule type="cellIs" dxfId="1638" priority="212" stopIfTrue="1" operator="equal">
      <formula>'1856'!$F$15</formula>
    </cfRule>
    <cfRule type="cellIs" dxfId="1637" priority="213" stopIfTrue="1" operator="lessThan">
      <formula>'1856'!$F$15</formula>
    </cfRule>
  </conditionalFormatting>
  <conditionalFormatting sqref="G16">
    <cfRule type="cellIs" dxfId="1636" priority="214" stopIfTrue="1" operator="equal">
      <formula>'1856'!$F$16</formula>
    </cfRule>
    <cfRule type="cellIs" dxfId="1635" priority="215" stopIfTrue="1" operator="lessThan">
      <formula>'1856'!$F$16</formula>
    </cfRule>
  </conditionalFormatting>
  <conditionalFormatting sqref="G17">
    <cfRule type="cellIs" dxfId="1634" priority="216" stopIfTrue="1" operator="equal">
      <formula>'1856'!$F$17</formula>
    </cfRule>
    <cfRule type="cellIs" dxfId="1633" priority="217" stopIfTrue="1" operator="lessThan">
      <formula>'1856'!$F$17</formula>
    </cfRule>
  </conditionalFormatting>
  <conditionalFormatting sqref="G18">
    <cfRule type="cellIs" dxfId="1632" priority="218" stopIfTrue="1" operator="equal">
      <formula>'1856'!$F$18</formula>
    </cfRule>
    <cfRule type="cellIs" dxfId="1631" priority="219" stopIfTrue="1" operator="lessThan">
      <formula>'1856'!$F$18</formula>
    </cfRule>
  </conditionalFormatting>
  <conditionalFormatting sqref="G19">
    <cfRule type="cellIs" dxfId="1630" priority="220" stopIfTrue="1" operator="equal">
      <formula>'1856'!$F$19</formula>
    </cfRule>
    <cfRule type="cellIs" dxfId="1629" priority="221" stopIfTrue="1" operator="lessThan">
      <formula>'1856'!$F$19</formula>
    </cfRule>
  </conditionalFormatting>
  <conditionalFormatting sqref="G20">
    <cfRule type="cellIs" dxfId="1628" priority="222" stopIfTrue="1" operator="equal">
      <formula>'1856'!$F$20</formula>
    </cfRule>
    <cfRule type="cellIs" dxfId="1627" priority="223" stopIfTrue="1" operator="lessThan">
      <formula>'1856'!$F$20</formula>
    </cfRule>
  </conditionalFormatting>
  <conditionalFormatting sqref="G21">
    <cfRule type="cellIs" dxfId="1626" priority="224" stopIfTrue="1" operator="equal">
      <formula>'1856'!$F$21</formula>
    </cfRule>
    <cfRule type="cellIs" dxfId="1625" priority="225" stopIfTrue="1" operator="lessThan">
      <formula>'1856'!$F$21</formula>
    </cfRule>
  </conditionalFormatting>
  <conditionalFormatting sqref="G22">
    <cfRule type="cellIs" dxfId="1624" priority="226" stopIfTrue="1" operator="equal">
      <formula>'1856'!$F$22</formula>
    </cfRule>
    <cfRule type="cellIs" dxfId="1623" priority="227" stopIfTrue="1" operator="lessThan">
      <formula>'1856'!$F$22</formula>
    </cfRule>
  </conditionalFormatting>
  <conditionalFormatting sqref="G23">
    <cfRule type="cellIs" dxfId="1622" priority="228" stopIfTrue="1" operator="equal">
      <formula>'1856'!$F$23</formula>
    </cfRule>
    <cfRule type="cellIs" dxfId="1621" priority="229" stopIfTrue="1" operator="lessThan">
      <formula>'1856'!$F$23</formula>
    </cfRule>
  </conditionalFormatting>
  <conditionalFormatting sqref="G25">
    <cfRule type="cellIs" dxfId="1620" priority="230" stopIfTrue="1" operator="equal">
      <formula>'1856'!$F$25</formula>
    </cfRule>
    <cfRule type="cellIs" dxfId="1619" priority="231" stopIfTrue="1" operator="lessThan">
      <formula>'1856'!$F$25</formula>
    </cfRule>
  </conditionalFormatting>
  <conditionalFormatting sqref="G26">
    <cfRule type="cellIs" dxfId="1618" priority="232" stopIfTrue="1" operator="equal">
      <formula>'1856'!$F$26</formula>
    </cfRule>
    <cfRule type="cellIs" dxfId="1617" priority="233" stopIfTrue="1" operator="lessThan">
      <formula>'1856'!$F$26</formula>
    </cfRule>
  </conditionalFormatting>
  <conditionalFormatting sqref="G27">
    <cfRule type="cellIs" dxfId="1616" priority="234" stopIfTrue="1" operator="equal">
      <formula>'1856'!$F$27</formula>
    </cfRule>
    <cfRule type="cellIs" dxfId="1615" priority="235" stopIfTrue="1" operator="lessThan">
      <formula>'1856'!$F$27</formula>
    </cfRule>
  </conditionalFormatting>
  <conditionalFormatting sqref="G28">
    <cfRule type="cellIs" dxfId="1614" priority="236" stopIfTrue="1" operator="equal">
      <formula>'1856'!$F$28</formula>
    </cfRule>
    <cfRule type="cellIs" dxfId="1613" priority="237" stopIfTrue="1" operator="lessThan">
      <formula>'1856'!$F$28</formula>
    </cfRule>
  </conditionalFormatting>
  <conditionalFormatting sqref="D13">
    <cfRule type="cellIs" dxfId="1612" priority="238" stopIfTrue="1" operator="equal">
      <formula>'1856'!$C$13</formula>
    </cfRule>
    <cfRule type="cellIs" dxfId="1611" priority="239" stopIfTrue="1" operator="lessThan">
      <formula>'1856'!$C$13</formula>
    </cfRule>
  </conditionalFormatting>
  <conditionalFormatting sqref="H13">
    <cfRule type="cellIs" dxfId="1610" priority="240" stopIfTrue="1" operator="equal">
      <formula>'1856'!$G$13</formula>
    </cfRule>
    <cfRule type="cellIs" dxfId="1609" priority="241" stopIfTrue="1" operator="lessThan">
      <formula>'1856'!$G$13</formula>
    </cfRule>
  </conditionalFormatting>
  <conditionalFormatting sqref="H14">
    <cfRule type="cellIs" dxfId="1608" priority="242" stopIfTrue="1" operator="equal">
      <formula>'1856'!$G$14</formula>
    </cfRule>
    <cfRule type="cellIs" dxfId="1607" priority="243" stopIfTrue="1" operator="lessThan">
      <formula>'1856'!$G$14</formula>
    </cfRule>
  </conditionalFormatting>
  <conditionalFormatting sqref="H15">
    <cfRule type="cellIs" dxfId="1606" priority="244" stopIfTrue="1" operator="equal">
      <formula>'1856'!$G$15</formula>
    </cfRule>
    <cfRule type="cellIs" dxfId="1605" priority="245" stopIfTrue="1" operator="lessThan">
      <formula>'1856'!$G$15</formula>
    </cfRule>
  </conditionalFormatting>
  <conditionalFormatting sqref="H16">
    <cfRule type="cellIs" dxfId="1604" priority="246" stopIfTrue="1" operator="equal">
      <formula>'1856'!$G$16</formula>
    </cfRule>
    <cfRule type="cellIs" dxfId="1603" priority="247" stopIfTrue="1" operator="lessThan">
      <formula>'1856'!$G$16</formula>
    </cfRule>
  </conditionalFormatting>
  <conditionalFormatting sqref="H17">
    <cfRule type="cellIs" dxfId="1602" priority="248" stopIfTrue="1" operator="equal">
      <formula>'1856'!$G$17</formula>
    </cfRule>
    <cfRule type="cellIs" dxfId="1601" priority="249" stopIfTrue="1" operator="lessThan">
      <formula>'1856'!$G$17</formula>
    </cfRule>
  </conditionalFormatting>
  <conditionalFormatting sqref="H18">
    <cfRule type="cellIs" dxfId="1600" priority="250" stopIfTrue="1" operator="equal">
      <formula>'1856'!$G$18</formula>
    </cfRule>
    <cfRule type="cellIs" dxfId="1599" priority="251" stopIfTrue="1" operator="lessThan">
      <formula>'1856'!$G$18</formula>
    </cfRule>
  </conditionalFormatting>
  <conditionalFormatting sqref="H19">
    <cfRule type="cellIs" dxfId="1598" priority="252" stopIfTrue="1" operator="equal">
      <formula>'1856'!$G$19</formula>
    </cfRule>
    <cfRule type="cellIs" dxfId="1597" priority="253" stopIfTrue="1" operator="lessThan">
      <formula>'1856'!$G$19</formula>
    </cfRule>
  </conditionalFormatting>
  <conditionalFormatting sqref="H20">
    <cfRule type="cellIs" dxfId="1596" priority="254" stopIfTrue="1" operator="equal">
      <formula>'1856'!$G$20</formula>
    </cfRule>
    <cfRule type="cellIs" dxfId="1595" priority="255" stopIfTrue="1" operator="lessThan">
      <formula>'1856'!$G$20</formula>
    </cfRule>
  </conditionalFormatting>
  <conditionalFormatting sqref="H21">
    <cfRule type="cellIs" dxfId="1594" priority="256" stopIfTrue="1" operator="equal">
      <formula>'1856'!$G$21</formula>
    </cfRule>
    <cfRule type="cellIs" dxfId="1593" priority="257" stopIfTrue="1" operator="lessThan">
      <formula>'1856'!$G$21</formula>
    </cfRule>
  </conditionalFormatting>
  <conditionalFormatting sqref="H22">
    <cfRule type="cellIs" dxfId="1592" priority="258" stopIfTrue="1" operator="equal">
      <formula>'1856'!$G$22</formula>
    </cfRule>
    <cfRule type="cellIs" dxfId="1591" priority="259" stopIfTrue="1" operator="lessThan">
      <formula>'1856'!$G$22</formula>
    </cfRule>
  </conditionalFormatting>
  <conditionalFormatting sqref="H23">
    <cfRule type="cellIs" dxfId="1590" priority="260" stopIfTrue="1" operator="equal">
      <formula>'1856'!$G$23</formula>
    </cfRule>
    <cfRule type="cellIs" dxfId="1589" priority="261" stopIfTrue="1" operator="lessThan">
      <formula>'1856'!$G$23</formula>
    </cfRule>
  </conditionalFormatting>
  <conditionalFormatting sqref="H25">
    <cfRule type="cellIs" dxfId="1588" priority="262" stopIfTrue="1" operator="equal">
      <formula>'1856'!$G$25</formula>
    </cfRule>
    <cfRule type="cellIs" dxfId="1587" priority="263" stopIfTrue="1" operator="lessThan">
      <formula>'1856'!$G$25</formula>
    </cfRule>
  </conditionalFormatting>
  <conditionalFormatting sqref="H26">
    <cfRule type="cellIs" dxfId="1586" priority="264" stopIfTrue="1" operator="equal">
      <formula>'1856'!$G$26</formula>
    </cfRule>
    <cfRule type="cellIs" dxfId="1585" priority="265" stopIfTrue="1" operator="lessThan">
      <formula>'1856'!$G$26</formula>
    </cfRule>
  </conditionalFormatting>
  <conditionalFormatting sqref="H27">
    <cfRule type="cellIs" dxfId="1584" priority="266" stopIfTrue="1" operator="equal">
      <formula>'1856'!$G$27</formula>
    </cfRule>
    <cfRule type="cellIs" dxfId="1583" priority="267" stopIfTrue="1" operator="lessThan">
      <formula>'1856'!$G$27</formula>
    </cfRule>
  </conditionalFormatting>
  <conditionalFormatting sqref="H28">
    <cfRule type="cellIs" dxfId="1582" priority="268" stopIfTrue="1" operator="equal">
      <formula>'1856'!$G$28</formula>
    </cfRule>
    <cfRule type="cellIs" dxfId="1581" priority="269" stopIfTrue="1" operator="lessThan">
      <formula>'1856'!$G$28</formula>
    </cfRule>
  </conditionalFormatting>
  <conditionalFormatting sqref="D24">
    <cfRule type="cellIs" dxfId="1580" priority="270" stopIfTrue="1" operator="equal">
      <formula>'1856'!$C$24</formula>
    </cfRule>
    <cfRule type="cellIs" dxfId="1579" priority="271" stopIfTrue="1" operator="lessThan">
      <formula>'1856'!$C$24</formula>
    </cfRule>
  </conditionalFormatting>
  <conditionalFormatting sqref="E24">
    <cfRule type="cellIs" dxfId="1578" priority="272" stopIfTrue="1" operator="equal">
      <formula>'1856'!$D$24</formula>
    </cfRule>
    <cfRule type="cellIs" dxfId="1577" priority="273" stopIfTrue="1" operator="lessThan">
      <formula>'1856'!$D$24</formula>
    </cfRule>
  </conditionalFormatting>
  <conditionalFormatting sqref="F24">
    <cfRule type="cellIs" dxfId="1576" priority="274" stopIfTrue="1" operator="equal">
      <formula>'1856'!$E$24</formula>
    </cfRule>
    <cfRule type="cellIs" dxfId="1575" priority="275" stopIfTrue="1" operator="lessThan">
      <formula>'1856'!$E$24</formula>
    </cfRule>
  </conditionalFormatting>
  <conditionalFormatting sqref="G24">
    <cfRule type="cellIs" dxfId="1574" priority="276" stopIfTrue="1" operator="equal">
      <formula>'1856'!$F$24</formula>
    </cfRule>
    <cfRule type="cellIs" dxfId="1573" priority="277" stopIfTrue="1" operator="lessThan">
      <formula>'1856'!$F$24</formula>
    </cfRule>
  </conditionalFormatting>
  <conditionalFormatting sqref="H24">
    <cfRule type="cellIs" dxfId="1572" priority="278" stopIfTrue="1" operator="equal">
      <formula>'1856'!$G$24</formula>
    </cfRule>
    <cfRule type="cellIs" dxfId="1571" priority="279" stopIfTrue="1" operator="lessThan">
      <formula>'1856'!$G$24</formula>
    </cfRule>
  </conditionalFormatting>
  <conditionalFormatting sqref="E5">
    <cfRule type="cellIs" dxfId="1570" priority="280" stopIfTrue="1" operator="equal">
      <formula>'1856'!$D$5</formula>
    </cfRule>
    <cfRule type="cellIs" dxfId="1569" priority="281" stopIfTrue="1" operator="lessThan">
      <formula>'1856'!$D$5</formula>
    </cfRule>
  </conditionalFormatting>
  <conditionalFormatting sqref="G5">
    <cfRule type="cellIs" dxfId="1568" priority="282" stopIfTrue="1" operator="equal">
      <formula>'1856'!$F$5</formula>
    </cfRule>
    <cfRule type="cellIs" dxfId="1567" priority="283" stopIfTrue="1" operator="lessThan">
      <formula>'1856'!$F$5</formula>
    </cfRule>
  </conditionalFormatting>
  <conditionalFormatting sqref="G4">
    <cfRule type="cellIs" dxfId="1566" priority="284" stopIfTrue="1" operator="equal">
      <formula>'1856'!$F$4</formula>
    </cfRule>
  </conditionalFormatting>
  <conditionalFormatting sqref="D29:H29 J29:R29">
    <cfRule type="cellIs" dxfId="1565" priority="285" stopIfTrue="1" operator="equal">
      <formula>0</formula>
    </cfRule>
  </conditionalFormatting>
  <conditionalFormatting sqref="I13">
    <cfRule type="cellIs" dxfId="1564" priority="286" stopIfTrue="1" operator="equal">
      <formula>'1856'!$H$13</formula>
    </cfRule>
    <cfRule type="cellIs" dxfId="1563" priority="287" stopIfTrue="1" operator="lessThan">
      <formula>'1856'!$H$13</formula>
    </cfRule>
  </conditionalFormatting>
  <conditionalFormatting sqref="I14">
    <cfRule type="cellIs" dxfId="1562" priority="288" stopIfTrue="1" operator="equal">
      <formula>'1856'!$H$14</formula>
    </cfRule>
    <cfRule type="cellIs" dxfId="1561" priority="289" stopIfTrue="1" operator="lessThan">
      <formula>'1856'!$H$14</formula>
    </cfRule>
  </conditionalFormatting>
  <conditionalFormatting sqref="I15">
    <cfRule type="cellIs" dxfId="1560" priority="290" stopIfTrue="1" operator="equal">
      <formula>'1856'!$H$15</formula>
    </cfRule>
    <cfRule type="cellIs" dxfId="1559" priority="291" stopIfTrue="1" operator="lessThan">
      <formula>'1856'!$H$15</formula>
    </cfRule>
  </conditionalFormatting>
  <conditionalFormatting sqref="I16">
    <cfRule type="cellIs" dxfId="1558" priority="292" stopIfTrue="1" operator="equal">
      <formula>'1856'!$H$16</formula>
    </cfRule>
    <cfRule type="cellIs" dxfId="1557" priority="293" stopIfTrue="1" operator="lessThan">
      <formula>'1856'!$H$16</formula>
    </cfRule>
  </conditionalFormatting>
  <conditionalFormatting sqref="I17">
    <cfRule type="cellIs" dxfId="1556" priority="294" stopIfTrue="1" operator="equal">
      <formula>'1856'!$H$17</formula>
    </cfRule>
    <cfRule type="cellIs" dxfId="1555" priority="295" stopIfTrue="1" operator="lessThan">
      <formula>'1856'!$H$17</formula>
    </cfRule>
  </conditionalFormatting>
  <conditionalFormatting sqref="I18">
    <cfRule type="cellIs" dxfId="1554" priority="296" stopIfTrue="1" operator="equal">
      <formula>'1856'!$H$18</formula>
    </cfRule>
    <cfRule type="cellIs" dxfId="1553" priority="297" stopIfTrue="1" operator="lessThan">
      <formula>'1856'!$H$18</formula>
    </cfRule>
  </conditionalFormatting>
  <conditionalFormatting sqref="I19">
    <cfRule type="cellIs" dxfId="1552" priority="298" stopIfTrue="1" operator="equal">
      <formula>'1856'!$H$19</formula>
    </cfRule>
    <cfRule type="cellIs" dxfId="1551" priority="299" stopIfTrue="1" operator="lessThan">
      <formula>'1856'!$H$19</formula>
    </cfRule>
  </conditionalFormatting>
  <conditionalFormatting sqref="I20">
    <cfRule type="cellIs" dxfId="1550" priority="300" stopIfTrue="1" operator="equal">
      <formula>'1856'!$H$20</formula>
    </cfRule>
    <cfRule type="cellIs" dxfId="1549" priority="301" stopIfTrue="1" operator="lessThan">
      <formula>'1856'!$H$20</formula>
    </cfRule>
  </conditionalFormatting>
  <conditionalFormatting sqref="I21">
    <cfRule type="cellIs" dxfId="1548" priority="302" stopIfTrue="1" operator="equal">
      <formula>'1856'!$H$21</formula>
    </cfRule>
    <cfRule type="cellIs" dxfId="1547" priority="303" stopIfTrue="1" operator="lessThan">
      <formula>'1856'!$H$21</formula>
    </cfRule>
  </conditionalFormatting>
  <conditionalFormatting sqref="I22">
    <cfRule type="cellIs" dxfId="1546" priority="304" stopIfTrue="1" operator="equal">
      <formula>'1856'!$H$22</formula>
    </cfRule>
    <cfRule type="cellIs" dxfId="1545" priority="305" stopIfTrue="1" operator="lessThan">
      <formula>'1856'!$H$22</formula>
    </cfRule>
  </conditionalFormatting>
  <conditionalFormatting sqref="I23">
    <cfRule type="cellIs" dxfId="1544" priority="306" stopIfTrue="1" operator="equal">
      <formula>'1856'!$H$23</formula>
    </cfRule>
    <cfRule type="cellIs" dxfId="1543" priority="307" stopIfTrue="1" operator="lessThan">
      <formula>'1856'!$H$23</formula>
    </cfRule>
  </conditionalFormatting>
  <conditionalFormatting sqref="I24">
    <cfRule type="cellIs" dxfId="1542" priority="308" stopIfTrue="1" operator="equal">
      <formula>'1856'!$H$24</formula>
    </cfRule>
    <cfRule type="cellIs" dxfId="1541" priority="309" stopIfTrue="1" operator="lessThan">
      <formula>'1856'!$H$24</formula>
    </cfRule>
  </conditionalFormatting>
  <conditionalFormatting sqref="I25">
    <cfRule type="cellIs" dxfId="1540" priority="310" stopIfTrue="1" operator="equal">
      <formula>'1856'!$H$25</formula>
    </cfRule>
    <cfRule type="cellIs" dxfId="1539" priority="311" stopIfTrue="1" operator="lessThan">
      <formula>'1856'!$H$25</formula>
    </cfRule>
  </conditionalFormatting>
  <conditionalFormatting sqref="I26">
    <cfRule type="cellIs" dxfId="1538" priority="312" stopIfTrue="1" operator="equal">
      <formula>'1856'!$H$26</formula>
    </cfRule>
    <cfRule type="cellIs" dxfId="1537" priority="313" stopIfTrue="1" operator="lessThan">
      <formula>'1856'!$H$26</formula>
    </cfRule>
  </conditionalFormatting>
  <conditionalFormatting sqref="I27">
    <cfRule type="cellIs" dxfId="1536" priority="314" stopIfTrue="1" operator="equal">
      <formula>'1856'!$H$27</formula>
    </cfRule>
    <cfRule type="cellIs" dxfId="1535" priority="315" stopIfTrue="1" operator="lessThan">
      <formula>'1856'!$H$27</formula>
    </cfRule>
    <cfRule type="cellIs" dxfId="1534" priority="316" stopIfTrue="1" operator="lessThan">
      <formula>'1856'!$H$27</formula>
    </cfRule>
  </conditionalFormatting>
  <conditionalFormatting sqref="I28">
    <cfRule type="cellIs" dxfId="1533" priority="317" stopIfTrue="1" operator="equal">
      <formula>'1856'!$H$28</formula>
    </cfRule>
    <cfRule type="cellIs" dxfId="1532" priority="318" stopIfTrue="1" operator="lessThan">
      <formula>'1856'!$H$28</formula>
    </cfRule>
  </conditionalFormatting>
  <conditionalFormatting sqref="I29">
    <cfRule type="cellIs" dxfId="1531" priority="319" stopIfTrue="1" operator="equal">
      <formula>'1856'!$H$29</formula>
    </cfRule>
    <cfRule type="cellIs" dxfId="1530" priority="320" stopIfTrue="1" operator="lessThan">
      <formula>'1856'!$H$29</formula>
    </cfRule>
  </conditionalFormatting>
  <conditionalFormatting sqref="J13">
    <cfRule type="cellIs" dxfId="1529" priority="321" stopIfTrue="1" operator="equal">
      <formula>'1856'!$I$13</formula>
    </cfRule>
    <cfRule type="cellIs" dxfId="1528" priority="322" stopIfTrue="1" operator="lessThan">
      <formula>'1856'!$I$13</formula>
    </cfRule>
  </conditionalFormatting>
  <conditionalFormatting sqref="J14">
    <cfRule type="cellIs" dxfId="1527" priority="323" stopIfTrue="1" operator="equal">
      <formula>'1856'!$I$14</formula>
    </cfRule>
    <cfRule type="cellIs" dxfId="1526" priority="324" stopIfTrue="1" operator="lessThan">
      <formula>'1856'!$I$14</formula>
    </cfRule>
  </conditionalFormatting>
  <conditionalFormatting sqref="J15">
    <cfRule type="cellIs" dxfId="1525" priority="325" stopIfTrue="1" operator="equal">
      <formula>'1856'!$I$15</formula>
    </cfRule>
    <cfRule type="cellIs" dxfId="1524" priority="326" stopIfTrue="1" operator="lessThan">
      <formula>'1856'!$I$15</formula>
    </cfRule>
  </conditionalFormatting>
  <conditionalFormatting sqref="J16">
    <cfRule type="cellIs" dxfId="1523" priority="327" stopIfTrue="1" operator="equal">
      <formula>'1856'!$I$16</formula>
    </cfRule>
    <cfRule type="cellIs" dxfId="1522" priority="328" stopIfTrue="1" operator="lessThan">
      <formula>'1856'!$I$16</formula>
    </cfRule>
  </conditionalFormatting>
  <conditionalFormatting sqref="J17">
    <cfRule type="cellIs" dxfId="1521" priority="329" stopIfTrue="1" operator="equal">
      <formula>'1856'!$I$17</formula>
    </cfRule>
    <cfRule type="cellIs" dxfId="1520" priority="330" stopIfTrue="1" operator="lessThan">
      <formula>'1856'!$I$17</formula>
    </cfRule>
  </conditionalFormatting>
  <conditionalFormatting sqref="J18">
    <cfRule type="cellIs" dxfId="1519" priority="331" stopIfTrue="1" operator="equal">
      <formula>'1856'!$I$18</formula>
    </cfRule>
    <cfRule type="cellIs" dxfId="1518" priority="332" stopIfTrue="1" operator="lessThan">
      <formula>'1856'!$I$18</formula>
    </cfRule>
  </conditionalFormatting>
  <conditionalFormatting sqref="J19">
    <cfRule type="cellIs" dxfId="1517" priority="333" stopIfTrue="1" operator="equal">
      <formula>'1856'!$I$19</formula>
    </cfRule>
    <cfRule type="cellIs" dxfId="1516" priority="334" stopIfTrue="1" operator="lessThan">
      <formula>'1856'!$I$19</formula>
    </cfRule>
  </conditionalFormatting>
  <conditionalFormatting sqref="J20">
    <cfRule type="cellIs" dxfId="1515" priority="335" stopIfTrue="1" operator="equal">
      <formula>'1856'!$I$20</formula>
    </cfRule>
    <cfRule type="cellIs" dxfId="1514" priority="336" stopIfTrue="1" operator="lessThan">
      <formula>'1856'!$I$20</formula>
    </cfRule>
  </conditionalFormatting>
  <conditionalFormatting sqref="J21">
    <cfRule type="cellIs" dxfId="1513" priority="337" stopIfTrue="1" operator="equal">
      <formula>'1856'!$I$21</formula>
    </cfRule>
    <cfRule type="cellIs" dxfId="1512" priority="338" stopIfTrue="1" operator="lessThan">
      <formula>'1856'!$I$21</formula>
    </cfRule>
  </conditionalFormatting>
  <conditionalFormatting sqref="J22">
    <cfRule type="cellIs" dxfId="1511" priority="339" stopIfTrue="1" operator="equal">
      <formula>'1856'!$I$22</formula>
    </cfRule>
    <cfRule type="cellIs" dxfId="1510" priority="340" stopIfTrue="1" operator="lessThan">
      <formula>'1856'!$I$22</formula>
    </cfRule>
  </conditionalFormatting>
  <conditionalFormatting sqref="J23">
    <cfRule type="cellIs" dxfId="1509" priority="341" stopIfTrue="1" operator="equal">
      <formula>'1856'!$I$23</formula>
    </cfRule>
    <cfRule type="cellIs" dxfId="1508" priority="342" stopIfTrue="1" operator="lessThan">
      <formula>'1856'!$I$23</formula>
    </cfRule>
  </conditionalFormatting>
  <conditionalFormatting sqref="J24">
    <cfRule type="cellIs" dxfId="1507" priority="343" stopIfTrue="1" operator="equal">
      <formula>'1856'!$I$24</formula>
    </cfRule>
    <cfRule type="cellIs" dxfId="1506" priority="344" stopIfTrue="1" operator="lessThan">
      <formula>'1856'!$I$24</formula>
    </cfRule>
  </conditionalFormatting>
  <conditionalFormatting sqref="J25">
    <cfRule type="cellIs" dxfId="1505" priority="345" stopIfTrue="1" operator="equal">
      <formula>'1856'!$I$25</formula>
    </cfRule>
    <cfRule type="cellIs" dxfId="1504" priority="346" stopIfTrue="1" operator="lessThan">
      <formula>'1856'!$I$25</formula>
    </cfRule>
  </conditionalFormatting>
  <conditionalFormatting sqref="J26">
    <cfRule type="cellIs" dxfId="1503" priority="347" stopIfTrue="1" operator="equal">
      <formula>'1856'!$I$26</formula>
    </cfRule>
    <cfRule type="cellIs" dxfId="1502" priority="348" stopIfTrue="1" operator="lessThan">
      <formula>'1856'!$I$26</formula>
    </cfRule>
  </conditionalFormatting>
  <conditionalFormatting sqref="J27">
    <cfRule type="cellIs" dxfId="1501" priority="349" stopIfTrue="1" operator="equal">
      <formula>'1856'!$I$27</formula>
    </cfRule>
    <cfRule type="cellIs" dxfId="1500" priority="350" stopIfTrue="1" operator="lessThan">
      <formula>'1856'!$I$27</formula>
    </cfRule>
  </conditionalFormatting>
  <conditionalFormatting sqref="J28">
    <cfRule type="cellIs" dxfId="1499" priority="351" stopIfTrue="1" operator="equal">
      <formula>'1856'!$I$28</formula>
    </cfRule>
    <cfRule type="cellIs" dxfId="1498" priority="352" stopIfTrue="1" operator="lessThan">
      <formula>'1856'!$I$28</formula>
    </cfRule>
  </conditionalFormatting>
  <conditionalFormatting sqref="K4">
    <cfRule type="cellIs" dxfId="1497" priority="353" stopIfTrue="1" operator="equal">
      <formula>'1856'!$J$4</formula>
    </cfRule>
    <cfRule type="cellIs" dxfId="1496" priority="354" stopIfTrue="1" operator="lessThan">
      <formula>'1856'!$J$4</formula>
    </cfRule>
  </conditionalFormatting>
  <conditionalFormatting sqref="K5">
    <cfRule type="cellIs" dxfId="1495" priority="355" stopIfTrue="1" operator="equal">
      <formula>'1856'!$J$5</formula>
    </cfRule>
    <cfRule type="cellIs" dxfId="1494" priority="356" stopIfTrue="1" operator="lessThan">
      <formula>'1856'!$J$5</formula>
    </cfRule>
  </conditionalFormatting>
  <conditionalFormatting sqref="K6">
    <cfRule type="cellIs" dxfId="1493" priority="357" stopIfTrue="1" operator="equal">
      <formula>'1856'!$J$6</formula>
    </cfRule>
    <cfRule type="cellIs" dxfId="1492" priority="358" stopIfTrue="1" operator="lessThan">
      <formula>'1856'!$J$6</formula>
    </cfRule>
  </conditionalFormatting>
  <conditionalFormatting sqref="K7">
    <cfRule type="cellIs" dxfId="1491" priority="359" stopIfTrue="1" operator="equal">
      <formula>'1856'!$J$7</formula>
    </cfRule>
    <cfRule type="cellIs" dxfId="1490" priority="360" stopIfTrue="1" operator="lessThan">
      <formula>'1856'!$J$7</formula>
    </cfRule>
  </conditionalFormatting>
  <conditionalFormatting sqref="K8">
    <cfRule type="cellIs" dxfId="1489" priority="361" stopIfTrue="1" operator="equal">
      <formula>'1856'!$J$8</formula>
    </cfRule>
    <cfRule type="cellIs" dxfId="1488" priority="362" stopIfTrue="1" operator="lessThan">
      <formula>'1856'!$J$8</formula>
    </cfRule>
  </conditionalFormatting>
  <conditionalFormatting sqref="K9">
    <cfRule type="cellIs" dxfId="1487" priority="363" stopIfTrue="1" operator="equal">
      <formula>'1856'!$J$9</formula>
    </cfRule>
    <cfRule type="cellIs" dxfId="1486" priority="364" stopIfTrue="1" operator="lessThan">
      <formula>'1856'!$J$9</formula>
    </cfRule>
  </conditionalFormatting>
  <conditionalFormatting sqref="K10">
    <cfRule type="cellIs" dxfId="1485" priority="365" stopIfTrue="1" operator="equal">
      <formula>'1856'!$J$10</formula>
    </cfRule>
    <cfRule type="cellIs" dxfId="1484" priority="366" stopIfTrue="1" operator="lessThan">
      <formula>'1856'!$J$10</formula>
    </cfRule>
  </conditionalFormatting>
  <conditionalFormatting sqref="K11">
    <cfRule type="cellIs" dxfId="1483" priority="367" stopIfTrue="1" operator="equal">
      <formula>'1856'!$J$11</formula>
    </cfRule>
    <cfRule type="cellIs" dxfId="1482" priority="368" stopIfTrue="1" operator="lessThan">
      <formula>'1856'!$J$11</formula>
    </cfRule>
  </conditionalFormatting>
  <conditionalFormatting sqref="K12">
    <cfRule type="cellIs" dxfId="1481" priority="369" stopIfTrue="1" operator="equal">
      <formula>'1856'!$J$12</formula>
    </cfRule>
    <cfRule type="cellIs" dxfId="1480" priority="370" stopIfTrue="1" operator="lessThan">
      <formula>'1856'!$J$12</formula>
    </cfRule>
  </conditionalFormatting>
  <conditionalFormatting sqref="K13">
    <cfRule type="cellIs" dxfId="1479" priority="371" stopIfTrue="1" operator="equal">
      <formula>'1856'!$J$13</formula>
    </cfRule>
    <cfRule type="cellIs" dxfId="1478" priority="372" stopIfTrue="1" operator="lessThan">
      <formula>'1856'!$J$13</formula>
    </cfRule>
  </conditionalFormatting>
  <conditionalFormatting sqref="K14">
    <cfRule type="cellIs" dxfId="1477" priority="373" stopIfTrue="1" operator="equal">
      <formula>'1856'!$J$14</formula>
    </cfRule>
    <cfRule type="cellIs" dxfId="1476" priority="374" stopIfTrue="1" operator="lessThan">
      <formula>'1856'!$J$14</formula>
    </cfRule>
  </conditionalFormatting>
  <conditionalFormatting sqref="K15">
    <cfRule type="cellIs" dxfId="1475" priority="375" stopIfTrue="1" operator="equal">
      <formula>'1856'!$J$15</formula>
    </cfRule>
    <cfRule type="cellIs" dxfId="1474" priority="376" stopIfTrue="1" operator="lessThan">
      <formula>'1856'!$J$15</formula>
    </cfRule>
  </conditionalFormatting>
  <conditionalFormatting sqref="K16">
    <cfRule type="cellIs" dxfId="1473" priority="377" stopIfTrue="1" operator="equal">
      <formula>'1856'!$J$16</formula>
    </cfRule>
    <cfRule type="cellIs" dxfId="1472" priority="378" stopIfTrue="1" operator="lessThan">
      <formula>'1856'!$J$16</formula>
    </cfRule>
  </conditionalFormatting>
  <conditionalFormatting sqref="K17">
    <cfRule type="cellIs" dxfId="1471" priority="379" stopIfTrue="1" operator="equal">
      <formula>'1856'!$J$17</formula>
    </cfRule>
    <cfRule type="cellIs" dxfId="1470" priority="380" stopIfTrue="1" operator="lessThan">
      <formula>'1856'!$J$17</formula>
    </cfRule>
  </conditionalFormatting>
  <conditionalFormatting sqref="K18">
    <cfRule type="cellIs" dxfId="1469" priority="381" stopIfTrue="1" operator="equal">
      <formula>'1856'!$J$18</formula>
    </cfRule>
    <cfRule type="cellIs" dxfId="1468" priority="382" stopIfTrue="1" operator="lessThan">
      <formula>'1856'!$J$18</formula>
    </cfRule>
  </conditionalFormatting>
  <conditionalFormatting sqref="K19">
    <cfRule type="cellIs" dxfId="1467" priority="383" stopIfTrue="1" operator="equal">
      <formula>'1856'!$J$19</formula>
    </cfRule>
    <cfRule type="cellIs" dxfId="1466" priority="384" stopIfTrue="1" operator="lessThan">
      <formula>'1856'!$J$19</formula>
    </cfRule>
  </conditionalFormatting>
  <conditionalFormatting sqref="K20">
    <cfRule type="cellIs" dxfId="1465" priority="385" stopIfTrue="1" operator="equal">
      <formula>'1856'!$J$20</formula>
    </cfRule>
    <cfRule type="cellIs" dxfId="1464" priority="386" stopIfTrue="1" operator="lessThan">
      <formula>'1856'!$J$20</formula>
    </cfRule>
  </conditionalFormatting>
  <conditionalFormatting sqref="K21">
    <cfRule type="cellIs" dxfId="1463" priority="387" stopIfTrue="1" operator="equal">
      <formula>'1856'!$J$21</formula>
    </cfRule>
    <cfRule type="cellIs" dxfId="1462" priority="388" stopIfTrue="1" operator="lessThan">
      <formula>'1856'!$J$21</formula>
    </cfRule>
  </conditionalFormatting>
  <conditionalFormatting sqref="K22">
    <cfRule type="cellIs" dxfId="1461" priority="389" stopIfTrue="1" operator="equal">
      <formula>'1856'!$J$22</formula>
    </cfRule>
    <cfRule type="cellIs" dxfId="1460" priority="390" stopIfTrue="1" operator="lessThan">
      <formula>'1856'!$J$22</formula>
    </cfRule>
  </conditionalFormatting>
  <conditionalFormatting sqref="K23">
    <cfRule type="cellIs" dxfId="1459" priority="391" stopIfTrue="1" operator="equal">
      <formula>'1856'!$J$23</formula>
    </cfRule>
    <cfRule type="cellIs" dxfId="1458" priority="392" stopIfTrue="1" operator="lessThan">
      <formula>'1856'!$J$23</formula>
    </cfRule>
  </conditionalFormatting>
  <conditionalFormatting sqref="K24">
    <cfRule type="cellIs" dxfId="1457" priority="393" stopIfTrue="1" operator="equal">
      <formula>'1856'!$J$24</formula>
    </cfRule>
    <cfRule type="cellIs" dxfId="1456" priority="394" stopIfTrue="1" operator="lessThan">
      <formula>'1856'!$J$24</formula>
    </cfRule>
  </conditionalFormatting>
  <conditionalFormatting sqref="K25">
    <cfRule type="cellIs" dxfId="1455" priority="395" stopIfTrue="1" operator="equal">
      <formula>'1856'!$J$25</formula>
    </cfRule>
    <cfRule type="cellIs" dxfId="1454" priority="396" stopIfTrue="1" operator="lessThan">
      <formula>'1856'!$J$25</formula>
    </cfRule>
  </conditionalFormatting>
  <conditionalFormatting sqref="K26">
    <cfRule type="cellIs" dxfId="1453" priority="397" stopIfTrue="1" operator="equal">
      <formula>'1856'!$J$26</formula>
    </cfRule>
    <cfRule type="cellIs" dxfId="1452" priority="398" stopIfTrue="1" operator="lessThan">
      <formula>'1856'!$J$26</formula>
    </cfRule>
  </conditionalFormatting>
  <conditionalFormatting sqref="K27">
    <cfRule type="cellIs" dxfId="1451" priority="399" stopIfTrue="1" operator="equal">
      <formula>'1856'!$J$27</formula>
    </cfRule>
    <cfRule type="cellIs" dxfId="1450" priority="400" stopIfTrue="1" operator="lessThan">
      <formula>'1856'!$J$27</formula>
    </cfRule>
  </conditionalFormatting>
  <conditionalFormatting sqref="K28">
    <cfRule type="cellIs" dxfId="1449" priority="401" stopIfTrue="1" operator="lessThan">
      <formula>'1856'!$J$28</formula>
    </cfRule>
    <cfRule type="cellIs" dxfId="1448" priority="402" stopIfTrue="1" operator="equal">
      <formula>'1856'!$J$28</formula>
    </cfRule>
  </conditionalFormatting>
  <conditionalFormatting sqref="L4:M4">
    <cfRule type="cellIs" dxfId="1447" priority="403" stopIfTrue="1" operator="equal">
      <formula>'1856'!$K$4</formula>
    </cfRule>
    <cfRule type="cellIs" dxfId="1446" priority="404" stopIfTrue="1" operator="lessThan">
      <formula>'1856'!$K$4</formula>
    </cfRule>
  </conditionalFormatting>
  <conditionalFormatting sqref="L5:M5">
    <cfRule type="cellIs" dxfId="1445" priority="405" stopIfTrue="1" operator="equal">
      <formula>'1856'!$K$5</formula>
    </cfRule>
    <cfRule type="cellIs" dxfId="1444" priority="406" stopIfTrue="1" operator="lessThan">
      <formula>'1856'!$K$5</formula>
    </cfRule>
  </conditionalFormatting>
  <conditionalFormatting sqref="L6:M6">
    <cfRule type="cellIs" dxfId="1443" priority="407" stopIfTrue="1" operator="equal">
      <formula>'1856'!$K$6</formula>
    </cfRule>
    <cfRule type="cellIs" dxfId="1442" priority="408" stopIfTrue="1" operator="lessThan">
      <formula>'1856'!$K$6</formula>
    </cfRule>
  </conditionalFormatting>
  <conditionalFormatting sqref="L7:M7">
    <cfRule type="cellIs" dxfId="1441" priority="409" stopIfTrue="1" operator="equal">
      <formula>'1856'!$K$7</formula>
    </cfRule>
    <cfRule type="cellIs" dxfId="1440" priority="410" stopIfTrue="1" operator="lessThan">
      <formula>'1856'!$K$7</formula>
    </cfRule>
  </conditionalFormatting>
  <conditionalFormatting sqref="L8:M8">
    <cfRule type="cellIs" dxfId="1439" priority="411" stopIfTrue="1" operator="equal">
      <formula>'1856'!$K$8</formula>
    </cfRule>
    <cfRule type="cellIs" dxfId="1438" priority="412" stopIfTrue="1" operator="lessThan">
      <formula>'1856'!$K$8</formula>
    </cfRule>
  </conditionalFormatting>
  <conditionalFormatting sqref="L9:M9">
    <cfRule type="cellIs" dxfId="1437" priority="413" stopIfTrue="1" operator="equal">
      <formula>'1856'!$K$9</formula>
    </cfRule>
    <cfRule type="cellIs" dxfId="1436" priority="414" stopIfTrue="1" operator="lessThan">
      <formula>'1856'!$K$9</formula>
    </cfRule>
  </conditionalFormatting>
  <conditionalFormatting sqref="L10:M10">
    <cfRule type="cellIs" dxfId="1435" priority="415" stopIfTrue="1" operator="equal">
      <formula>'1856'!$K$10</formula>
    </cfRule>
    <cfRule type="cellIs" dxfId="1434" priority="416" stopIfTrue="1" operator="lessThan">
      <formula>'1856'!$K$10</formula>
    </cfRule>
  </conditionalFormatting>
  <conditionalFormatting sqref="L12:M12">
    <cfRule type="cellIs" dxfId="1433" priority="417" stopIfTrue="1" operator="equal">
      <formula>'1856'!$K$12</formula>
    </cfRule>
    <cfRule type="cellIs" dxfId="1432" priority="418" stopIfTrue="1" operator="lessThan">
      <formula>'1856'!$K$12</formula>
    </cfRule>
  </conditionalFormatting>
  <conditionalFormatting sqref="L13:M13">
    <cfRule type="cellIs" dxfId="1431" priority="419" stopIfTrue="1" operator="equal">
      <formula>'1856'!$K$13</formula>
    </cfRule>
    <cfRule type="cellIs" dxfId="1430" priority="420" stopIfTrue="1" operator="lessThan">
      <formula>'1856'!$K$13</formula>
    </cfRule>
  </conditionalFormatting>
  <conditionalFormatting sqref="L14:M14">
    <cfRule type="cellIs" dxfId="1429" priority="421" stopIfTrue="1" operator="equal">
      <formula>'1856'!$K$14</formula>
    </cfRule>
    <cfRule type="cellIs" dxfId="1428" priority="422" stopIfTrue="1" operator="lessThan">
      <formula>'1856'!$K$14</formula>
    </cfRule>
  </conditionalFormatting>
  <conditionalFormatting sqref="L15:M15">
    <cfRule type="cellIs" dxfId="1427" priority="423" stopIfTrue="1" operator="equal">
      <formula>'1856'!$K$15</formula>
    </cfRule>
    <cfRule type="cellIs" dxfId="1426" priority="424" stopIfTrue="1" operator="lessThan">
      <formula>'1856'!$K$15</formula>
    </cfRule>
  </conditionalFormatting>
  <conditionalFormatting sqref="L16:M16">
    <cfRule type="cellIs" dxfId="1425" priority="425" stopIfTrue="1" operator="equal">
      <formula>'1856'!$K$16</formula>
    </cfRule>
    <cfRule type="cellIs" dxfId="1424" priority="426" stopIfTrue="1" operator="lessThan">
      <formula>'1856'!$K$16</formula>
    </cfRule>
  </conditionalFormatting>
  <conditionalFormatting sqref="L17:M17">
    <cfRule type="cellIs" dxfId="1423" priority="427" stopIfTrue="1" operator="equal">
      <formula>'1856'!$K$17</formula>
    </cfRule>
    <cfRule type="cellIs" dxfId="1422" priority="428" stopIfTrue="1" operator="lessThan">
      <formula>'1856'!$K$17</formula>
    </cfRule>
  </conditionalFormatting>
  <conditionalFormatting sqref="L18:M18">
    <cfRule type="cellIs" dxfId="1421" priority="429" stopIfTrue="1" operator="equal">
      <formula>'1856'!$K$18</formula>
    </cfRule>
    <cfRule type="cellIs" dxfId="1420" priority="430" stopIfTrue="1" operator="lessThan">
      <formula>'1856'!$K$18</formula>
    </cfRule>
  </conditionalFormatting>
  <conditionalFormatting sqref="L19:M19">
    <cfRule type="cellIs" dxfId="1419" priority="431" stopIfTrue="1" operator="equal">
      <formula>'1856'!$K$19</formula>
    </cfRule>
    <cfRule type="cellIs" dxfId="1418" priority="432" stopIfTrue="1" operator="lessThan">
      <formula>'1856'!$K$19</formula>
    </cfRule>
  </conditionalFormatting>
  <conditionalFormatting sqref="L20:M20">
    <cfRule type="cellIs" dxfId="1417" priority="433" stopIfTrue="1" operator="equal">
      <formula>'1856'!$K$20</formula>
    </cfRule>
    <cfRule type="cellIs" dxfId="1416" priority="434" stopIfTrue="1" operator="lessThan">
      <formula>'1856'!$K$20</formula>
    </cfRule>
  </conditionalFormatting>
  <conditionalFormatting sqref="L21:M21">
    <cfRule type="cellIs" dxfId="1415" priority="435" stopIfTrue="1" operator="equal">
      <formula>'1856'!$K$21</formula>
    </cfRule>
    <cfRule type="cellIs" dxfId="1414" priority="436" stopIfTrue="1" operator="lessThan">
      <formula>'1856'!$K$21</formula>
    </cfRule>
  </conditionalFormatting>
  <conditionalFormatting sqref="L11:M11">
    <cfRule type="cellIs" dxfId="1413" priority="437" stopIfTrue="1" operator="equal">
      <formula>'1856'!$K$11</formula>
    </cfRule>
    <cfRule type="cellIs" dxfId="1412" priority="438" stopIfTrue="1" operator="lessThan">
      <formula>'1856'!$K$11</formula>
    </cfRule>
  </conditionalFormatting>
  <conditionalFormatting sqref="L22:M22">
    <cfRule type="cellIs" dxfId="1411" priority="439" stopIfTrue="1" operator="equal">
      <formula>'1856'!$K$22</formula>
    </cfRule>
    <cfRule type="cellIs" dxfId="1410" priority="440" stopIfTrue="1" operator="lessThan">
      <formula>'1856'!$K$22</formula>
    </cfRule>
  </conditionalFormatting>
  <conditionalFormatting sqref="L23:M23">
    <cfRule type="cellIs" dxfId="1409" priority="441" stopIfTrue="1" operator="equal">
      <formula>'1856'!$K$23</formula>
    </cfRule>
    <cfRule type="cellIs" dxfId="1408" priority="442" stopIfTrue="1" operator="lessThan">
      <formula>'1856'!$K$23</formula>
    </cfRule>
  </conditionalFormatting>
  <conditionalFormatting sqref="L24:M24">
    <cfRule type="cellIs" dxfId="1407" priority="443" stopIfTrue="1" operator="equal">
      <formula>'1856'!$K$24</formula>
    </cfRule>
    <cfRule type="cellIs" dxfId="1406" priority="444" stopIfTrue="1" operator="lessThan">
      <formula>'1856'!$K$24</formula>
    </cfRule>
  </conditionalFormatting>
  <conditionalFormatting sqref="L25:M25">
    <cfRule type="cellIs" dxfId="1405" priority="445" stopIfTrue="1" operator="equal">
      <formula>'1856'!$K$25</formula>
    </cfRule>
    <cfRule type="cellIs" dxfId="1404" priority="446" stopIfTrue="1" operator="lessThan">
      <formula>'1856'!$K$25</formula>
    </cfRule>
  </conditionalFormatting>
  <conditionalFormatting sqref="L26:M26">
    <cfRule type="cellIs" dxfId="1403" priority="447" stopIfTrue="1" operator="equal">
      <formula>'1856'!$K$26</formula>
    </cfRule>
    <cfRule type="cellIs" dxfId="1402" priority="448" stopIfTrue="1" operator="lessThan">
      <formula>'1856'!$K$26</formula>
    </cfRule>
  </conditionalFormatting>
  <conditionalFormatting sqref="L27:M27">
    <cfRule type="cellIs" dxfId="1401" priority="449" stopIfTrue="1" operator="equal">
      <formula>'1856'!$K$27</formula>
    </cfRule>
    <cfRule type="cellIs" dxfId="1400" priority="450" stopIfTrue="1" operator="lessThan">
      <formula>'1856'!$K$27</formula>
    </cfRule>
  </conditionalFormatting>
  <conditionalFormatting sqref="L28:M28">
    <cfRule type="cellIs" dxfId="1399" priority="451" stopIfTrue="1" operator="equal">
      <formula>'1856'!$K$28</formula>
    </cfRule>
    <cfRule type="cellIs" dxfId="1398" priority="452" stopIfTrue="1" operator="lessThan">
      <formula>'1856'!$K$28</formula>
    </cfRule>
  </conditionalFormatting>
  <conditionalFormatting sqref="N4">
    <cfRule type="cellIs" dxfId="1397" priority="453" stopIfTrue="1" operator="lessThan">
      <formula>'1856'!$L$4</formula>
    </cfRule>
    <cfRule type="cellIs" dxfId="1396" priority="454" stopIfTrue="1" operator="equal">
      <formula>'1856'!$L$4</formula>
    </cfRule>
  </conditionalFormatting>
  <conditionalFormatting sqref="N5">
    <cfRule type="cellIs" dxfId="1395" priority="455" stopIfTrue="1" operator="equal">
      <formula>'1856'!$L$5</formula>
    </cfRule>
    <cfRule type="cellIs" dxfId="1394" priority="456" stopIfTrue="1" operator="lessThan">
      <formula>'1856'!$L$5</formula>
    </cfRule>
  </conditionalFormatting>
  <conditionalFormatting sqref="N6">
    <cfRule type="cellIs" dxfId="1393" priority="457" stopIfTrue="1" operator="equal">
      <formula>'1856'!$L$6</formula>
    </cfRule>
    <cfRule type="cellIs" dxfId="1392" priority="458" stopIfTrue="1" operator="lessThan">
      <formula>'1856'!$L$6</formula>
    </cfRule>
  </conditionalFormatting>
  <conditionalFormatting sqref="N7">
    <cfRule type="cellIs" dxfId="1391" priority="459" stopIfTrue="1" operator="equal">
      <formula>'1856'!$L$7</formula>
    </cfRule>
    <cfRule type="cellIs" dxfId="1390" priority="460" stopIfTrue="1" operator="lessThan">
      <formula>'1856'!$L$7</formula>
    </cfRule>
  </conditionalFormatting>
  <conditionalFormatting sqref="N8">
    <cfRule type="cellIs" dxfId="1389" priority="461" stopIfTrue="1" operator="equal">
      <formula>'1856'!$L$8</formula>
    </cfRule>
    <cfRule type="cellIs" dxfId="1388" priority="462" stopIfTrue="1" operator="lessThan">
      <formula>'1856'!$L$8</formula>
    </cfRule>
  </conditionalFormatting>
  <conditionalFormatting sqref="N9">
    <cfRule type="cellIs" dxfId="1387" priority="463" stopIfTrue="1" operator="equal">
      <formula>'1856'!$L$9</formula>
    </cfRule>
    <cfRule type="cellIs" dxfId="1386" priority="464" stopIfTrue="1" operator="lessThan">
      <formula>'1856'!$L$9</formula>
    </cfRule>
  </conditionalFormatting>
  <conditionalFormatting sqref="N10">
    <cfRule type="cellIs" dxfId="1385" priority="465" stopIfTrue="1" operator="equal">
      <formula>'1856'!$L$10</formula>
    </cfRule>
    <cfRule type="cellIs" dxfId="1384" priority="466" stopIfTrue="1" operator="lessThan">
      <formula>'1856'!$L$10</formula>
    </cfRule>
  </conditionalFormatting>
  <conditionalFormatting sqref="N11">
    <cfRule type="cellIs" dxfId="1383" priority="467" stopIfTrue="1" operator="equal">
      <formula>'1856'!$L$11</formula>
    </cfRule>
    <cfRule type="cellIs" dxfId="1382" priority="468" stopIfTrue="1" operator="lessThan">
      <formula>'1856'!$L$11</formula>
    </cfRule>
  </conditionalFormatting>
  <conditionalFormatting sqref="N12">
    <cfRule type="cellIs" dxfId="1381" priority="469" stopIfTrue="1" operator="equal">
      <formula>'1856'!$L$12</formula>
    </cfRule>
    <cfRule type="cellIs" dxfId="1380" priority="470" stopIfTrue="1" operator="lessThan">
      <formula>'1856'!$L$12</formula>
    </cfRule>
  </conditionalFormatting>
  <conditionalFormatting sqref="N13">
    <cfRule type="cellIs" dxfId="1379" priority="471" stopIfTrue="1" operator="equal">
      <formula>'1856'!$L$13</formula>
    </cfRule>
    <cfRule type="cellIs" dxfId="1378" priority="472" stopIfTrue="1" operator="lessThan">
      <formula>'1856'!$L$13</formula>
    </cfRule>
  </conditionalFormatting>
  <conditionalFormatting sqref="N14">
    <cfRule type="cellIs" dxfId="1377" priority="473" stopIfTrue="1" operator="equal">
      <formula>'1856'!$L$14</formula>
    </cfRule>
    <cfRule type="cellIs" dxfId="1376" priority="474" stopIfTrue="1" operator="lessThan">
      <formula>'1856'!$L$14</formula>
    </cfRule>
  </conditionalFormatting>
  <conditionalFormatting sqref="N15">
    <cfRule type="cellIs" dxfId="1375" priority="475" stopIfTrue="1" operator="equal">
      <formula>'1856'!$L$15</formula>
    </cfRule>
    <cfRule type="cellIs" dxfId="1374" priority="476" stopIfTrue="1" operator="lessThan">
      <formula>'1856'!$L$15</formula>
    </cfRule>
  </conditionalFormatting>
  <conditionalFormatting sqref="N16">
    <cfRule type="cellIs" dxfId="1373" priority="477" stopIfTrue="1" operator="equal">
      <formula>'1856'!$L$16</formula>
    </cfRule>
    <cfRule type="cellIs" dxfId="1372" priority="478" stopIfTrue="1" operator="lessThan">
      <formula>'1856'!$L$16</formula>
    </cfRule>
  </conditionalFormatting>
  <conditionalFormatting sqref="N17">
    <cfRule type="cellIs" dxfId="1371" priority="479" stopIfTrue="1" operator="equal">
      <formula>'1856'!$L$17</formula>
    </cfRule>
    <cfRule type="cellIs" dxfId="1370" priority="480" stopIfTrue="1" operator="lessThan">
      <formula>'1856'!$L$17</formula>
    </cfRule>
  </conditionalFormatting>
  <conditionalFormatting sqref="N18">
    <cfRule type="cellIs" dxfId="1369" priority="481" stopIfTrue="1" operator="equal">
      <formula>'1856'!$L$18</formula>
    </cfRule>
    <cfRule type="cellIs" dxfId="1368" priority="482" stopIfTrue="1" operator="lessThan">
      <formula>'1856'!$L$18</formula>
    </cfRule>
  </conditionalFormatting>
  <conditionalFormatting sqref="N19">
    <cfRule type="cellIs" dxfId="1367" priority="483" stopIfTrue="1" operator="equal">
      <formula>'1856'!$L$19</formula>
    </cfRule>
    <cfRule type="cellIs" dxfId="1366" priority="484" stopIfTrue="1" operator="lessThan">
      <formula>'1856'!$L$19</formula>
    </cfRule>
  </conditionalFormatting>
  <conditionalFormatting sqref="N20">
    <cfRule type="cellIs" dxfId="1365" priority="485" stopIfTrue="1" operator="equal">
      <formula>'1856'!$L$20</formula>
    </cfRule>
    <cfRule type="cellIs" dxfId="1364" priority="486" stopIfTrue="1" operator="lessThan">
      <formula>'1856'!$L$20</formula>
    </cfRule>
  </conditionalFormatting>
  <conditionalFormatting sqref="N21">
    <cfRule type="cellIs" dxfId="1363" priority="487" stopIfTrue="1" operator="equal">
      <formula>'1856'!$L$21</formula>
    </cfRule>
    <cfRule type="cellIs" dxfId="1362" priority="488" stopIfTrue="1" operator="lessThan">
      <formula>'1856'!$L$21</formula>
    </cfRule>
  </conditionalFormatting>
  <conditionalFormatting sqref="N22">
    <cfRule type="cellIs" dxfId="1361" priority="489" stopIfTrue="1" operator="equal">
      <formula>'1856'!$L$22</formula>
    </cfRule>
    <cfRule type="cellIs" dxfId="1360" priority="490" stopIfTrue="1" operator="lessThan">
      <formula>'1856'!$L$22</formula>
    </cfRule>
  </conditionalFormatting>
  <conditionalFormatting sqref="N23">
    <cfRule type="cellIs" dxfId="1359" priority="491" stopIfTrue="1" operator="equal">
      <formula>'1856'!$L$23</formula>
    </cfRule>
    <cfRule type="cellIs" dxfId="1358" priority="492" stopIfTrue="1" operator="lessThan">
      <formula>'1856'!$L$23</formula>
    </cfRule>
  </conditionalFormatting>
  <conditionalFormatting sqref="N24">
    <cfRule type="cellIs" dxfId="1357" priority="493" stopIfTrue="1" operator="equal">
      <formula>'1856'!$L$24</formula>
    </cfRule>
    <cfRule type="cellIs" dxfId="1356" priority="494" stopIfTrue="1" operator="lessThan">
      <formula>'1856'!$L$24</formula>
    </cfRule>
  </conditionalFormatting>
  <conditionalFormatting sqref="N25">
    <cfRule type="cellIs" dxfId="1355" priority="495" stopIfTrue="1" operator="equal">
      <formula>'1856'!$L$25</formula>
    </cfRule>
    <cfRule type="cellIs" dxfId="1354" priority="496" stopIfTrue="1" operator="lessThan">
      <formula>'1856'!$L$25</formula>
    </cfRule>
  </conditionalFormatting>
  <conditionalFormatting sqref="N26">
    <cfRule type="cellIs" dxfId="1353" priority="497" stopIfTrue="1" operator="equal">
      <formula>'1856'!$L$26</formula>
    </cfRule>
    <cfRule type="cellIs" dxfId="1352" priority="498" stopIfTrue="1" operator="lessThan">
      <formula>'1856'!$L$26</formula>
    </cfRule>
  </conditionalFormatting>
  <conditionalFormatting sqref="N27">
    <cfRule type="cellIs" dxfId="1351" priority="499" stopIfTrue="1" operator="equal">
      <formula>'1856'!$L$27</formula>
    </cfRule>
    <cfRule type="cellIs" dxfId="1350" priority="500" stopIfTrue="1" operator="lessThan">
      <formula>'1856'!$L$27</formula>
    </cfRule>
  </conditionalFormatting>
  <conditionalFormatting sqref="N28">
    <cfRule type="cellIs" dxfId="1349" priority="501" stopIfTrue="1" operator="equal">
      <formula>'1856'!$L$28</formula>
    </cfRule>
    <cfRule type="cellIs" dxfId="1348" priority="502" stopIfTrue="1" operator="lessThan">
      <formula>'1856'!$L$28</formula>
    </cfRule>
  </conditionalFormatting>
  <conditionalFormatting sqref="O4:Q4">
    <cfRule type="cellIs" dxfId="1347" priority="503" stopIfTrue="1" operator="equal">
      <formula>'1856'!$M$4</formula>
    </cfRule>
    <cfRule type="cellIs" dxfId="1346" priority="504" stopIfTrue="1" operator="lessThan">
      <formula>'1856'!$M$4</formula>
    </cfRule>
  </conditionalFormatting>
  <conditionalFormatting sqref="O5:Q5">
    <cfRule type="cellIs" dxfId="1345" priority="505" stopIfTrue="1" operator="equal">
      <formula>'1856'!$M$5</formula>
    </cfRule>
    <cfRule type="cellIs" dxfId="1344" priority="506" stopIfTrue="1" operator="lessThan">
      <formula>'1856'!$M$5</formula>
    </cfRule>
  </conditionalFormatting>
  <conditionalFormatting sqref="O6:Q6">
    <cfRule type="cellIs" dxfId="1343" priority="507" stopIfTrue="1" operator="equal">
      <formula>'1856'!$M$6</formula>
    </cfRule>
    <cfRule type="cellIs" dxfId="1342" priority="508" stopIfTrue="1" operator="lessThan">
      <formula>'1856'!$M$6</formula>
    </cfRule>
  </conditionalFormatting>
  <conditionalFormatting sqref="O7:Q7">
    <cfRule type="cellIs" dxfId="1341" priority="509" stopIfTrue="1" operator="equal">
      <formula>'1856'!$M$7</formula>
    </cfRule>
    <cfRule type="cellIs" dxfId="1340" priority="510" stopIfTrue="1" operator="lessThan">
      <formula>'1856'!$M$7</formula>
    </cfRule>
  </conditionalFormatting>
  <conditionalFormatting sqref="O8:Q8">
    <cfRule type="cellIs" dxfId="1339" priority="511" stopIfTrue="1" operator="equal">
      <formula>'1856'!$M$8</formula>
    </cfRule>
    <cfRule type="cellIs" dxfId="1338" priority="512" stopIfTrue="1" operator="lessThan">
      <formula>'1856'!$M$8</formula>
    </cfRule>
  </conditionalFormatting>
  <conditionalFormatting sqref="O9:Q9">
    <cfRule type="cellIs" dxfId="1337" priority="513" stopIfTrue="1" operator="equal">
      <formula>'1856'!$M$9</formula>
    </cfRule>
    <cfRule type="cellIs" dxfId="1336" priority="514" stopIfTrue="1" operator="lessThan">
      <formula>'1856'!$M$9</formula>
    </cfRule>
  </conditionalFormatting>
  <conditionalFormatting sqref="O10:Q10">
    <cfRule type="cellIs" dxfId="1335" priority="515" stopIfTrue="1" operator="equal">
      <formula>'1856'!$M$10</formula>
    </cfRule>
    <cfRule type="cellIs" dxfId="1334" priority="516" stopIfTrue="1" operator="lessThan">
      <formula>'1856'!$M$10</formula>
    </cfRule>
  </conditionalFormatting>
  <conditionalFormatting sqref="O11:Q11">
    <cfRule type="cellIs" dxfId="1333" priority="517" stopIfTrue="1" operator="equal">
      <formula>'1856'!$M$11</formula>
    </cfRule>
    <cfRule type="cellIs" dxfId="1332" priority="518" stopIfTrue="1" operator="lessThan">
      <formula>'1856'!$M$11</formula>
    </cfRule>
  </conditionalFormatting>
  <conditionalFormatting sqref="O12:Q12">
    <cfRule type="cellIs" dxfId="1331" priority="519" stopIfTrue="1" operator="equal">
      <formula>'1856'!$M$12</formula>
    </cfRule>
    <cfRule type="cellIs" dxfId="1330" priority="520" stopIfTrue="1" operator="lessThan">
      <formula>'1856'!$M$12</formula>
    </cfRule>
  </conditionalFormatting>
  <conditionalFormatting sqref="O13:Q13">
    <cfRule type="cellIs" dxfId="1329" priority="521" stopIfTrue="1" operator="equal">
      <formula>'1856'!$M$13</formula>
    </cfRule>
    <cfRule type="cellIs" dxfId="1328" priority="522" stopIfTrue="1" operator="lessThan">
      <formula>'1856'!$M$13</formula>
    </cfRule>
  </conditionalFormatting>
  <conditionalFormatting sqref="O14:Q14">
    <cfRule type="cellIs" dxfId="1327" priority="523" stopIfTrue="1" operator="equal">
      <formula>'1856'!$M$14</formula>
    </cfRule>
    <cfRule type="cellIs" dxfId="1326" priority="524" stopIfTrue="1" operator="lessThan">
      <formula>'1856'!$M$14</formula>
    </cfRule>
  </conditionalFormatting>
  <conditionalFormatting sqref="O15:Q15">
    <cfRule type="cellIs" dxfId="1325" priority="525" stopIfTrue="1" operator="equal">
      <formula>'1856'!$M$15</formula>
    </cfRule>
    <cfRule type="cellIs" dxfId="1324" priority="526" stopIfTrue="1" operator="lessThan">
      <formula>'1856'!$M$15</formula>
    </cfRule>
  </conditionalFormatting>
  <conditionalFormatting sqref="O16:Q16">
    <cfRule type="cellIs" dxfId="1323" priority="527" stopIfTrue="1" operator="equal">
      <formula>'1856'!$M$16</formula>
    </cfRule>
    <cfRule type="cellIs" dxfId="1322" priority="528" stopIfTrue="1" operator="lessThan">
      <formula>'1856'!$M$16</formula>
    </cfRule>
  </conditionalFormatting>
  <conditionalFormatting sqref="O17:Q17">
    <cfRule type="cellIs" dxfId="1321" priority="529" stopIfTrue="1" operator="equal">
      <formula>'1856'!$M$17</formula>
    </cfRule>
    <cfRule type="cellIs" dxfId="1320" priority="530" stopIfTrue="1" operator="lessThan">
      <formula>'1856'!$M$17</formula>
    </cfRule>
  </conditionalFormatting>
  <conditionalFormatting sqref="O18:Q18">
    <cfRule type="cellIs" dxfId="1319" priority="531" stopIfTrue="1" operator="equal">
      <formula>'1856'!$M$18</formula>
    </cfRule>
    <cfRule type="cellIs" dxfId="1318" priority="532" stopIfTrue="1" operator="lessThan">
      <formula>'1856'!$M$18</formula>
    </cfRule>
  </conditionalFormatting>
  <conditionalFormatting sqref="O19:Q19">
    <cfRule type="cellIs" dxfId="1317" priority="533" stopIfTrue="1" operator="equal">
      <formula>'1856'!$M$19</formula>
    </cfRule>
    <cfRule type="cellIs" dxfId="1316" priority="534" stopIfTrue="1" operator="lessThan">
      <formula>'1856'!$M$19</formula>
    </cfRule>
  </conditionalFormatting>
  <conditionalFormatting sqref="O20:Q20">
    <cfRule type="cellIs" dxfId="1315" priority="535" stopIfTrue="1" operator="equal">
      <formula>'1856'!$M$20</formula>
    </cfRule>
    <cfRule type="cellIs" dxfId="1314" priority="536" stopIfTrue="1" operator="lessThan">
      <formula>'1856'!$M$20</formula>
    </cfRule>
  </conditionalFormatting>
  <conditionalFormatting sqref="O21:Q21">
    <cfRule type="cellIs" dxfId="1313" priority="537" stopIfTrue="1" operator="equal">
      <formula>'1856'!$M$21</formula>
    </cfRule>
    <cfRule type="cellIs" dxfId="1312" priority="538" stopIfTrue="1" operator="lessThan">
      <formula>'1856'!$M$21</formula>
    </cfRule>
  </conditionalFormatting>
  <conditionalFormatting sqref="O22:Q22">
    <cfRule type="cellIs" dxfId="1311" priority="539" stopIfTrue="1" operator="equal">
      <formula>'1856'!$M$22</formula>
    </cfRule>
    <cfRule type="cellIs" dxfId="1310" priority="540" stopIfTrue="1" operator="lessThan">
      <formula>'1856'!$M$22</formula>
    </cfRule>
  </conditionalFormatting>
  <conditionalFormatting sqref="O23:Q23">
    <cfRule type="cellIs" dxfId="1309" priority="541" stopIfTrue="1" operator="equal">
      <formula>'1856'!$M$23</formula>
    </cfRule>
    <cfRule type="cellIs" dxfId="1308" priority="542" stopIfTrue="1" operator="lessThan">
      <formula>'1856'!$M$23</formula>
    </cfRule>
  </conditionalFormatting>
  <conditionalFormatting sqref="O24:Q24">
    <cfRule type="cellIs" dxfId="1307" priority="543" stopIfTrue="1" operator="equal">
      <formula>'1856'!$M$24</formula>
    </cfRule>
    <cfRule type="cellIs" dxfId="1306" priority="544" stopIfTrue="1" operator="lessThan">
      <formula>'1856'!$M$24</formula>
    </cfRule>
  </conditionalFormatting>
  <conditionalFormatting sqref="O25:Q25">
    <cfRule type="cellIs" dxfId="1305" priority="545" stopIfTrue="1" operator="equal">
      <formula>'1856'!$M$25</formula>
    </cfRule>
    <cfRule type="cellIs" dxfId="1304" priority="546" stopIfTrue="1" operator="lessThan">
      <formula>'1856'!$M$25</formula>
    </cfRule>
  </conditionalFormatting>
  <conditionalFormatting sqref="O26:Q26">
    <cfRule type="cellIs" dxfId="1303" priority="547" stopIfTrue="1" operator="equal">
      <formula>'1856'!$M$26</formula>
    </cfRule>
    <cfRule type="cellIs" dxfId="1302" priority="548" stopIfTrue="1" operator="lessThan">
      <formula>'1856'!$M$26</formula>
    </cfRule>
  </conditionalFormatting>
  <conditionalFormatting sqref="O27:Q27">
    <cfRule type="cellIs" dxfId="1301" priority="549" stopIfTrue="1" operator="equal">
      <formula>'1856'!$M$27</formula>
    </cfRule>
    <cfRule type="cellIs" dxfId="1300" priority="550" stopIfTrue="1" operator="lessThan">
      <formula>'1856'!$M$27</formula>
    </cfRule>
  </conditionalFormatting>
  <conditionalFormatting sqref="O28:Q28">
    <cfRule type="cellIs" dxfId="1299" priority="551" stopIfTrue="1" operator="equal">
      <formula>'1856'!$M$28</formula>
    </cfRule>
    <cfRule type="cellIs" dxfId="1298" priority="552" stopIfTrue="1" operator="lessThan">
      <formula>'1856'!$M$28</formula>
    </cfRule>
  </conditionalFormatting>
  <conditionalFormatting sqref="R4">
    <cfRule type="cellIs" dxfId="1297" priority="553" stopIfTrue="1" operator="equal">
      <formula>'1856'!$N$4</formula>
    </cfRule>
    <cfRule type="cellIs" dxfId="1296" priority="554" stopIfTrue="1" operator="lessThan">
      <formula>'1856'!$N$4</formula>
    </cfRule>
  </conditionalFormatting>
  <conditionalFormatting sqref="R5">
    <cfRule type="cellIs" dxfId="1295" priority="555" stopIfTrue="1" operator="equal">
      <formula>'1856'!$N$5</formula>
    </cfRule>
    <cfRule type="cellIs" dxfId="1294" priority="556" stopIfTrue="1" operator="lessThan">
      <formula>'1856'!$N$5</formula>
    </cfRule>
  </conditionalFormatting>
  <conditionalFormatting sqref="R6">
    <cfRule type="cellIs" dxfId="1293" priority="557" stopIfTrue="1" operator="equal">
      <formula>'1856'!$N$6</formula>
    </cfRule>
    <cfRule type="cellIs" dxfId="1292" priority="558" stopIfTrue="1" operator="lessThan">
      <formula>'1856'!$N$6</formula>
    </cfRule>
  </conditionalFormatting>
  <conditionalFormatting sqref="R7">
    <cfRule type="cellIs" dxfId="1291" priority="559" stopIfTrue="1" operator="equal">
      <formula>'1856'!$N$7</formula>
    </cfRule>
    <cfRule type="cellIs" dxfId="1290" priority="560" stopIfTrue="1" operator="lessThan">
      <formula>'1856'!$N$7</formula>
    </cfRule>
  </conditionalFormatting>
  <conditionalFormatting sqref="R8">
    <cfRule type="cellIs" dxfId="1289" priority="561" stopIfTrue="1" operator="equal">
      <formula>'1856'!$N$8</formula>
    </cfRule>
    <cfRule type="cellIs" dxfId="1288" priority="562" stopIfTrue="1" operator="lessThan">
      <formula>'1856'!$N$8</formula>
    </cfRule>
  </conditionalFormatting>
  <conditionalFormatting sqref="R9">
    <cfRule type="cellIs" dxfId="1287" priority="563" stopIfTrue="1" operator="equal">
      <formula>'1856'!$N$9</formula>
    </cfRule>
    <cfRule type="cellIs" dxfId="1286" priority="564" stopIfTrue="1" operator="lessThan">
      <formula>'1856'!$N$9</formula>
    </cfRule>
  </conditionalFormatting>
  <conditionalFormatting sqref="R10">
    <cfRule type="cellIs" dxfId="1285" priority="565" stopIfTrue="1" operator="equal">
      <formula>'1856'!$N$10</formula>
    </cfRule>
    <cfRule type="cellIs" dxfId="1284" priority="566" stopIfTrue="1" operator="lessThan">
      <formula>'1856'!$N$10</formula>
    </cfRule>
  </conditionalFormatting>
  <conditionalFormatting sqref="R11">
    <cfRule type="cellIs" dxfId="1283" priority="567" stopIfTrue="1" operator="equal">
      <formula>'1856'!$N$11</formula>
    </cfRule>
    <cfRule type="cellIs" dxfId="1282" priority="568" stopIfTrue="1" operator="lessThan">
      <formula>'1856'!$N$11</formula>
    </cfRule>
  </conditionalFormatting>
  <conditionalFormatting sqref="R12">
    <cfRule type="cellIs" dxfId="1281" priority="569" stopIfTrue="1" operator="equal">
      <formula>'1856'!$N$12</formula>
    </cfRule>
    <cfRule type="cellIs" dxfId="1280" priority="570" stopIfTrue="1" operator="lessThan">
      <formula>'1856'!$N$12</formula>
    </cfRule>
  </conditionalFormatting>
  <conditionalFormatting sqref="R13">
    <cfRule type="cellIs" dxfId="1279" priority="571" stopIfTrue="1" operator="equal">
      <formula>'1856'!$N$13</formula>
    </cfRule>
    <cfRule type="cellIs" dxfId="1278" priority="572" stopIfTrue="1" operator="lessThan">
      <formula>'1856'!$N$13</formula>
    </cfRule>
  </conditionalFormatting>
  <conditionalFormatting sqref="R14">
    <cfRule type="cellIs" dxfId="1277" priority="573" stopIfTrue="1" operator="equal">
      <formula>'1856'!$N$14</formula>
    </cfRule>
    <cfRule type="cellIs" dxfId="1276" priority="574" stopIfTrue="1" operator="lessThan">
      <formula>'1856'!$N$14</formula>
    </cfRule>
  </conditionalFormatting>
  <conditionalFormatting sqref="R15">
    <cfRule type="cellIs" dxfId="1275" priority="575" stopIfTrue="1" operator="equal">
      <formula>'1856'!$N$15</formula>
    </cfRule>
    <cfRule type="cellIs" dxfId="1274" priority="576" stopIfTrue="1" operator="lessThan">
      <formula>'1856'!$N$15</formula>
    </cfRule>
  </conditionalFormatting>
  <conditionalFormatting sqref="R16">
    <cfRule type="cellIs" dxfId="1273" priority="577" stopIfTrue="1" operator="equal">
      <formula>'1856'!$N$16</formula>
    </cfRule>
    <cfRule type="cellIs" dxfId="1272" priority="578" stopIfTrue="1" operator="lessThan">
      <formula>'1856'!$N$16</formula>
    </cfRule>
  </conditionalFormatting>
  <conditionalFormatting sqref="R17">
    <cfRule type="cellIs" dxfId="1271" priority="579" stopIfTrue="1" operator="equal">
      <formula>'1856'!$N$17</formula>
    </cfRule>
    <cfRule type="cellIs" dxfId="1270" priority="580" stopIfTrue="1" operator="lessThan">
      <formula>'1856'!$N$17</formula>
    </cfRule>
  </conditionalFormatting>
  <conditionalFormatting sqref="R18">
    <cfRule type="cellIs" dxfId="1269" priority="581" stopIfTrue="1" operator="equal">
      <formula>'1856'!$N$18</formula>
    </cfRule>
    <cfRule type="cellIs" dxfId="1268" priority="582" stopIfTrue="1" operator="lessThan">
      <formula>'1856'!$N$18</formula>
    </cfRule>
  </conditionalFormatting>
  <conditionalFormatting sqref="R19">
    <cfRule type="cellIs" dxfId="1267" priority="583" stopIfTrue="1" operator="equal">
      <formula>'1856'!$N$19</formula>
    </cfRule>
    <cfRule type="cellIs" dxfId="1266" priority="584" stopIfTrue="1" operator="lessThan">
      <formula>'1856'!$N$19</formula>
    </cfRule>
  </conditionalFormatting>
  <conditionalFormatting sqref="R20">
    <cfRule type="cellIs" dxfId="1265" priority="585" stopIfTrue="1" operator="equal">
      <formula>'1856'!$N$20</formula>
    </cfRule>
    <cfRule type="cellIs" dxfId="1264" priority="586" stopIfTrue="1" operator="lessThan">
      <formula>'1856'!$N$20</formula>
    </cfRule>
  </conditionalFormatting>
  <conditionalFormatting sqref="R21">
    <cfRule type="cellIs" dxfId="1263" priority="587" stopIfTrue="1" operator="equal">
      <formula>'1856'!$N$21</formula>
    </cfRule>
    <cfRule type="cellIs" dxfId="1262" priority="588" stopIfTrue="1" operator="lessThan">
      <formula>'1856'!$N$21</formula>
    </cfRule>
  </conditionalFormatting>
  <conditionalFormatting sqref="R22">
    <cfRule type="cellIs" dxfId="1261" priority="589" stopIfTrue="1" operator="equal">
      <formula>'1856'!$N$22</formula>
    </cfRule>
    <cfRule type="cellIs" dxfId="1260" priority="590" stopIfTrue="1" operator="lessThan">
      <formula>'1856'!$N$22</formula>
    </cfRule>
  </conditionalFormatting>
  <conditionalFormatting sqref="R23">
    <cfRule type="cellIs" dxfId="1259" priority="591" stopIfTrue="1" operator="equal">
      <formula>'1856'!$N$23</formula>
    </cfRule>
    <cfRule type="cellIs" dxfId="1258" priority="592" stopIfTrue="1" operator="lessThan">
      <formula>'1856'!$N$23</formula>
    </cfRule>
  </conditionalFormatting>
  <conditionalFormatting sqref="R24">
    <cfRule type="cellIs" dxfId="1257" priority="593" stopIfTrue="1" operator="equal">
      <formula>'1856'!$N$24</formula>
    </cfRule>
    <cfRule type="cellIs" dxfId="1256" priority="594" stopIfTrue="1" operator="lessThan">
      <formula>'1856'!$N$24</formula>
    </cfRule>
  </conditionalFormatting>
  <conditionalFormatting sqref="R25">
    <cfRule type="cellIs" dxfId="1255" priority="595" stopIfTrue="1" operator="equal">
      <formula>'1856'!$N$25</formula>
    </cfRule>
    <cfRule type="cellIs" dxfId="1254" priority="596" stopIfTrue="1" operator="lessThan">
      <formula>'1856'!$N$25</formula>
    </cfRule>
  </conditionalFormatting>
  <conditionalFormatting sqref="R26">
    <cfRule type="cellIs" dxfId="1253" priority="597" stopIfTrue="1" operator="equal">
      <formula>'1856'!$N$26</formula>
    </cfRule>
    <cfRule type="cellIs" dxfId="1252" priority="598" stopIfTrue="1" operator="lessThan">
      <formula>'1856'!$N$26</formula>
    </cfRule>
  </conditionalFormatting>
  <conditionalFormatting sqref="R27">
    <cfRule type="cellIs" dxfId="1251" priority="599" stopIfTrue="1" operator="equal">
      <formula>'1856'!$N$27</formula>
    </cfRule>
    <cfRule type="cellIs" dxfId="1250" priority="600" stopIfTrue="1" operator="lessThan">
      <formula>'1856'!$N$27</formula>
    </cfRule>
  </conditionalFormatting>
  <conditionalFormatting sqref="R28">
    <cfRule type="cellIs" dxfId="1249" priority="601" stopIfTrue="1" operator="equal">
      <formula>'1856'!$N$28</formula>
    </cfRule>
    <cfRule type="cellIs" dxfId="1248" priority="602" stopIfTrue="1" operator="lessThan">
      <formula>'1856'!$N$28</formula>
    </cfRule>
  </conditionalFormatting>
  <pageMargins left="0.7" right="0.7" top="0.78749999999999998" bottom="0.78749999999999998" header="0.51180555555555551" footer="0.51180555555555551"/>
  <pageSetup paperSize="9" scale="99" firstPageNumber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H33"/>
  <sheetViews>
    <sheetView topLeftCell="O1" workbookViewId="0">
      <selection activeCell="V27" sqref="V27"/>
    </sheetView>
  </sheetViews>
  <sheetFormatPr defaultRowHeight="15"/>
  <cols>
    <col min="1" max="1" width="8.5703125" style="177" customWidth="1"/>
    <col min="2" max="2" width="26.140625" customWidth="1"/>
    <col min="3" max="17" width="10.140625" customWidth="1"/>
    <col min="18" max="18" width="10.5703125" customWidth="1"/>
    <col min="19" max="19" width="11.140625" bestFit="1" customWidth="1"/>
    <col min="20" max="20" width="9.28515625" bestFit="1" customWidth="1"/>
    <col min="22" max="22" width="8.28515625" customWidth="1"/>
  </cols>
  <sheetData>
    <row r="1" spans="1:34" ht="15.75" thickBot="1"/>
    <row r="2" spans="1:34" s="1" customFormat="1" ht="21" customHeight="1" thickBot="1">
      <c r="A2" s="172">
        <v>1857</v>
      </c>
      <c r="B2" s="2"/>
      <c r="C2" s="3">
        <f>'1850'!C2</f>
        <v>43466</v>
      </c>
      <c r="D2" s="3">
        <f>'1850'!D2</f>
        <v>43497</v>
      </c>
      <c r="E2" s="3">
        <f>'1850'!E2</f>
        <v>43526</v>
      </c>
      <c r="F2" s="3">
        <f>'1850'!F2</f>
        <v>43556</v>
      </c>
      <c r="G2" s="3">
        <f>'1850'!G2</f>
        <v>43588</v>
      </c>
      <c r="H2" s="3">
        <f>'1850'!H2</f>
        <v>43620</v>
      </c>
      <c r="I2" s="3">
        <f>'1850'!I2</f>
        <v>43647</v>
      </c>
      <c r="J2" s="3">
        <f>'1850'!J2</f>
        <v>43678</v>
      </c>
      <c r="K2" s="3">
        <f>'1850'!K2</f>
        <v>43679</v>
      </c>
      <c r="L2" s="3">
        <f>'1850'!L2</f>
        <v>43739</v>
      </c>
      <c r="M2" s="221">
        <f>'1850'!M2</f>
        <v>43742</v>
      </c>
      <c r="N2" s="4">
        <f>'1850'!N2</f>
        <v>43770</v>
      </c>
      <c r="O2" s="4">
        <f>'1850'!O2</f>
        <v>43798</v>
      </c>
      <c r="P2" s="246">
        <f>'1850'!P2</f>
        <v>43804</v>
      </c>
      <c r="Q2" s="246">
        <f>'1850'!Q2</f>
        <v>43804</v>
      </c>
      <c r="R2" s="3">
        <f>'1850'!R2</f>
        <v>43831</v>
      </c>
      <c r="S2" s="1" t="s">
        <v>0</v>
      </c>
      <c r="T2" s="1" t="s">
        <v>1</v>
      </c>
      <c r="U2" s="1" t="s">
        <v>180</v>
      </c>
      <c r="W2" s="234"/>
      <c r="X2" s="235"/>
      <c r="Y2" s="235"/>
      <c r="Z2" s="235"/>
      <c r="AA2" s="235" t="s">
        <v>320</v>
      </c>
      <c r="AB2" s="235"/>
      <c r="AC2" s="235"/>
      <c r="AD2" s="235"/>
      <c r="AE2" s="238"/>
      <c r="AF2" s="236"/>
      <c r="AG2" s="236" t="s">
        <v>319</v>
      </c>
      <c r="AH2" s="237"/>
    </row>
    <row r="3" spans="1:34" s="1" customFormat="1" ht="15.75" thickBot="1">
      <c r="A3" s="173" t="s">
        <v>2</v>
      </c>
      <c r="B3" s="6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222" t="s">
        <v>228</v>
      </c>
      <c r="N3" s="5" t="s">
        <v>13</v>
      </c>
      <c r="O3" s="5" t="s">
        <v>14</v>
      </c>
      <c r="P3" s="249" t="s">
        <v>326</v>
      </c>
      <c r="Q3" s="249" t="s">
        <v>228</v>
      </c>
      <c r="R3" s="5" t="s">
        <v>3</v>
      </c>
      <c r="S3" s="1" t="s">
        <v>178</v>
      </c>
      <c r="T3" s="1" t="s">
        <v>177</v>
      </c>
      <c r="U3" s="1" t="s">
        <v>179</v>
      </c>
      <c r="V3" s="1" t="s">
        <v>321</v>
      </c>
      <c r="W3" s="5" t="s">
        <v>4</v>
      </c>
      <c r="X3" s="5" t="s">
        <v>5</v>
      </c>
      <c r="Y3" s="5" t="s">
        <v>6</v>
      </c>
      <c r="Z3" s="5" t="s">
        <v>7</v>
      </c>
      <c r="AA3" s="5" t="s">
        <v>8</v>
      </c>
      <c r="AB3" s="5" t="s">
        <v>9</v>
      </c>
      <c r="AC3" s="5" t="s">
        <v>10</v>
      </c>
      <c r="AD3" s="5" t="s">
        <v>11</v>
      </c>
      <c r="AE3" s="5" t="s">
        <v>12</v>
      </c>
      <c r="AF3" s="227" t="s">
        <v>13</v>
      </c>
      <c r="AG3" s="227" t="s">
        <v>14</v>
      </c>
      <c r="AH3" s="227" t="s">
        <v>3</v>
      </c>
    </row>
    <row r="4" spans="1:34" ht="15.75" thickBot="1">
      <c r="A4" s="276">
        <v>1</v>
      </c>
      <c r="B4" s="223" t="s">
        <v>313</v>
      </c>
      <c r="C4" s="93">
        <v>108.895</v>
      </c>
      <c r="D4" s="7">
        <v>112.83499999999999</v>
      </c>
      <c r="E4" s="7">
        <v>117.65</v>
      </c>
      <c r="F4" s="7">
        <v>122.55</v>
      </c>
      <c r="G4" s="7">
        <v>128.12899999999999</v>
      </c>
      <c r="H4" s="7">
        <v>132.34399999999999</v>
      </c>
      <c r="I4" s="7">
        <v>135.55799999999999</v>
      </c>
      <c r="J4" s="7">
        <v>141.24</v>
      </c>
      <c r="K4" s="7">
        <v>146.72399999999999</v>
      </c>
      <c r="L4" s="8">
        <v>150.40299999999999</v>
      </c>
      <c r="M4" s="7">
        <v>0.02</v>
      </c>
      <c r="N4" s="7">
        <v>3.4140000000000001</v>
      </c>
      <c r="O4" s="7">
        <v>7.77</v>
      </c>
      <c r="P4" s="7">
        <v>8.3859999999999992</v>
      </c>
      <c r="Q4" s="7">
        <v>8.3859999999999992</v>
      </c>
      <c r="R4" s="7">
        <v>12.875999999999999</v>
      </c>
      <c r="S4" s="9">
        <f>R4-M4+L4-C4</f>
        <v>54.36399999999999</v>
      </c>
      <c r="V4" s="1">
        <v>1</v>
      </c>
      <c r="W4" s="228">
        <f>D4-C4</f>
        <v>3.9399999999999977</v>
      </c>
      <c r="X4" s="228">
        <f t="shared" ref="X4:AE4" si="0">E4-D4</f>
        <v>4.8150000000000119</v>
      </c>
      <c r="Y4" s="228">
        <f t="shared" si="0"/>
        <v>4.8999999999999915</v>
      </c>
      <c r="Z4" s="228">
        <f t="shared" si="0"/>
        <v>5.5789999999999935</v>
      </c>
      <c r="AA4" s="228">
        <f t="shared" si="0"/>
        <v>4.2150000000000034</v>
      </c>
      <c r="AB4" s="228">
        <f t="shared" si="0"/>
        <v>3.2139999999999986</v>
      </c>
      <c r="AC4" s="228">
        <f t="shared" si="0"/>
        <v>5.6820000000000164</v>
      </c>
      <c r="AD4" s="228">
        <f t="shared" si="0"/>
        <v>5.4839999999999804</v>
      </c>
      <c r="AE4" s="228">
        <f t="shared" si="0"/>
        <v>3.679000000000002</v>
      </c>
      <c r="AF4" s="228">
        <f>N4-M4</f>
        <v>3.3940000000000001</v>
      </c>
      <c r="AG4" s="228">
        <f t="shared" ref="AG4" si="1">O4-N4</f>
        <v>4.3559999999999999</v>
      </c>
      <c r="AH4" s="228">
        <f>R4-Q4</f>
        <v>4.49</v>
      </c>
    </row>
    <row r="5" spans="1:34">
      <c r="A5" s="276"/>
      <c r="B5" s="10" t="s">
        <v>113</v>
      </c>
      <c r="C5" s="94">
        <v>46.679000000000002</v>
      </c>
      <c r="D5" s="11">
        <v>53.718000000000004</v>
      </c>
      <c r="E5" s="11">
        <v>59</v>
      </c>
      <c r="F5" s="11">
        <v>62.622</v>
      </c>
      <c r="G5" s="11">
        <v>64.975999999999999</v>
      </c>
      <c r="H5" s="11">
        <v>66.739000000000004</v>
      </c>
      <c r="I5" s="11">
        <v>67.019000000000005</v>
      </c>
      <c r="J5" s="11">
        <v>67.44</v>
      </c>
      <c r="K5" s="11">
        <v>67.823999999999998</v>
      </c>
      <c r="L5" s="12">
        <v>68.361999999999995</v>
      </c>
      <c r="M5" s="12"/>
      <c r="N5" s="11">
        <v>70.617000000000004</v>
      </c>
      <c r="O5" s="11">
        <v>74.176000000000002</v>
      </c>
      <c r="P5" s="11"/>
      <c r="Q5" s="11"/>
      <c r="R5" s="11">
        <v>79.221000000000004</v>
      </c>
      <c r="S5" s="9"/>
      <c r="T5" s="9">
        <f>R5-C5</f>
        <v>32.542000000000002</v>
      </c>
      <c r="V5" s="1"/>
      <c r="W5" s="229"/>
      <c r="X5" s="229"/>
      <c r="Y5" s="229"/>
      <c r="Z5" s="229"/>
      <c r="AA5" s="229"/>
      <c r="AB5" s="229"/>
      <c r="AC5" s="229"/>
      <c r="AD5" s="229"/>
      <c r="AE5" s="229"/>
      <c r="AF5" s="229"/>
      <c r="AG5" s="229"/>
      <c r="AH5" s="229"/>
    </row>
    <row r="6" spans="1:34">
      <c r="A6" s="275">
        <v>2</v>
      </c>
      <c r="B6" s="248" t="s">
        <v>335</v>
      </c>
      <c r="C6" s="94">
        <v>272.27800000000002</v>
      </c>
      <c r="D6" s="11">
        <v>275.584</v>
      </c>
      <c r="E6" s="11">
        <v>278.654</v>
      </c>
      <c r="F6" s="11">
        <v>281.892</v>
      </c>
      <c r="G6" s="11">
        <v>285.42200000000003</v>
      </c>
      <c r="H6" s="11">
        <v>288.61799999999999</v>
      </c>
      <c r="I6" s="11">
        <v>291.565</v>
      </c>
      <c r="J6" s="11">
        <v>294.56900000000002</v>
      </c>
      <c r="K6" s="11">
        <v>298.06299999999999</v>
      </c>
      <c r="L6" s="11">
        <v>301.55700000000002</v>
      </c>
      <c r="M6" s="11">
        <v>0.01</v>
      </c>
      <c r="N6" s="11">
        <v>0.53</v>
      </c>
      <c r="O6" s="11">
        <v>0.69199999999999995</v>
      </c>
      <c r="P6" s="247">
        <v>0.71099999999999997</v>
      </c>
      <c r="Q6" s="247">
        <v>2.8000000000000001E-2</v>
      </c>
      <c r="R6" s="11">
        <v>3.0150000000000001</v>
      </c>
      <c r="S6" s="9">
        <f>R6-Q6+P6-M6+L6-C6</f>
        <v>32.966999999999985</v>
      </c>
      <c r="V6" s="1">
        <v>2</v>
      </c>
      <c r="W6" s="230">
        <f t="shared" ref="W6" si="2">D6-C6</f>
        <v>3.3059999999999832</v>
      </c>
      <c r="X6" s="230">
        <f t="shared" ref="X6" si="3">E6-D6</f>
        <v>3.0699999999999932</v>
      </c>
      <c r="Y6" s="230">
        <f t="shared" ref="Y6" si="4">F6-E6</f>
        <v>3.2379999999999995</v>
      </c>
      <c r="Z6" s="230">
        <f t="shared" ref="Z6" si="5">G6-F6</f>
        <v>3.5300000000000296</v>
      </c>
      <c r="AA6" s="230">
        <f t="shared" ref="AA6" si="6">H6-G6</f>
        <v>3.1959999999999695</v>
      </c>
      <c r="AB6" s="230">
        <f t="shared" ref="AB6" si="7">I6-H6</f>
        <v>2.9470000000000027</v>
      </c>
      <c r="AC6" s="230">
        <f t="shared" ref="AC6" si="8">J6-I6</f>
        <v>3.0040000000000191</v>
      </c>
      <c r="AD6" s="230">
        <f t="shared" ref="AD6" si="9">K6-J6</f>
        <v>3.4939999999999714</v>
      </c>
      <c r="AE6" s="230">
        <f t="shared" ref="AE6" si="10">L6-K6</f>
        <v>3.4940000000000282</v>
      </c>
      <c r="AF6" s="231">
        <f t="shared" ref="AF6" si="11">N6-M6</f>
        <v>0.52</v>
      </c>
      <c r="AG6" s="231">
        <f t="shared" ref="AG6" si="12">O6-N6</f>
        <v>0.16199999999999992</v>
      </c>
      <c r="AH6" s="230">
        <f>R6-Q6</f>
        <v>2.9870000000000001</v>
      </c>
    </row>
    <row r="7" spans="1:34">
      <c r="A7" s="275"/>
      <c r="B7" s="10" t="s">
        <v>114</v>
      </c>
      <c r="C7" s="94">
        <v>8.9450000000000003</v>
      </c>
      <c r="D7" s="11">
        <v>10.364000000000001</v>
      </c>
      <c r="E7" s="11">
        <v>11.173</v>
      </c>
      <c r="F7" s="11">
        <v>11.726000000000001</v>
      </c>
      <c r="G7" s="11">
        <v>12.111000000000001</v>
      </c>
      <c r="H7" s="11">
        <v>12.433999999999999</v>
      </c>
      <c r="I7" s="11">
        <v>12.647</v>
      </c>
      <c r="J7" s="11">
        <v>12.885</v>
      </c>
      <c r="K7" s="11">
        <v>13.147</v>
      </c>
      <c r="L7" s="11">
        <v>13.388</v>
      </c>
      <c r="M7" s="11"/>
      <c r="N7" s="11">
        <v>13.781000000000001</v>
      </c>
      <c r="O7" s="11">
        <v>14.69</v>
      </c>
      <c r="P7" s="11"/>
      <c r="Q7" s="11"/>
      <c r="R7" s="11">
        <v>15.776</v>
      </c>
      <c r="S7" s="9"/>
      <c r="T7" s="9">
        <f>R7-C7</f>
        <v>6.8309999999999995</v>
      </c>
      <c r="V7" s="1"/>
      <c r="W7" s="229"/>
      <c r="X7" s="229"/>
      <c r="Y7" s="229"/>
      <c r="Z7" s="229"/>
      <c r="AA7" s="229"/>
      <c r="AB7" s="229"/>
      <c r="AC7" s="229"/>
      <c r="AD7" s="229"/>
      <c r="AE7" s="229"/>
      <c r="AF7" s="229"/>
      <c r="AG7" s="229"/>
      <c r="AH7" s="229"/>
    </row>
    <row r="8" spans="1:34">
      <c r="A8" s="280">
        <v>3</v>
      </c>
      <c r="B8" s="248" t="s">
        <v>336</v>
      </c>
      <c r="C8" s="94">
        <v>827.07799999999997</v>
      </c>
      <c r="D8" s="11">
        <v>845.37699999999995</v>
      </c>
      <c r="E8" s="11">
        <v>862.15800000000002</v>
      </c>
      <c r="F8" s="11">
        <v>878.90899999999999</v>
      </c>
      <c r="G8" s="11">
        <v>894.42399999999998</v>
      </c>
      <c r="H8" s="11">
        <v>911.17899999999997</v>
      </c>
      <c r="I8" s="11">
        <v>927.28099999999995</v>
      </c>
      <c r="J8" s="11">
        <v>934.99599999999998</v>
      </c>
      <c r="K8" s="11">
        <v>944.32799999999997</v>
      </c>
      <c r="L8" s="11">
        <v>962.37</v>
      </c>
      <c r="M8" s="11">
        <v>0.01</v>
      </c>
      <c r="N8" s="11">
        <v>1.5129999999999999</v>
      </c>
      <c r="O8" s="11">
        <v>1.7909999999999999</v>
      </c>
      <c r="P8" s="247">
        <v>1.8340000000000001</v>
      </c>
      <c r="Q8" s="247">
        <v>5.6000000000000001E-2</v>
      </c>
      <c r="R8" s="11">
        <v>16.167000000000002</v>
      </c>
      <c r="S8" s="9">
        <f>R8-Q8+P8-M8+L8-C8</f>
        <v>153.22699999999998</v>
      </c>
      <c r="V8" s="1">
        <v>3</v>
      </c>
      <c r="W8" s="230">
        <f t="shared" ref="W8" si="13">D8-C8</f>
        <v>18.298999999999978</v>
      </c>
      <c r="X8" s="230">
        <f t="shared" ref="X8" si="14">E8-D8</f>
        <v>16.781000000000063</v>
      </c>
      <c r="Y8" s="230">
        <f t="shared" ref="Y8" si="15">F8-E8</f>
        <v>16.750999999999976</v>
      </c>
      <c r="Z8" s="230">
        <f t="shared" ref="Z8" si="16">G8-F8</f>
        <v>15.514999999999986</v>
      </c>
      <c r="AA8" s="230">
        <f t="shared" ref="AA8" si="17">H8-G8</f>
        <v>16.754999999999995</v>
      </c>
      <c r="AB8" s="230">
        <f t="shared" ref="AB8" si="18">I8-H8</f>
        <v>16.101999999999975</v>
      </c>
      <c r="AC8" s="230">
        <f t="shared" ref="AC8" si="19">J8-I8</f>
        <v>7.7150000000000318</v>
      </c>
      <c r="AD8" s="230">
        <f t="shared" ref="AD8" si="20">K8-J8</f>
        <v>9.3319999999999936</v>
      </c>
      <c r="AE8" s="230">
        <f t="shared" ref="AE8" si="21">L8-K8</f>
        <v>18.04200000000003</v>
      </c>
      <c r="AF8" s="231">
        <f t="shared" ref="AF8" si="22">N8-M8</f>
        <v>1.5029999999999999</v>
      </c>
      <c r="AG8" s="231">
        <f t="shared" ref="AG8" si="23">O8-N8</f>
        <v>0.27800000000000002</v>
      </c>
      <c r="AH8" s="230">
        <f t="shared" ref="AH8" si="24">R8-Q8</f>
        <v>16.111000000000001</v>
      </c>
    </row>
    <row r="9" spans="1:34">
      <c r="A9" s="280"/>
      <c r="B9" s="10" t="s">
        <v>115</v>
      </c>
      <c r="C9" s="94">
        <v>41.55</v>
      </c>
      <c r="D9" s="11">
        <v>47.134</v>
      </c>
      <c r="E9" s="11">
        <v>51.75</v>
      </c>
      <c r="F9" s="11">
        <v>55.148000000000003</v>
      </c>
      <c r="G9" s="11">
        <v>57.773000000000003</v>
      </c>
      <c r="H9" s="11">
        <v>59.954000000000001</v>
      </c>
      <c r="I9" s="11">
        <v>60.39</v>
      </c>
      <c r="J9" s="11">
        <v>60.567999999999998</v>
      </c>
      <c r="K9" s="11">
        <v>60.746000000000002</v>
      </c>
      <c r="L9" s="11">
        <v>61.42</v>
      </c>
      <c r="M9" s="11"/>
      <c r="N9" s="11">
        <v>63.749000000000002</v>
      </c>
      <c r="O9" s="11">
        <v>66.861000000000004</v>
      </c>
      <c r="P9" s="11"/>
      <c r="Q9" s="11"/>
      <c r="R9" s="11">
        <v>71.879000000000005</v>
      </c>
      <c r="S9" s="9"/>
      <c r="T9" s="9">
        <f>R9-C9</f>
        <v>30.329000000000008</v>
      </c>
      <c r="V9" s="1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29"/>
    </row>
    <row r="10" spans="1:34">
      <c r="A10" s="280">
        <v>4</v>
      </c>
      <c r="B10" s="224" t="s">
        <v>314</v>
      </c>
      <c r="C10" s="94">
        <v>87.105000000000004</v>
      </c>
      <c r="D10" s="11">
        <v>90.436000000000007</v>
      </c>
      <c r="E10" s="11">
        <v>92.516000000000005</v>
      </c>
      <c r="F10" s="11">
        <v>96.228999999999999</v>
      </c>
      <c r="G10" s="11">
        <v>99.24</v>
      </c>
      <c r="H10" s="11">
        <v>101.73399999999999</v>
      </c>
      <c r="I10" s="11">
        <v>105.212</v>
      </c>
      <c r="J10" s="11">
        <v>107.845</v>
      </c>
      <c r="K10" s="11">
        <v>110.57</v>
      </c>
      <c r="L10" s="11">
        <v>114.61</v>
      </c>
      <c r="M10" s="11">
        <v>0.01</v>
      </c>
      <c r="N10" s="11">
        <v>3.7</v>
      </c>
      <c r="O10" s="11">
        <v>6.4329999999999998</v>
      </c>
      <c r="P10" s="11">
        <v>6.8730000000000002</v>
      </c>
      <c r="Q10" s="11">
        <v>6.8730000000000002</v>
      </c>
      <c r="R10" s="11">
        <v>8.0329999999999995</v>
      </c>
      <c r="S10" s="9">
        <f t="shared" ref="S10" si="25">R10-M10+L10-C10</f>
        <v>35.527999999999992</v>
      </c>
      <c r="V10" s="1">
        <v>4</v>
      </c>
      <c r="W10" s="230">
        <f t="shared" ref="W10" si="26">D10-C10</f>
        <v>3.3310000000000031</v>
      </c>
      <c r="X10" s="230">
        <f t="shared" ref="X10" si="27">E10-D10</f>
        <v>2.0799999999999983</v>
      </c>
      <c r="Y10" s="230">
        <f t="shared" ref="Y10" si="28">F10-E10</f>
        <v>3.7129999999999939</v>
      </c>
      <c r="Z10" s="230">
        <f t="shared" ref="Z10" si="29">G10-F10</f>
        <v>3.0109999999999957</v>
      </c>
      <c r="AA10" s="230">
        <f t="shared" ref="AA10" si="30">H10-G10</f>
        <v>2.4939999999999998</v>
      </c>
      <c r="AB10" s="230">
        <f t="shared" ref="AB10" si="31">I10-H10</f>
        <v>3.4780000000000086</v>
      </c>
      <c r="AC10" s="230">
        <f t="shared" ref="AC10" si="32">J10-I10</f>
        <v>2.6329999999999956</v>
      </c>
      <c r="AD10" s="230">
        <f t="shared" ref="AD10" si="33">K10-J10</f>
        <v>2.7249999999999943</v>
      </c>
      <c r="AE10" s="230">
        <f t="shared" ref="AE10" si="34">L10-K10</f>
        <v>4.0400000000000063</v>
      </c>
      <c r="AF10" s="230">
        <f t="shared" ref="AF10" si="35">N10-M10</f>
        <v>3.6900000000000004</v>
      </c>
      <c r="AG10" s="230">
        <f t="shared" ref="AG10" si="36">O10-N10</f>
        <v>2.7329999999999997</v>
      </c>
      <c r="AH10" s="230">
        <f t="shared" ref="AH10" si="37">R10-Q10</f>
        <v>1.1599999999999993</v>
      </c>
    </row>
    <row r="11" spans="1:34">
      <c r="A11" s="280"/>
      <c r="B11" s="10" t="s">
        <v>116</v>
      </c>
      <c r="C11" s="94">
        <v>16.425000000000001</v>
      </c>
      <c r="D11" s="11">
        <v>19.170000000000002</v>
      </c>
      <c r="E11" s="11">
        <v>20.189</v>
      </c>
      <c r="F11" s="11">
        <v>21.573</v>
      </c>
      <c r="G11" s="11">
        <v>21.899000000000001</v>
      </c>
      <c r="H11" s="11">
        <v>22.074999999999999</v>
      </c>
      <c r="I11" s="11">
        <v>22.251000000000001</v>
      </c>
      <c r="J11" s="11">
        <v>22.364000000000001</v>
      </c>
      <c r="K11" s="11">
        <v>22.466000000000001</v>
      </c>
      <c r="L11" s="11">
        <v>22.698</v>
      </c>
      <c r="M11" s="11"/>
      <c r="N11" s="11">
        <v>23.356000000000002</v>
      </c>
      <c r="O11" s="11">
        <v>24.841999999999999</v>
      </c>
      <c r="P11" s="11"/>
      <c r="Q11" s="11"/>
      <c r="R11" s="11">
        <v>26.681999999999999</v>
      </c>
      <c r="S11" s="9"/>
      <c r="T11" s="9">
        <f>R11-C11</f>
        <v>10.256999999999998</v>
      </c>
      <c r="V11" s="1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29"/>
      <c r="AH11" s="229"/>
    </row>
    <row r="12" spans="1:34">
      <c r="A12" s="275">
        <v>5</v>
      </c>
      <c r="B12" s="248" t="s">
        <v>337</v>
      </c>
      <c r="C12" s="94">
        <v>339.53899999999999</v>
      </c>
      <c r="D12" s="11">
        <v>346.48599999999999</v>
      </c>
      <c r="E12" s="11">
        <v>353.33300000000003</v>
      </c>
      <c r="F12" s="11">
        <v>359.62200000000001</v>
      </c>
      <c r="G12" s="11">
        <v>367.28199999999998</v>
      </c>
      <c r="H12" s="11">
        <v>373.95499999999998</v>
      </c>
      <c r="I12" s="11">
        <v>380.63400000000001</v>
      </c>
      <c r="J12" s="11">
        <v>389.08699999999999</v>
      </c>
      <c r="K12" s="11">
        <v>397.96300000000002</v>
      </c>
      <c r="L12" s="11">
        <v>406.35</v>
      </c>
      <c r="M12" s="11">
        <v>0.01</v>
      </c>
      <c r="N12" s="11">
        <v>0.69499999999999995</v>
      </c>
      <c r="O12" s="11">
        <v>0.69699999999999995</v>
      </c>
      <c r="P12" s="247">
        <v>0.69699999999999995</v>
      </c>
      <c r="Q12" s="247">
        <v>4.4999999999999998E-2</v>
      </c>
      <c r="R12" s="11">
        <v>7.0650000000000004</v>
      </c>
      <c r="S12" s="9">
        <f>R12-Q12+P12-M12+L12-C12</f>
        <v>74.518000000000029</v>
      </c>
      <c r="V12" s="1">
        <v>5</v>
      </c>
      <c r="W12" s="230">
        <f t="shared" ref="W12" si="38">D12-C12</f>
        <v>6.9470000000000027</v>
      </c>
      <c r="X12" s="230">
        <f t="shared" ref="X12" si="39">E12-D12</f>
        <v>6.8470000000000368</v>
      </c>
      <c r="Y12" s="230">
        <f t="shared" ref="Y12" si="40">F12-E12</f>
        <v>6.2889999999999873</v>
      </c>
      <c r="Z12" s="230">
        <f t="shared" ref="Z12" si="41">G12-F12</f>
        <v>7.6599999999999682</v>
      </c>
      <c r="AA12" s="230">
        <f t="shared" ref="AA12" si="42">H12-G12</f>
        <v>6.6730000000000018</v>
      </c>
      <c r="AB12" s="230">
        <f t="shared" ref="AB12" si="43">I12-H12</f>
        <v>6.6790000000000305</v>
      </c>
      <c r="AC12" s="230">
        <f t="shared" ref="AC12" si="44">J12-I12</f>
        <v>8.4529999999999745</v>
      </c>
      <c r="AD12" s="230">
        <f t="shared" ref="AD12" si="45">K12-J12</f>
        <v>8.8760000000000332</v>
      </c>
      <c r="AE12" s="230">
        <f t="shared" ref="AE12" si="46">L12-K12</f>
        <v>8.3870000000000005</v>
      </c>
      <c r="AF12" s="231">
        <f t="shared" ref="AF12" si="47">N12-M12</f>
        <v>0.68499999999999994</v>
      </c>
      <c r="AG12" s="231">
        <f t="shared" ref="AG12" si="48">O12-N12</f>
        <v>2.0000000000000018E-3</v>
      </c>
      <c r="AH12" s="230">
        <f t="shared" ref="AH12" si="49">R12-Q12</f>
        <v>7.0200000000000005</v>
      </c>
    </row>
    <row r="13" spans="1:34">
      <c r="A13" s="275"/>
      <c r="B13" s="10" t="s">
        <v>117</v>
      </c>
      <c r="C13" s="94">
        <v>23.440999999999999</v>
      </c>
      <c r="D13" s="11">
        <v>26.498000000000001</v>
      </c>
      <c r="E13" s="11">
        <v>28.245000000000001</v>
      </c>
      <c r="F13" s="11">
        <v>29.574000000000002</v>
      </c>
      <c r="G13" s="11">
        <v>30.45</v>
      </c>
      <c r="H13" s="11">
        <v>31.318000000000001</v>
      </c>
      <c r="I13" s="11">
        <v>31.731000000000002</v>
      </c>
      <c r="J13" s="11">
        <v>32.218000000000004</v>
      </c>
      <c r="K13" s="11">
        <v>32.707999999999998</v>
      </c>
      <c r="L13" s="11">
        <v>33.286999999999999</v>
      </c>
      <c r="M13" s="11"/>
      <c r="N13" s="11">
        <v>34.341000000000001</v>
      </c>
      <c r="O13" s="11">
        <v>36.256</v>
      </c>
      <c r="P13" s="11"/>
      <c r="Q13" s="11"/>
      <c r="R13" s="11">
        <v>39.087000000000003</v>
      </c>
      <c r="S13" s="9"/>
      <c r="T13" s="9">
        <f>R13-C13</f>
        <v>15.646000000000004</v>
      </c>
      <c r="V13" s="1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</row>
    <row r="14" spans="1:34">
      <c r="A14" s="275">
        <v>6</v>
      </c>
      <c r="B14" s="248" t="s">
        <v>338</v>
      </c>
      <c r="C14" s="94">
        <v>57.308</v>
      </c>
      <c r="D14" s="11">
        <v>64.546999999999997</v>
      </c>
      <c r="E14" s="11">
        <v>69.662999999999997</v>
      </c>
      <c r="F14" s="11">
        <v>75.59</v>
      </c>
      <c r="G14" s="11">
        <v>83.094999999999999</v>
      </c>
      <c r="H14" s="11">
        <v>89.459000000000003</v>
      </c>
      <c r="I14" s="11">
        <v>95.028999999999996</v>
      </c>
      <c r="J14" s="11">
        <v>103.789</v>
      </c>
      <c r="K14" s="11">
        <v>112.78700000000001</v>
      </c>
      <c r="L14" s="11">
        <v>118.09699999999999</v>
      </c>
      <c r="M14" s="11">
        <v>0.01</v>
      </c>
      <c r="N14" s="11">
        <v>0.14099999999999999</v>
      </c>
      <c r="O14" s="11">
        <v>0.14599999999999999</v>
      </c>
      <c r="P14" s="247">
        <v>0.14399999999999999</v>
      </c>
      <c r="Q14" s="247">
        <v>3.6999999999999998E-2</v>
      </c>
      <c r="R14" s="11">
        <v>6.4710000000000001</v>
      </c>
      <c r="S14" s="9">
        <f>R14-Q14+P14-M14+L14-C14</f>
        <v>67.356999999999999</v>
      </c>
      <c r="V14" s="1">
        <v>6</v>
      </c>
      <c r="W14" s="230">
        <f t="shared" ref="W14" si="50">D14-C14</f>
        <v>7.2389999999999972</v>
      </c>
      <c r="X14" s="230">
        <f t="shared" ref="X14" si="51">E14-D14</f>
        <v>5.1159999999999997</v>
      </c>
      <c r="Y14" s="230">
        <f t="shared" ref="Y14" si="52">F14-E14</f>
        <v>5.9270000000000067</v>
      </c>
      <c r="Z14" s="230">
        <f t="shared" ref="Z14" si="53">G14-F14</f>
        <v>7.5049999999999955</v>
      </c>
      <c r="AA14" s="230">
        <f t="shared" ref="AA14" si="54">H14-G14</f>
        <v>6.3640000000000043</v>
      </c>
      <c r="AB14" s="230">
        <f t="shared" ref="AB14" si="55">I14-H14</f>
        <v>5.5699999999999932</v>
      </c>
      <c r="AC14" s="230">
        <f t="shared" ref="AC14" si="56">J14-I14</f>
        <v>8.7600000000000051</v>
      </c>
      <c r="AD14" s="230">
        <f t="shared" ref="AD14" si="57">K14-J14</f>
        <v>8.9980000000000047</v>
      </c>
      <c r="AE14" s="230">
        <f t="shared" ref="AE14" si="58">L14-K14</f>
        <v>5.3099999999999881</v>
      </c>
      <c r="AF14" s="231">
        <f t="shared" ref="AF14" si="59">N14-M14</f>
        <v>0.13099999999999998</v>
      </c>
      <c r="AG14" s="231">
        <f t="shared" ref="AG14" si="60">O14-N14</f>
        <v>5.0000000000000044E-3</v>
      </c>
      <c r="AH14" s="230">
        <f t="shared" ref="AH14" si="61">R14-Q14</f>
        <v>6.4340000000000002</v>
      </c>
    </row>
    <row r="15" spans="1:34">
      <c r="A15" s="275"/>
      <c r="B15" s="10" t="s">
        <v>118</v>
      </c>
      <c r="C15" s="94">
        <v>19.413</v>
      </c>
      <c r="D15" s="11">
        <v>22.696999999999999</v>
      </c>
      <c r="E15" s="11">
        <v>25.222000000000001</v>
      </c>
      <c r="F15" s="11">
        <v>27.023</v>
      </c>
      <c r="G15" s="11">
        <v>27.622</v>
      </c>
      <c r="H15" s="11">
        <v>28.097999999999999</v>
      </c>
      <c r="I15" s="11">
        <v>28.445</v>
      </c>
      <c r="J15" s="11">
        <v>28.952000000000002</v>
      </c>
      <c r="K15" s="11">
        <v>29.495000000000001</v>
      </c>
      <c r="L15" s="11">
        <v>29.85</v>
      </c>
      <c r="M15" s="11"/>
      <c r="N15" s="11">
        <v>30.399000000000001</v>
      </c>
      <c r="O15" s="11">
        <v>33.034999999999997</v>
      </c>
      <c r="P15" s="11"/>
      <c r="Q15" s="11"/>
      <c r="R15" s="11">
        <v>35.508000000000003</v>
      </c>
      <c r="S15" s="9"/>
      <c r="T15" s="9">
        <f>R15-C15</f>
        <v>16.095000000000002</v>
      </c>
      <c r="V15" s="1"/>
      <c r="W15" s="229"/>
      <c r="X15" s="229"/>
      <c r="Y15" s="229"/>
      <c r="Z15" s="229"/>
      <c r="AA15" s="229"/>
      <c r="AB15" s="229"/>
      <c r="AC15" s="229"/>
      <c r="AD15" s="229"/>
      <c r="AE15" s="229"/>
      <c r="AF15" s="229"/>
      <c r="AG15" s="229"/>
      <c r="AH15" s="229"/>
    </row>
    <row r="16" spans="1:34">
      <c r="A16" s="275">
        <v>7</v>
      </c>
      <c r="B16" s="248" t="s">
        <v>339</v>
      </c>
      <c r="C16" s="94">
        <v>564.62800000000004</v>
      </c>
      <c r="D16" s="11">
        <v>576.20799999999997</v>
      </c>
      <c r="E16" s="11">
        <v>586.06799999999998</v>
      </c>
      <c r="F16" s="11">
        <v>597.65</v>
      </c>
      <c r="G16" s="11">
        <v>611.79899999999998</v>
      </c>
      <c r="H16" s="11">
        <v>623.60799999999995</v>
      </c>
      <c r="I16" s="11">
        <v>635.21100000000001</v>
      </c>
      <c r="J16" s="11">
        <v>644.28</v>
      </c>
      <c r="K16" s="11">
        <v>654.14599999999996</v>
      </c>
      <c r="L16" s="11">
        <v>666.80600000000004</v>
      </c>
      <c r="M16" s="11">
        <v>0.01</v>
      </c>
      <c r="N16" s="11">
        <v>2.6869999999999998</v>
      </c>
      <c r="O16" s="11">
        <v>4.4530000000000003</v>
      </c>
      <c r="P16" s="247">
        <v>4.8940000000000001</v>
      </c>
      <c r="Q16" s="247">
        <v>1.7000000000000001E-2</v>
      </c>
      <c r="R16" s="11">
        <v>11.163</v>
      </c>
      <c r="S16" s="9">
        <f>R16-Q16+P16-M16+L16-C16</f>
        <v>118.20799999999997</v>
      </c>
      <c r="V16" s="1">
        <v>7</v>
      </c>
      <c r="W16" s="230">
        <f t="shared" ref="W16" si="62">D16-C16</f>
        <v>11.579999999999927</v>
      </c>
      <c r="X16" s="230">
        <f t="shared" ref="X16" si="63">E16-D16</f>
        <v>9.8600000000000136</v>
      </c>
      <c r="Y16" s="230">
        <f t="shared" ref="Y16" si="64">F16-E16</f>
        <v>11.581999999999994</v>
      </c>
      <c r="Z16" s="230">
        <f t="shared" ref="Z16" si="65">G16-F16</f>
        <v>14.149000000000001</v>
      </c>
      <c r="AA16" s="230">
        <f t="shared" ref="AA16" si="66">H16-G16</f>
        <v>11.808999999999969</v>
      </c>
      <c r="AB16" s="230">
        <f t="shared" ref="AB16" si="67">I16-H16</f>
        <v>11.603000000000065</v>
      </c>
      <c r="AC16" s="230">
        <f t="shared" ref="AC16" si="68">J16-I16</f>
        <v>9.06899999999996</v>
      </c>
      <c r="AD16" s="230">
        <f t="shared" ref="AD16" si="69">K16-J16</f>
        <v>9.8659999999999854</v>
      </c>
      <c r="AE16" s="230">
        <f t="shared" ref="AE16" si="70">L16-K16</f>
        <v>12.660000000000082</v>
      </c>
      <c r="AF16" s="231">
        <f t="shared" ref="AF16" si="71">N16-M16</f>
        <v>2.677</v>
      </c>
      <c r="AG16" s="231">
        <f t="shared" ref="AG16" si="72">O16-N16</f>
        <v>1.7660000000000005</v>
      </c>
      <c r="AH16" s="230">
        <f t="shared" ref="AH16" si="73">R16-Q16</f>
        <v>11.146000000000001</v>
      </c>
    </row>
    <row r="17" spans="1:34">
      <c r="A17" s="275"/>
      <c r="B17" s="10" t="s">
        <v>119</v>
      </c>
      <c r="C17" s="94">
        <v>49.594999999999999</v>
      </c>
      <c r="D17" s="11">
        <v>57.558999999999997</v>
      </c>
      <c r="E17" s="11">
        <v>62.667999999999999</v>
      </c>
      <c r="F17" s="11">
        <v>67.311999999999998</v>
      </c>
      <c r="G17" s="11">
        <v>69.676000000000002</v>
      </c>
      <c r="H17" s="11">
        <v>71.492000000000004</v>
      </c>
      <c r="I17" s="11">
        <v>72.198999999999998</v>
      </c>
      <c r="J17" s="11">
        <v>72.715999999999994</v>
      </c>
      <c r="K17" s="11">
        <v>73.316999999999993</v>
      </c>
      <c r="L17" s="11">
        <v>74.228999999999999</v>
      </c>
      <c r="M17" s="11"/>
      <c r="N17" s="11">
        <v>77.097999999999999</v>
      </c>
      <c r="O17" s="11">
        <v>82.423000000000002</v>
      </c>
      <c r="P17" s="11"/>
      <c r="Q17" s="11"/>
      <c r="R17" s="11">
        <v>88.897999999999996</v>
      </c>
      <c r="S17" s="9"/>
      <c r="T17" s="9">
        <f>R17-C17</f>
        <v>39.302999999999997</v>
      </c>
      <c r="V17" s="1"/>
      <c r="W17" s="229"/>
      <c r="X17" s="229"/>
      <c r="Y17" s="229"/>
      <c r="Z17" s="229"/>
      <c r="AA17" s="229"/>
      <c r="AB17" s="229"/>
      <c r="AC17" s="229"/>
      <c r="AD17" s="229"/>
      <c r="AE17" s="229"/>
      <c r="AF17" s="229"/>
      <c r="AG17" s="229"/>
      <c r="AH17" s="229"/>
    </row>
    <row r="18" spans="1:34">
      <c r="A18" s="275">
        <v>8</v>
      </c>
      <c r="B18" s="224" t="s">
        <v>315</v>
      </c>
      <c r="C18" s="94">
        <v>458.09399999999999</v>
      </c>
      <c r="D18" s="11">
        <v>468.50099999999998</v>
      </c>
      <c r="E18" s="11">
        <v>477.46199999999999</v>
      </c>
      <c r="F18" s="11">
        <v>485.63299999999998</v>
      </c>
      <c r="G18" s="11">
        <v>494.26499999999999</v>
      </c>
      <c r="H18" s="11">
        <v>502.995</v>
      </c>
      <c r="I18" s="11">
        <v>509.03100000000001</v>
      </c>
      <c r="J18" s="11">
        <v>512.83500000000004</v>
      </c>
      <c r="K18" s="11">
        <v>519.29</v>
      </c>
      <c r="L18" s="11">
        <v>525.79899999999998</v>
      </c>
      <c r="M18" s="11">
        <v>0.01</v>
      </c>
      <c r="N18" s="11">
        <v>7.05</v>
      </c>
      <c r="O18" s="11">
        <v>14.737</v>
      </c>
      <c r="P18" s="11">
        <v>16.382999999999999</v>
      </c>
      <c r="Q18" s="11">
        <v>16.382999999999999</v>
      </c>
      <c r="R18" s="11">
        <v>23.710999999999999</v>
      </c>
      <c r="S18" s="9">
        <f t="shared" ref="S18" si="74">R18-M18+L18-C18</f>
        <v>91.406000000000006</v>
      </c>
      <c r="V18" s="1">
        <v>8</v>
      </c>
      <c r="W18" s="230">
        <f t="shared" ref="W18" si="75">D18-C18</f>
        <v>10.406999999999982</v>
      </c>
      <c r="X18" s="230">
        <f t="shared" ref="X18" si="76">E18-D18</f>
        <v>8.9610000000000127</v>
      </c>
      <c r="Y18" s="230">
        <f t="shared" ref="Y18" si="77">F18-E18</f>
        <v>8.1709999999999923</v>
      </c>
      <c r="Z18" s="230">
        <f t="shared" ref="Z18" si="78">G18-F18</f>
        <v>8.632000000000005</v>
      </c>
      <c r="AA18" s="230">
        <f t="shared" ref="AA18" si="79">H18-G18</f>
        <v>8.7300000000000182</v>
      </c>
      <c r="AB18" s="230">
        <f t="shared" ref="AB18" si="80">I18-H18</f>
        <v>6.0360000000000014</v>
      </c>
      <c r="AC18" s="230">
        <f t="shared" ref="AC18" si="81">J18-I18</f>
        <v>3.8040000000000305</v>
      </c>
      <c r="AD18" s="230">
        <f t="shared" ref="AD18" si="82">K18-J18</f>
        <v>6.4549999999999272</v>
      </c>
      <c r="AE18" s="230">
        <f t="shared" ref="AE18" si="83">L18-K18</f>
        <v>6.5090000000000146</v>
      </c>
      <c r="AF18" s="230">
        <f t="shared" ref="AF18" si="84">N18-M18</f>
        <v>7.04</v>
      </c>
      <c r="AG18" s="230">
        <f t="shared" ref="AG18" si="85">O18-N18</f>
        <v>7.6870000000000003</v>
      </c>
      <c r="AH18" s="230">
        <f t="shared" ref="AH18" si="86">R18-Q18</f>
        <v>7.3279999999999994</v>
      </c>
    </row>
    <row r="19" spans="1:34">
      <c r="A19" s="275"/>
      <c r="B19" s="10" t="s">
        <v>120</v>
      </c>
      <c r="C19" s="94">
        <v>18.349</v>
      </c>
      <c r="D19" s="11">
        <v>20.797999999999998</v>
      </c>
      <c r="E19" s="11">
        <v>22.155000000000001</v>
      </c>
      <c r="F19" s="11">
        <v>22.952999999999999</v>
      </c>
      <c r="G19" s="11">
        <v>23.536000000000001</v>
      </c>
      <c r="H19" s="11">
        <v>24.035</v>
      </c>
      <c r="I19" s="11">
        <v>24.27</v>
      </c>
      <c r="J19" s="11">
        <v>24.442</v>
      </c>
      <c r="K19" s="11">
        <v>24.684999999999999</v>
      </c>
      <c r="L19" s="11">
        <v>24.914999999999999</v>
      </c>
      <c r="M19" s="11"/>
      <c r="N19" s="11">
        <v>25.277000000000001</v>
      </c>
      <c r="O19" s="11">
        <v>26.344999999999999</v>
      </c>
      <c r="P19" s="11"/>
      <c r="Q19" s="11"/>
      <c r="R19" s="11">
        <v>28.47</v>
      </c>
      <c r="S19" s="9"/>
      <c r="T19" s="9">
        <f>R19-C19</f>
        <v>10.120999999999999</v>
      </c>
      <c r="V19" s="1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  <c r="AH19" s="229"/>
    </row>
    <row r="20" spans="1:34">
      <c r="A20" s="275">
        <v>9</v>
      </c>
      <c r="B20" s="224" t="s">
        <v>316</v>
      </c>
      <c r="C20" s="94">
        <v>130.30000000000001</v>
      </c>
      <c r="D20" s="11">
        <v>132.48599999999999</v>
      </c>
      <c r="E20" s="11">
        <v>134.33799999999999</v>
      </c>
      <c r="F20" s="11">
        <v>135.81899999999999</v>
      </c>
      <c r="G20" s="11">
        <v>137.96700000000001</v>
      </c>
      <c r="H20" s="11">
        <v>140.08600000000001</v>
      </c>
      <c r="I20" s="11">
        <v>141.80799999999999</v>
      </c>
      <c r="J20" s="11">
        <v>143.983</v>
      </c>
      <c r="K20" s="11">
        <v>145.74100000000001</v>
      </c>
      <c r="L20" s="11">
        <v>147.71199999999999</v>
      </c>
      <c r="M20" s="11">
        <v>0.01</v>
      </c>
      <c r="N20" s="11">
        <v>1.75</v>
      </c>
      <c r="O20" s="11">
        <v>3.423</v>
      </c>
      <c r="P20" s="11">
        <v>3.6829999999999998</v>
      </c>
      <c r="Q20" s="11">
        <v>3.6829999999999998</v>
      </c>
      <c r="R20" s="11">
        <v>5.6920000000000002</v>
      </c>
      <c r="S20" s="9">
        <f t="shared" ref="S20" si="87">R20-M20+L20-C20</f>
        <v>23.093999999999966</v>
      </c>
      <c r="V20" s="1">
        <v>9</v>
      </c>
      <c r="W20" s="230">
        <f t="shared" ref="W20" si="88">D20-C20</f>
        <v>2.1859999999999786</v>
      </c>
      <c r="X20" s="230">
        <f t="shared" ref="X20" si="89">E20-D20</f>
        <v>1.8520000000000039</v>
      </c>
      <c r="Y20" s="230">
        <f t="shared" ref="Y20" si="90">F20-E20</f>
        <v>1.4809999999999945</v>
      </c>
      <c r="Z20" s="230">
        <f t="shared" ref="Z20" si="91">G20-F20</f>
        <v>2.1480000000000246</v>
      </c>
      <c r="AA20" s="230">
        <f t="shared" ref="AA20" si="92">H20-G20</f>
        <v>2.1189999999999998</v>
      </c>
      <c r="AB20" s="230">
        <f t="shared" ref="AB20" si="93">I20-H20</f>
        <v>1.72199999999998</v>
      </c>
      <c r="AC20" s="230">
        <f t="shared" ref="AC20" si="94">J20-I20</f>
        <v>2.1750000000000114</v>
      </c>
      <c r="AD20" s="230">
        <f t="shared" ref="AD20" si="95">K20-J20</f>
        <v>1.7580000000000098</v>
      </c>
      <c r="AE20" s="230">
        <f t="shared" ref="AE20" si="96">L20-K20</f>
        <v>1.9709999999999752</v>
      </c>
      <c r="AF20" s="230">
        <f t="shared" ref="AF20" si="97">N20-M20</f>
        <v>1.74</v>
      </c>
      <c r="AG20" s="230">
        <f t="shared" ref="AG20" si="98">O20-N20</f>
        <v>1.673</v>
      </c>
      <c r="AH20" s="230">
        <f t="shared" ref="AH20" si="99">R20-Q20</f>
        <v>2.0090000000000003</v>
      </c>
    </row>
    <row r="21" spans="1:34">
      <c r="A21" s="275"/>
      <c r="B21" s="10" t="s">
        <v>121</v>
      </c>
      <c r="C21" s="94">
        <v>24.648</v>
      </c>
      <c r="D21" s="11">
        <v>28.193999999999999</v>
      </c>
      <c r="E21" s="11">
        <v>30.184000000000001</v>
      </c>
      <c r="F21" s="11">
        <v>31.51</v>
      </c>
      <c r="G21" s="11">
        <v>31.856999999999999</v>
      </c>
      <c r="H21" s="11">
        <v>32.186</v>
      </c>
      <c r="I21" s="11">
        <v>32.281999999999996</v>
      </c>
      <c r="J21" s="11">
        <v>32.377000000000002</v>
      </c>
      <c r="K21" s="11">
        <v>32.561</v>
      </c>
      <c r="L21" s="11">
        <v>32.755000000000003</v>
      </c>
      <c r="M21" s="11"/>
      <c r="N21" s="11">
        <v>33.42</v>
      </c>
      <c r="O21" s="11">
        <v>35.47</v>
      </c>
      <c r="P21" s="11"/>
      <c r="Q21" s="11"/>
      <c r="R21" s="11">
        <v>38.610999999999997</v>
      </c>
      <c r="S21" s="9"/>
      <c r="T21" s="9">
        <f>R21-C21</f>
        <v>13.962999999999997</v>
      </c>
      <c r="V21" s="1"/>
      <c r="W21" s="229"/>
      <c r="X21" s="229"/>
      <c r="Y21" s="229"/>
      <c r="Z21" s="229"/>
      <c r="AA21" s="229"/>
      <c r="AB21" s="229"/>
      <c r="AC21" s="229"/>
      <c r="AD21" s="229"/>
      <c r="AE21" s="229"/>
      <c r="AF21" s="229"/>
      <c r="AG21" s="229"/>
      <c r="AH21" s="229"/>
    </row>
    <row r="22" spans="1:34">
      <c r="A22" s="275">
        <v>10</v>
      </c>
      <c r="B22" s="224" t="s">
        <v>317</v>
      </c>
      <c r="C22" s="94">
        <v>493.80700000000002</v>
      </c>
      <c r="D22" s="11">
        <v>503.79700000000003</v>
      </c>
      <c r="E22" s="11">
        <v>511.70100000000002</v>
      </c>
      <c r="F22" s="11">
        <v>519.63</v>
      </c>
      <c r="G22" s="11">
        <v>529.91300000000001</v>
      </c>
      <c r="H22" s="11">
        <v>539.529</v>
      </c>
      <c r="I22" s="11">
        <v>545.45899999999995</v>
      </c>
      <c r="J22" s="11">
        <v>549.255</v>
      </c>
      <c r="K22" s="11">
        <v>557.17899999999997</v>
      </c>
      <c r="L22" s="11">
        <v>567.67899999999997</v>
      </c>
      <c r="M22" s="11">
        <v>0.01</v>
      </c>
      <c r="N22" s="11">
        <v>8.5210000000000008</v>
      </c>
      <c r="O22" s="11">
        <v>16.061</v>
      </c>
      <c r="P22" s="11">
        <v>17.084</v>
      </c>
      <c r="Q22" s="11">
        <v>17.084</v>
      </c>
      <c r="R22" s="11">
        <v>23.395</v>
      </c>
      <c r="S22" s="9">
        <f t="shared" ref="S22" si="100">R22-M22+L22-C22</f>
        <v>97.256999999999948</v>
      </c>
      <c r="V22" s="1">
        <v>10</v>
      </c>
      <c r="W22" s="230">
        <f t="shared" ref="W22" si="101">D22-C22</f>
        <v>9.9900000000000091</v>
      </c>
      <c r="X22" s="230">
        <f t="shared" ref="X22" si="102">E22-D22</f>
        <v>7.9039999999999964</v>
      </c>
      <c r="Y22" s="230">
        <f t="shared" ref="Y22" si="103">F22-E22</f>
        <v>7.9289999999999736</v>
      </c>
      <c r="Z22" s="230">
        <f t="shared" ref="Z22" si="104">G22-F22</f>
        <v>10.283000000000015</v>
      </c>
      <c r="AA22" s="230">
        <f t="shared" ref="AA22" si="105">H22-G22</f>
        <v>9.6159999999999854</v>
      </c>
      <c r="AB22" s="230">
        <f t="shared" ref="AB22" si="106">I22-H22</f>
        <v>5.92999999999995</v>
      </c>
      <c r="AC22" s="230">
        <f t="shared" ref="AC22" si="107">J22-I22</f>
        <v>3.7960000000000491</v>
      </c>
      <c r="AD22" s="230">
        <f t="shared" ref="AD22" si="108">K22-J22</f>
        <v>7.9239999999999782</v>
      </c>
      <c r="AE22" s="230">
        <f t="shared" ref="AE22" si="109">L22-K22</f>
        <v>10.5</v>
      </c>
      <c r="AF22" s="230">
        <f t="shared" ref="AF22" si="110">N22-M22</f>
        <v>8.511000000000001</v>
      </c>
      <c r="AG22" s="230">
        <f t="shared" ref="AG22" si="111">O22-N22</f>
        <v>7.5399999999999991</v>
      </c>
      <c r="AH22" s="230">
        <f t="shared" ref="AH22" si="112">R22-Q22</f>
        <v>6.3109999999999999</v>
      </c>
    </row>
    <row r="23" spans="1:34">
      <c r="A23" s="275"/>
      <c r="B23" s="10" t="s">
        <v>122</v>
      </c>
      <c r="C23" s="94">
        <v>33.128999999999998</v>
      </c>
      <c r="D23" s="11">
        <v>38.566000000000003</v>
      </c>
      <c r="E23" s="11">
        <v>41.93</v>
      </c>
      <c r="F23" s="11">
        <v>44.256999999999998</v>
      </c>
      <c r="G23" s="11">
        <v>45.274999999999999</v>
      </c>
      <c r="H23" s="11">
        <v>45.787999999999997</v>
      </c>
      <c r="I23" s="11">
        <v>45.954999999999998</v>
      </c>
      <c r="J23" s="11">
        <v>46.037999999999997</v>
      </c>
      <c r="K23" s="11">
        <v>46.197000000000003</v>
      </c>
      <c r="L23" s="11">
        <v>46.72</v>
      </c>
      <c r="M23" s="11"/>
      <c r="N23" s="11">
        <v>48.030999999999999</v>
      </c>
      <c r="O23" s="11">
        <v>51.06</v>
      </c>
      <c r="P23" s="11"/>
      <c r="Q23" s="11"/>
      <c r="R23" s="11">
        <v>55.503999999999998</v>
      </c>
      <c r="S23" s="13"/>
      <c r="T23" s="146">
        <f>R23-C23</f>
        <v>22.375</v>
      </c>
      <c r="V23" s="1"/>
      <c r="W23" s="229"/>
      <c r="X23" s="229"/>
      <c r="Y23" s="229"/>
      <c r="Z23" s="229"/>
      <c r="AA23" s="229"/>
      <c r="AB23" s="229"/>
      <c r="AC23" s="229"/>
      <c r="AD23" s="229"/>
      <c r="AE23" s="229"/>
      <c r="AF23" s="229"/>
      <c r="AG23" s="229"/>
      <c r="AH23" s="229"/>
    </row>
    <row r="24" spans="1:34">
      <c r="A24" s="174"/>
      <c r="B24" s="10"/>
      <c r="C24" s="9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9">
        <f>SUM(S4:S23)</f>
        <v>747.9259999999997</v>
      </c>
      <c r="T24" s="9">
        <f>SUM(T4:T23)</f>
        <v>197.46199999999999</v>
      </c>
    </row>
    <row r="25" spans="1:34">
      <c r="A25" s="174" t="s">
        <v>25</v>
      </c>
      <c r="B25" s="10" t="s">
        <v>123</v>
      </c>
      <c r="C25" s="95">
        <v>38231</v>
      </c>
      <c r="D25" s="15">
        <v>38532</v>
      </c>
      <c r="E25" s="15">
        <v>38952</v>
      </c>
      <c r="F25" s="15">
        <v>39289</v>
      </c>
      <c r="G25" s="15">
        <v>39600</v>
      </c>
      <c r="H25" s="15">
        <v>39950</v>
      </c>
      <c r="I25" s="15">
        <v>40211</v>
      </c>
      <c r="J25" s="15">
        <v>40496</v>
      </c>
      <c r="K25" s="15">
        <v>40815</v>
      </c>
      <c r="L25" s="15">
        <v>41079</v>
      </c>
      <c r="M25" s="15"/>
      <c r="N25" s="15">
        <v>41339</v>
      </c>
      <c r="O25" s="15">
        <v>41564</v>
      </c>
      <c r="P25" s="15"/>
      <c r="Q25" s="15"/>
      <c r="R25" s="15">
        <v>41829</v>
      </c>
      <c r="S25" s="9"/>
      <c r="U25" s="18">
        <f>R25-C25</f>
        <v>3598</v>
      </c>
    </row>
    <row r="26" spans="1:34">
      <c r="A26" s="174"/>
      <c r="B26" s="224" t="s">
        <v>312</v>
      </c>
      <c r="C26" s="96">
        <v>3520.4</v>
      </c>
      <c r="D26" s="20">
        <v>3603.1</v>
      </c>
      <c r="E26" s="20">
        <v>3675.1</v>
      </c>
      <c r="F26" s="20">
        <v>3750.6</v>
      </c>
      <c r="G26" s="20">
        <v>3834</v>
      </c>
      <c r="H26" s="20">
        <v>3911.8</v>
      </c>
      <c r="I26" s="20">
        <v>3980.1</v>
      </c>
      <c r="J26" s="20">
        <v>4040.2</v>
      </c>
      <c r="K26" s="20">
        <v>4110.5</v>
      </c>
      <c r="L26" s="20">
        <v>4191.2</v>
      </c>
      <c r="M26" s="20">
        <v>0</v>
      </c>
      <c r="N26" s="20">
        <v>70.900000000000006</v>
      </c>
      <c r="O26" s="20">
        <v>147.30000000000001</v>
      </c>
      <c r="P26" s="20">
        <v>162.80000000000001</v>
      </c>
      <c r="Q26" s="20">
        <v>162.80000000000001</v>
      </c>
      <c r="R26" s="20">
        <v>235.4</v>
      </c>
      <c r="S26" s="9">
        <f t="shared" ref="S26" si="113">R26-M26+L26-C26</f>
        <v>906.19999999999936</v>
      </c>
    </row>
    <row r="27" spans="1:34">
      <c r="A27" s="183"/>
      <c r="B27" s="10" t="s">
        <v>27</v>
      </c>
      <c r="C27" s="97">
        <v>172.06</v>
      </c>
      <c r="D27" s="21">
        <v>185.32</v>
      </c>
      <c r="E27" s="21">
        <v>194</v>
      </c>
      <c r="F27" s="21">
        <v>200.74</v>
      </c>
      <c r="G27" s="21">
        <v>204.88</v>
      </c>
      <c r="H27" s="21">
        <v>208.34</v>
      </c>
      <c r="I27" s="21">
        <v>209.92</v>
      </c>
      <c r="J27" s="21">
        <v>211.61</v>
      </c>
      <c r="K27" s="22">
        <v>213.33</v>
      </c>
      <c r="L27" s="21">
        <v>215.36</v>
      </c>
      <c r="M27" s="21"/>
      <c r="N27" s="21">
        <v>219.56</v>
      </c>
      <c r="O27" s="21">
        <v>226.96</v>
      </c>
      <c r="P27" s="21"/>
      <c r="Q27" s="21"/>
      <c r="R27" s="21">
        <v>237.45</v>
      </c>
      <c r="S27" s="9"/>
      <c r="T27" s="9">
        <f>(R27-C27)*3.6</f>
        <v>235.40399999999997</v>
      </c>
    </row>
    <row r="28" spans="1:34" ht="15.75" thickBot="1">
      <c r="A28" s="173"/>
      <c r="B28" s="31" t="s">
        <v>28</v>
      </c>
      <c r="C28" s="98">
        <v>9743</v>
      </c>
      <c r="D28" s="24">
        <v>10374</v>
      </c>
      <c r="E28" s="24">
        <v>10743</v>
      </c>
      <c r="F28" s="24">
        <v>11042</v>
      </c>
      <c r="G28" s="24">
        <v>11304</v>
      </c>
      <c r="H28" s="24">
        <v>11553</v>
      </c>
      <c r="I28" s="24">
        <v>11739</v>
      </c>
      <c r="J28" s="24">
        <v>11951</v>
      </c>
      <c r="K28" s="37">
        <v>12165</v>
      </c>
      <c r="L28" s="24">
        <v>12370</v>
      </c>
      <c r="M28" s="24"/>
      <c r="N28" s="24">
        <v>12628</v>
      </c>
      <c r="O28" s="24">
        <v>12893</v>
      </c>
      <c r="P28" s="24"/>
      <c r="Q28" s="24"/>
      <c r="R28" s="24">
        <v>13249</v>
      </c>
      <c r="S28" s="9"/>
    </row>
    <row r="29" spans="1:34" ht="15.75" thickBot="1">
      <c r="A29" s="187" t="str">
        <f>'1854'!A29</f>
        <v>Fakturační vodoměr:           02343759</v>
      </c>
      <c r="B29" s="25"/>
      <c r="C29" s="26">
        <f>'1854'!C29</f>
        <v>18371</v>
      </c>
      <c r="D29" s="26">
        <f>'1854'!D29</f>
        <v>18663.400000000001</v>
      </c>
      <c r="E29" s="26">
        <f>'1854'!E29</f>
        <v>18931.2</v>
      </c>
      <c r="F29" s="26">
        <f>'1854'!F29</f>
        <v>19208.5</v>
      </c>
      <c r="G29" s="26">
        <f>'1854'!G29</f>
        <v>19505.5</v>
      </c>
      <c r="H29" s="26">
        <f>'1854'!H29</f>
        <v>19795.5</v>
      </c>
      <c r="I29" s="26">
        <f>'1854'!I29</f>
        <v>20033.7</v>
      </c>
      <c r="J29" s="26">
        <f>'1854'!J29</f>
        <v>20265</v>
      </c>
      <c r="K29" s="26">
        <f>'1854'!K29</f>
        <v>20525.099999999999</v>
      </c>
      <c r="L29" s="26">
        <f>'1854'!L29</f>
        <v>20786.5</v>
      </c>
      <c r="M29" s="26"/>
      <c r="N29" s="26">
        <f>'1854'!N29</f>
        <v>21062.5</v>
      </c>
      <c r="O29" s="26">
        <f>'1854'!O29</f>
        <v>21335.599999999999</v>
      </c>
      <c r="P29" s="26"/>
      <c r="Q29" s="26"/>
      <c r="R29" s="26">
        <f>'1854'!R29</f>
        <v>21658.9</v>
      </c>
      <c r="S29" s="9">
        <f>R29-C29</f>
        <v>3287.9000000000015</v>
      </c>
    </row>
    <row r="31" spans="1:34">
      <c r="A31" s="176"/>
      <c r="D31" s="28" t="s">
        <v>29</v>
      </c>
      <c r="I31" s="217" t="s">
        <v>227</v>
      </c>
      <c r="J31" s="218"/>
      <c r="K31" s="219"/>
      <c r="L31" s="218"/>
    </row>
    <row r="32" spans="1:34">
      <c r="I32" t="s">
        <v>318</v>
      </c>
    </row>
    <row r="33" spans="9:12">
      <c r="I33" s="259" t="s">
        <v>346</v>
      </c>
      <c r="J33" s="257"/>
      <c r="K33" s="258"/>
      <c r="L33" s="257"/>
    </row>
  </sheetData>
  <sheetProtection selectLockedCells="1" selectUnlockedCells="1"/>
  <mergeCells count="10"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H4">
    <cfRule type="cellIs" dxfId="1247" priority="51" stopIfTrue="1" operator="lessThan">
      <formula>'1857'!$G$4</formula>
    </cfRule>
    <cfRule type="cellIs" dxfId="1246" priority="52" stopIfTrue="1" operator="equal">
      <formula>'1857'!$G$4</formula>
    </cfRule>
  </conditionalFormatting>
  <conditionalFormatting sqref="G7">
    <cfRule type="cellIs" dxfId="1245" priority="53" stopIfTrue="1" operator="equal">
      <formula>'1857'!$F$7</formula>
    </cfRule>
    <cfRule type="cellIs" dxfId="1244" priority="54" stopIfTrue="1" operator="lessThan">
      <formula>'1857'!$F$7</formula>
    </cfRule>
  </conditionalFormatting>
  <conditionalFormatting sqref="H5">
    <cfRule type="cellIs" dxfId="1243" priority="55" stopIfTrue="1" operator="equal">
      <formula>'1857'!$G$5</formula>
    </cfRule>
    <cfRule type="cellIs" dxfId="1242" priority="56" stopIfTrue="1" operator="lessThan">
      <formula>'1857'!$G$5</formula>
    </cfRule>
  </conditionalFormatting>
  <conditionalFormatting sqref="I5">
    <cfRule type="cellIs" dxfId="1241" priority="57" stopIfTrue="1" operator="equal">
      <formula>'1857'!$H$5</formula>
    </cfRule>
    <cfRule type="cellIs" dxfId="1240" priority="58" stopIfTrue="1" operator="lessThan">
      <formula>'1857'!$H$5</formula>
    </cfRule>
  </conditionalFormatting>
  <conditionalFormatting sqref="J5">
    <cfRule type="cellIs" dxfId="1239" priority="59" stopIfTrue="1" operator="equal">
      <formula>'1857'!$I$5</formula>
    </cfRule>
    <cfRule type="cellIs" dxfId="1238" priority="60" stopIfTrue="1" operator="lessThan">
      <formula>'1857'!$I$5</formula>
    </cfRule>
  </conditionalFormatting>
  <conditionalFormatting sqref="F4">
    <cfRule type="cellIs" dxfId="1237" priority="61" stopIfTrue="1" operator="equal">
      <formula>'1857'!$E$4</formula>
    </cfRule>
    <cfRule type="cellIs" dxfId="1236" priority="62" stopIfTrue="1" operator="lessThan">
      <formula>'1857'!$E$4</formula>
    </cfRule>
  </conditionalFormatting>
  <conditionalFormatting sqref="D4">
    <cfRule type="cellIs" dxfId="1235" priority="63" stopIfTrue="1" operator="lessThan">
      <formula>'1857'!$C$4</formula>
    </cfRule>
    <cfRule type="cellIs" dxfId="1234" priority="64" stopIfTrue="1" operator="equal">
      <formula>'1857'!$C$4</formula>
    </cfRule>
  </conditionalFormatting>
  <conditionalFormatting sqref="E4">
    <cfRule type="cellIs" dxfId="1233" priority="65" stopIfTrue="1" operator="equal">
      <formula>'1857'!$D$4</formula>
    </cfRule>
    <cfRule type="cellIs" dxfId="1232" priority="66" stopIfTrue="1" operator="lessThan">
      <formula>'1857'!$D$4</formula>
    </cfRule>
  </conditionalFormatting>
  <conditionalFormatting sqref="D5">
    <cfRule type="cellIs" dxfId="1231" priority="67" stopIfTrue="1" operator="equal">
      <formula>'1857'!$C$5</formula>
    </cfRule>
    <cfRule type="cellIs" dxfId="1230" priority="68" stopIfTrue="1" operator="lessThan">
      <formula>'1857'!$C$5</formula>
    </cfRule>
  </conditionalFormatting>
  <conditionalFormatting sqref="F5">
    <cfRule type="cellIs" dxfId="1229" priority="69" stopIfTrue="1" operator="equal">
      <formula>'1857'!$E$5</formula>
    </cfRule>
    <cfRule type="cellIs" dxfId="1228" priority="70" stopIfTrue="1" operator="lessThan">
      <formula>'1857'!$E$5</formula>
    </cfRule>
  </conditionalFormatting>
  <conditionalFormatting sqref="I4">
    <cfRule type="cellIs" dxfId="1227" priority="71" stopIfTrue="1" operator="equal">
      <formula>'1857'!$H$4</formula>
    </cfRule>
  </conditionalFormatting>
  <conditionalFormatting sqref="J4">
    <cfRule type="cellIs" dxfId="1226" priority="72" stopIfTrue="1" operator="lessThan">
      <formula>'1857'!$I$4</formula>
    </cfRule>
    <cfRule type="cellIs" dxfId="1225" priority="73" stopIfTrue="1" operator="equal">
      <formula>'1857'!$I$4</formula>
    </cfRule>
  </conditionalFormatting>
  <conditionalFormatting sqref="D6">
    <cfRule type="cellIs" dxfId="1224" priority="74" stopIfTrue="1" operator="equal">
      <formula>'1857'!$C$6</formula>
    </cfRule>
    <cfRule type="cellIs" dxfId="1223" priority="75" stopIfTrue="1" operator="lessThan">
      <formula>'1857'!$C$6</formula>
    </cfRule>
  </conditionalFormatting>
  <conditionalFormatting sqref="E6">
    <cfRule type="cellIs" dxfId="1222" priority="76" stopIfTrue="1" operator="equal">
      <formula>'1857'!$D$6</formula>
    </cfRule>
    <cfRule type="cellIs" dxfId="1221" priority="77" stopIfTrue="1" operator="lessThan">
      <formula>'1857'!$D$6</formula>
    </cfRule>
  </conditionalFormatting>
  <conditionalFormatting sqref="F6">
    <cfRule type="cellIs" dxfId="1220" priority="78" stopIfTrue="1" operator="equal">
      <formula>'1857'!$E$6</formula>
    </cfRule>
    <cfRule type="cellIs" dxfId="1219" priority="79" stopIfTrue="1" operator="lessThan">
      <formula>'1857'!$E$6</formula>
    </cfRule>
  </conditionalFormatting>
  <conditionalFormatting sqref="G6">
    <cfRule type="cellIs" dxfId="1218" priority="80" stopIfTrue="1" operator="equal">
      <formula>'1857'!$F$6</formula>
    </cfRule>
    <cfRule type="cellIs" dxfId="1217" priority="81" stopIfTrue="1" operator="lessThan">
      <formula>'1857'!$F$6</formula>
    </cfRule>
  </conditionalFormatting>
  <conditionalFormatting sqref="H6">
    <cfRule type="cellIs" dxfId="1216" priority="82" stopIfTrue="1" operator="equal">
      <formula>'1857'!$G$6</formula>
    </cfRule>
    <cfRule type="cellIs" dxfId="1215" priority="83" stopIfTrue="1" operator="lessThan">
      <formula>'1857'!$G$6</formula>
    </cfRule>
  </conditionalFormatting>
  <conditionalFormatting sqref="I6">
    <cfRule type="cellIs" dxfId="1214" priority="84" stopIfTrue="1" operator="equal">
      <formula>'1857'!$H$6</formula>
    </cfRule>
    <cfRule type="cellIs" dxfId="1213" priority="85" stopIfTrue="1" operator="lessThan">
      <formula>'1857'!$H$6</formula>
    </cfRule>
  </conditionalFormatting>
  <conditionalFormatting sqref="J6">
    <cfRule type="cellIs" dxfId="1212" priority="86" stopIfTrue="1" operator="equal">
      <formula>'1857'!$I$6</formula>
    </cfRule>
    <cfRule type="cellIs" dxfId="1211" priority="87" stopIfTrue="1" operator="lessThan">
      <formula>'1857'!$I$6</formula>
    </cfRule>
  </conditionalFormatting>
  <conditionalFormatting sqref="D7">
    <cfRule type="cellIs" dxfId="1210" priority="88" stopIfTrue="1" operator="equal">
      <formula>'1857'!$C$7</formula>
    </cfRule>
    <cfRule type="cellIs" dxfId="1209" priority="89" stopIfTrue="1" operator="lessThan">
      <formula>'1857'!$C$7</formula>
    </cfRule>
  </conditionalFormatting>
  <conditionalFormatting sqref="E7">
    <cfRule type="cellIs" dxfId="1208" priority="90" stopIfTrue="1" operator="equal">
      <formula>'1857'!$D$7</formula>
    </cfRule>
    <cfRule type="cellIs" dxfId="1207" priority="91" stopIfTrue="1" operator="lessThan">
      <formula>'1857'!$D$7</formula>
    </cfRule>
  </conditionalFormatting>
  <conditionalFormatting sqref="F7">
    <cfRule type="cellIs" dxfId="1206" priority="92" stopIfTrue="1" operator="equal">
      <formula>'1857'!$E$7</formula>
    </cfRule>
    <cfRule type="cellIs" dxfId="1205" priority="93" stopIfTrue="1" operator="lessThan">
      <formula>'1857'!$E$7</formula>
    </cfRule>
  </conditionalFormatting>
  <conditionalFormatting sqref="H7">
    <cfRule type="cellIs" dxfId="1204" priority="94" stopIfTrue="1" operator="equal">
      <formula>'1857'!$G$7</formula>
    </cfRule>
    <cfRule type="cellIs" dxfId="1203" priority="95" stopIfTrue="1" operator="lessThan">
      <formula>'1857'!$G$7</formula>
    </cfRule>
  </conditionalFormatting>
  <conditionalFormatting sqref="I7">
    <cfRule type="cellIs" dxfId="1202" priority="96" stopIfTrue="1" operator="equal">
      <formula>'1857'!$H$7</formula>
    </cfRule>
    <cfRule type="cellIs" dxfId="1201" priority="97" stopIfTrue="1" operator="lessThan">
      <formula>'1857'!$H$7</formula>
    </cfRule>
  </conditionalFormatting>
  <conditionalFormatting sqref="J7">
    <cfRule type="cellIs" dxfId="1200" priority="98" stopIfTrue="1" operator="equal">
      <formula>'1857'!$I$7</formula>
    </cfRule>
    <cfRule type="cellIs" dxfId="1199" priority="99" stopIfTrue="1" operator="lessThan">
      <formula>'1857'!$I$7</formula>
    </cfRule>
  </conditionalFormatting>
  <conditionalFormatting sqref="D8">
    <cfRule type="cellIs" dxfId="1198" priority="100" stopIfTrue="1" operator="equal">
      <formula>'1857'!$C$8</formula>
    </cfRule>
    <cfRule type="cellIs" dxfId="1197" priority="101" stopIfTrue="1" operator="lessThan">
      <formula>'1857'!$C$8</formula>
    </cfRule>
  </conditionalFormatting>
  <conditionalFormatting sqref="E8">
    <cfRule type="cellIs" dxfId="1196" priority="102" stopIfTrue="1" operator="equal">
      <formula>'1857'!$D$8</formula>
    </cfRule>
    <cfRule type="cellIs" dxfId="1195" priority="103" stopIfTrue="1" operator="lessThan">
      <formula>'1857'!$D$8</formula>
    </cfRule>
  </conditionalFormatting>
  <conditionalFormatting sqref="F8">
    <cfRule type="cellIs" dxfId="1194" priority="104" stopIfTrue="1" operator="equal">
      <formula>'1857'!$E$8</formula>
    </cfRule>
    <cfRule type="cellIs" dxfId="1193" priority="105" stopIfTrue="1" operator="lessThan">
      <formula>'1857'!$E$8</formula>
    </cfRule>
  </conditionalFormatting>
  <conditionalFormatting sqref="G8">
    <cfRule type="cellIs" dxfId="1192" priority="106" stopIfTrue="1" operator="equal">
      <formula>'1857'!$F$8</formula>
    </cfRule>
    <cfRule type="cellIs" dxfId="1191" priority="107" stopIfTrue="1" operator="lessThan">
      <formula>'1857'!$F$8</formula>
    </cfRule>
  </conditionalFormatting>
  <conditionalFormatting sqref="H8">
    <cfRule type="cellIs" dxfId="1190" priority="108" stopIfTrue="1" operator="equal">
      <formula>'1857'!$G$8</formula>
    </cfRule>
    <cfRule type="cellIs" dxfId="1189" priority="109" stopIfTrue="1" operator="lessThan">
      <formula>'1857'!$G$8</formula>
    </cfRule>
  </conditionalFormatting>
  <conditionalFormatting sqref="I8">
    <cfRule type="cellIs" dxfId="1188" priority="110" stopIfTrue="1" operator="equal">
      <formula>'1857'!$H$8</formula>
    </cfRule>
    <cfRule type="cellIs" dxfId="1187" priority="111" stopIfTrue="1" operator="lessThan">
      <formula>'1857'!$H$8</formula>
    </cfRule>
  </conditionalFormatting>
  <conditionalFormatting sqref="J8">
    <cfRule type="cellIs" dxfId="1186" priority="112" stopIfTrue="1" operator="equal">
      <formula>'1857'!$I$8</formula>
    </cfRule>
    <cfRule type="cellIs" dxfId="1185" priority="113" stopIfTrue="1" operator="lessThan">
      <formula>'1857'!$I$8</formula>
    </cfRule>
  </conditionalFormatting>
  <conditionalFormatting sqref="D9">
    <cfRule type="cellIs" dxfId="1184" priority="114" stopIfTrue="1" operator="equal">
      <formula>'1857'!$C$9</formula>
    </cfRule>
    <cfRule type="cellIs" dxfId="1183" priority="115" stopIfTrue="1" operator="lessThan">
      <formula>'1857'!$C$9</formula>
    </cfRule>
  </conditionalFormatting>
  <conditionalFormatting sqref="E9">
    <cfRule type="cellIs" dxfId="1182" priority="116" stopIfTrue="1" operator="equal">
      <formula>'1857'!$D$9</formula>
    </cfRule>
    <cfRule type="cellIs" dxfId="1181" priority="117" stopIfTrue="1" operator="lessThan">
      <formula>'1857'!$D$9</formula>
    </cfRule>
  </conditionalFormatting>
  <conditionalFormatting sqref="F9">
    <cfRule type="cellIs" dxfId="1180" priority="118" stopIfTrue="1" operator="equal">
      <formula>'1857'!$E$9</formula>
    </cfRule>
    <cfRule type="cellIs" dxfId="1179" priority="119" stopIfTrue="1" operator="lessThan">
      <formula>'1857'!$E$9</formula>
    </cfRule>
  </conditionalFormatting>
  <conditionalFormatting sqref="G9">
    <cfRule type="cellIs" dxfId="1178" priority="120" stopIfTrue="1" operator="equal">
      <formula>'1857'!$F$9</formula>
    </cfRule>
    <cfRule type="cellIs" dxfId="1177" priority="121" stopIfTrue="1" operator="lessThan">
      <formula>'1857'!$F$9</formula>
    </cfRule>
  </conditionalFormatting>
  <conditionalFormatting sqref="H9">
    <cfRule type="cellIs" dxfId="1176" priority="122" stopIfTrue="1" operator="equal">
      <formula>'1857'!$G$9</formula>
    </cfRule>
    <cfRule type="cellIs" dxfId="1175" priority="123" stopIfTrue="1" operator="lessThan">
      <formula>'1857'!$G$9</formula>
    </cfRule>
  </conditionalFormatting>
  <conditionalFormatting sqref="I9">
    <cfRule type="cellIs" dxfId="1174" priority="124" stopIfTrue="1" operator="equal">
      <formula>'1857'!$H$9</formula>
    </cfRule>
    <cfRule type="cellIs" dxfId="1173" priority="125" stopIfTrue="1" operator="lessThan">
      <formula>'1857'!$H$9</formula>
    </cfRule>
  </conditionalFormatting>
  <conditionalFormatting sqref="J9">
    <cfRule type="cellIs" dxfId="1172" priority="126" stopIfTrue="1" operator="equal">
      <formula>'1857'!$I$9</formula>
    </cfRule>
    <cfRule type="cellIs" dxfId="1171" priority="127" stopIfTrue="1" operator="lessThan">
      <formula>'1857'!$I$9</formula>
    </cfRule>
  </conditionalFormatting>
  <conditionalFormatting sqref="D10">
    <cfRule type="cellIs" dxfId="1170" priority="128" stopIfTrue="1" operator="equal">
      <formula>'1857'!$C$10</formula>
    </cfRule>
    <cfRule type="cellIs" dxfId="1169" priority="129" stopIfTrue="1" operator="lessThan">
      <formula>'1857'!$C$10</formula>
    </cfRule>
  </conditionalFormatting>
  <conditionalFormatting sqref="E10">
    <cfRule type="cellIs" dxfId="1168" priority="130" stopIfTrue="1" operator="equal">
      <formula>'1857'!$D$10</formula>
    </cfRule>
    <cfRule type="cellIs" dxfId="1167" priority="131" stopIfTrue="1" operator="lessThan">
      <formula>'1857'!$D$10</formula>
    </cfRule>
  </conditionalFormatting>
  <conditionalFormatting sqref="F10">
    <cfRule type="cellIs" dxfId="1166" priority="132" stopIfTrue="1" operator="equal">
      <formula>'1857'!$E$10</formula>
    </cfRule>
    <cfRule type="cellIs" dxfId="1165" priority="133" stopIfTrue="1" operator="lessThan">
      <formula>'1857'!$E$10</formula>
    </cfRule>
  </conditionalFormatting>
  <conditionalFormatting sqref="G10">
    <cfRule type="cellIs" dxfId="1164" priority="134" stopIfTrue="1" operator="equal">
      <formula>'1857'!$F$10</formula>
    </cfRule>
    <cfRule type="cellIs" dxfId="1163" priority="135" stopIfTrue="1" operator="lessThan">
      <formula>'1857'!$F$10</formula>
    </cfRule>
  </conditionalFormatting>
  <conditionalFormatting sqref="H10">
    <cfRule type="cellIs" dxfId="1162" priority="136" stopIfTrue="1" operator="equal">
      <formula>'1857'!$G$10</formula>
    </cfRule>
    <cfRule type="cellIs" dxfId="1161" priority="137" stopIfTrue="1" operator="lessThan">
      <formula>'1857'!$G$10</formula>
    </cfRule>
  </conditionalFormatting>
  <conditionalFormatting sqref="I10">
    <cfRule type="cellIs" dxfId="1160" priority="138" stopIfTrue="1" operator="equal">
      <formula>'1857'!$H$10</formula>
    </cfRule>
    <cfRule type="cellIs" dxfId="1159" priority="139" stopIfTrue="1" operator="lessThan">
      <formula>'1857'!$H$10</formula>
    </cfRule>
  </conditionalFormatting>
  <conditionalFormatting sqref="J10">
    <cfRule type="cellIs" dxfId="1158" priority="140" stopIfTrue="1" operator="equal">
      <formula>'1857'!$I$10</formula>
    </cfRule>
    <cfRule type="cellIs" dxfId="1157" priority="141" stopIfTrue="1" operator="lessThan">
      <formula>'1857'!$I$10</formula>
    </cfRule>
  </conditionalFormatting>
  <conditionalFormatting sqref="D11">
    <cfRule type="cellIs" dxfId="1156" priority="142" stopIfTrue="1" operator="equal">
      <formula>'1857'!$C$11</formula>
    </cfRule>
    <cfRule type="cellIs" dxfId="1155" priority="143" stopIfTrue="1" operator="lessThan">
      <formula>'1857'!$C$11</formula>
    </cfRule>
  </conditionalFormatting>
  <conditionalFormatting sqref="E11">
    <cfRule type="cellIs" dxfId="1154" priority="144" stopIfTrue="1" operator="equal">
      <formula>'1857'!$D$11</formula>
    </cfRule>
    <cfRule type="cellIs" dxfId="1153" priority="145" stopIfTrue="1" operator="lessThan">
      <formula>'1857'!$D$11</formula>
    </cfRule>
  </conditionalFormatting>
  <conditionalFormatting sqref="F11">
    <cfRule type="cellIs" dxfId="1152" priority="146" stopIfTrue="1" operator="equal">
      <formula>'1857'!$E$11</formula>
    </cfRule>
    <cfRule type="cellIs" dxfId="1151" priority="147" stopIfTrue="1" operator="lessThan">
      <formula>'1857'!$E$11</formula>
    </cfRule>
  </conditionalFormatting>
  <conditionalFormatting sqref="G11">
    <cfRule type="cellIs" dxfId="1150" priority="148" stopIfTrue="1" operator="equal">
      <formula>'1857'!$F$11</formula>
    </cfRule>
    <cfRule type="cellIs" dxfId="1149" priority="149" stopIfTrue="1" operator="lessThan">
      <formula>'1857'!$F$11</formula>
    </cfRule>
  </conditionalFormatting>
  <conditionalFormatting sqref="H11">
    <cfRule type="cellIs" dxfId="1148" priority="150" stopIfTrue="1" operator="equal">
      <formula>'1857'!$G$11</formula>
    </cfRule>
    <cfRule type="cellIs" dxfId="1147" priority="151" stopIfTrue="1" operator="lessThan">
      <formula>'1857'!$G$11</formula>
    </cfRule>
  </conditionalFormatting>
  <conditionalFormatting sqref="I11">
    <cfRule type="cellIs" dxfId="1146" priority="152" stopIfTrue="1" operator="equal">
      <formula>'1857'!$H$11</formula>
    </cfRule>
    <cfRule type="cellIs" dxfId="1145" priority="153" stopIfTrue="1" operator="lessThan">
      <formula>'1857'!$H$11</formula>
    </cfRule>
  </conditionalFormatting>
  <conditionalFormatting sqref="J11">
    <cfRule type="cellIs" dxfId="1144" priority="154" stopIfTrue="1" operator="equal">
      <formula>'1857'!$I$11</formula>
    </cfRule>
    <cfRule type="cellIs" dxfId="1143" priority="155" stopIfTrue="1" operator="lessThan">
      <formula>'1857'!$I$11</formula>
    </cfRule>
  </conditionalFormatting>
  <conditionalFormatting sqref="D12">
    <cfRule type="cellIs" dxfId="1142" priority="156" stopIfTrue="1" operator="equal">
      <formula>'1857'!$C$12</formula>
    </cfRule>
    <cfRule type="cellIs" dxfId="1141" priority="157" stopIfTrue="1" operator="lessThan">
      <formula>'1857'!$C$12</formula>
    </cfRule>
  </conditionalFormatting>
  <conditionalFormatting sqref="E12">
    <cfRule type="cellIs" dxfId="1140" priority="158" stopIfTrue="1" operator="equal">
      <formula>'1857'!$D$12</formula>
    </cfRule>
    <cfRule type="cellIs" dxfId="1139" priority="159" stopIfTrue="1" operator="lessThan">
      <formula>'1857'!$D$12</formula>
    </cfRule>
  </conditionalFormatting>
  <conditionalFormatting sqref="F12">
    <cfRule type="cellIs" dxfId="1138" priority="160" stopIfTrue="1" operator="equal">
      <formula>'1857'!$E$12</formula>
    </cfRule>
    <cfRule type="cellIs" dxfId="1137" priority="161" stopIfTrue="1" operator="lessThan">
      <formula>'1857'!$E$12</formula>
    </cfRule>
  </conditionalFormatting>
  <conditionalFormatting sqref="G12">
    <cfRule type="cellIs" dxfId="1136" priority="162" stopIfTrue="1" operator="equal">
      <formula>'1857'!$F$12</formula>
    </cfRule>
    <cfRule type="cellIs" dxfId="1135" priority="163" stopIfTrue="1" operator="lessThan">
      <formula>'1857'!$F$12</formula>
    </cfRule>
  </conditionalFormatting>
  <conditionalFormatting sqref="H12">
    <cfRule type="cellIs" dxfId="1134" priority="164" stopIfTrue="1" operator="equal">
      <formula>'1857'!$G$12</formula>
    </cfRule>
    <cfRule type="cellIs" dxfId="1133" priority="165" stopIfTrue="1" operator="lessThan">
      <formula>'1857'!$G$12</formula>
    </cfRule>
  </conditionalFormatting>
  <conditionalFormatting sqref="I12">
    <cfRule type="cellIs" dxfId="1132" priority="166" stopIfTrue="1" operator="equal">
      <formula>'1857'!$H$12</formula>
    </cfRule>
    <cfRule type="cellIs" dxfId="1131" priority="167" stopIfTrue="1" operator="lessThan">
      <formula>'1857'!$H$12</formula>
    </cfRule>
  </conditionalFormatting>
  <conditionalFormatting sqref="J12">
    <cfRule type="cellIs" dxfId="1130" priority="168" stopIfTrue="1" operator="equal">
      <formula>'1857'!$I$12</formula>
    </cfRule>
    <cfRule type="cellIs" dxfId="1129" priority="169" stopIfTrue="1" operator="lessThan">
      <formula>'1857'!$I$12</formula>
    </cfRule>
  </conditionalFormatting>
  <conditionalFormatting sqref="D14">
    <cfRule type="cellIs" dxfId="1128" priority="170" stopIfTrue="1" operator="equal">
      <formula>'1857'!$C$14</formula>
    </cfRule>
    <cfRule type="cellIs" dxfId="1127" priority="171" stopIfTrue="1" operator="lessThan">
      <formula>'1857'!$C$14</formula>
    </cfRule>
  </conditionalFormatting>
  <conditionalFormatting sqref="D15">
    <cfRule type="cellIs" dxfId="1126" priority="172" stopIfTrue="1" operator="equal">
      <formula>'1857'!$C$15</formula>
    </cfRule>
    <cfRule type="cellIs" dxfId="1125" priority="173" stopIfTrue="1" operator="lessThan">
      <formula>'1857'!$C$15</formula>
    </cfRule>
  </conditionalFormatting>
  <conditionalFormatting sqref="D16">
    <cfRule type="cellIs" dxfId="1124" priority="174" stopIfTrue="1" operator="equal">
      <formula>'1857'!$C$16</formula>
    </cfRule>
    <cfRule type="cellIs" dxfId="1123" priority="175" stopIfTrue="1" operator="lessThan">
      <formula>'1857'!$C$16</formula>
    </cfRule>
  </conditionalFormatting>
  <conditionalFormatting sqref="D17">
    <cfRule type="cellIs" dxfId="1122" priority="176" stopIfTrue="1" operator="equal">
      <formula>'1857'!$C$17</formula>
    </cfRule>
    <cfRule type="cellIs" dxfId="1121" priority="177" stopIfTrue="1" operator="lessThan">
      <formula>'1857'!$C$17</formula>
    </cfRule>
  </conditionalFormatting>
  <conditionalFormatting sqref="D18">
    <cfRule type="cellIs" dxfId="1120" priority="178" stopIfTrue="1" operator="equal">
      <formula>'1857'!$C$18</formula>
    </cfRule>
    <cfRule type="cellIs" dxfId="1119" priority="179" stopIfTrue="1" operator="lessThan">
      <formula>'1857'!$C$18</formula>
    </cfRule>
  </conditionalFormatting>
  <conditionalFormatting sqref="D19">
    <cfRule type="cellIs" dxfId="1118" priority="180" stopIfTrue="1" operator="equal">
      <formula>'1857'!$C$19</formula>
    </cfRule>
    <cfRule type="cellIs" dxfId="1117" priority="181" stopIfTrue="1" operator="lessThan">
      <formula>'1857'!$C$19</formula>
    </cfRule>
  </conditionalFormatting>
  <conditionalFormatting sqref="D20">
    <cfRule type="cellIs" dxfId="1116" priority="182" stopIfTrue="1" operator="equal">
      <formula>'1857'!$C$20</formula>
    </cfRule>
    <cfRule type="cellIs" dxfId="1115" priority="183" stopIfTrue="1" operator="lessThan">
      <formula>'1857'!$C$20</formula>
    </cfRule>
  </conditionalFormatting>
  <conditionalFormatting sqref="D21">
    <cfRule type="cellIs" dxfId="1114" priority="184" stopIfTrue="1" operator="equal">
      <formula>'1857'!$C$21</formula>
    </cfRule>
    <cfRule type="cellIs" dxfId="1113" priority="185" stopIfTrue="1" operator="lessThan">
      <formula>'1857'!$C$21</formula>
    </cfRule>
  </conditionalFormatting>
  <conditionalFormatting sqref="D22">
    <cfRule type="cellIs" dxfId="1112" priority="186" stopIfTrue="1" operator="equal">
      <formula>'1857'!$C$22</formula>
    </cfRule>
    <cfRule type="cellIs" dxfId="1111" priority="187" stopIfTrue="1" operator="lessThan">
      <formula>'1857'!$C$22</formula>
    </cfRule>
  </conditionalFormatting>
  <conditionalFormatting sqref="D23">
    <cfRule type="cellIs" dxfId="1110" priority="188" stopIfTrue="1" operator="equal">
      <formula>'1857'!$C$23</formula>
    </cfRule>
    <cfRule type="cellIs" dxfId="1109" priority="189" stopIfTrue="1" operator="lessThan">
      <formula>'1857'!$C$23</formula>
    </cfRule>
  </conditionalFormatting>
  <conditionalFormatting sqref="D25">
    <cfRule type="cellIs" dxfId="1108" priority="190" stopIfTrue="1" operator="equal">
      <formula>'1857'!$C$25</formula>
    </cfRule>
    <cfRule type="cellIs" dxfId="1107" priority="191" stopIfTrue="1" operator="lessThan">
      <formula>'1857'!$C$25</formula>
    </cfRule>
  </conditionalFormatting>
  <conditionalFormatting sqref="D26">
    <cfRule type="cellIs" dxfId="1106" priority="192" stopIfTrue="1" operator="equal">
      <formula>'1857'!$C$26</formula>
    </cfRule>
    <cfRule type="cellIs" dxfId="1105" priority="193" stopIfTrue="1" operator="lessThan">
      <formula>'1857'!$C$26</formula>
    </cfRule>
  </conditionalFormatting>
  <conditionalFormatting sqref="D27">
    <cfRule type="cellIs" dxfId="1104" priority="194" stopIfTrue="1" operator="equal">
      <formula>'1857'!$C$27</formula>
    </cfRule>
    <cfRule type="cellIs" dxfId="1103" priority="195" stopIfTrue="1" operator="lessThan">
      <formula>'1857'!$C$27</formula>
    </cfRule>
  </conditionalFormatting>
  <conditionalFormatting sqref="D28">
    <cfRule type="cellIs" dxfId="1102" priority="196" stopIfTrue="1" operator="equal">
      <formula>'1857'!$C$28</formula>
    </cfRule>
    <cfRule type="cellIs" dxfId="1101" priority="197" stopIfTrue="1" operator="lessThan">
      <formula>'1857'!$C$28</formula>
    </cfRule>
  </conditionalFormatting>
  <conditionalFormatting sqref="E13">
    <cfRule type="cellIs" dxfId="1100" priority="198" stopIfTrue="1" operator="equal">
      <formula>'1857'!$D$13</formula>
    </cfRule>
    <cfRule type="cellIs" dxfId="1099" priority="199" stopIfTrue="1" operator="lessThan">
      <formula>'1857'!$D$13</formula>
    </cfRule>
  </conditionalFormatting>
  <conditionalFormatting sqref="E14">
    <cfRule type="cellIs" dxfId="1098" priority="200" stopIfTrue="1" operator="equal">
      <formula>'1857'!$D$14</formula>
    </cfRule>
    <cfRule type="cellIs" dxfId="1097" priority="201" stopIfTrue="1" operator="lessThan">
      <formula>'1857'!$D$14</formula>
    </cfRule>
  </conditionalFormatting>
  <conditionalFormatting sqref="E15">
    <cfRule type="cellIs" dxfId="1096" priority="202" stopIfTrue="1" operator="equal">
      <formula>'1857'!$D$15</formula>
    </cfRule>
    <cfRule type="cellIs" dxfId="1095" priority="203" stopIfTrue="1" operator="lessThan">
      <formula>'1857'!$D$15</formula>
    </cfRule>
  </conditionalFormatting>
  <conditionalFormatting sqref="E16">
    <cfRule type="cellIs" dxfId="1094" priority="204" stopIfTrue="1" operator="equal">
      <formula>'1857'!$D$16</formula>
    </cfRule>
    <cfRule type="cellIs" dxfId="1093" priority="205" stopIfTrue="1" operator="lessThan">
      <formula>'1857'!$D$16</formula>
    </cfRule>
  </conditionalFormatting>
  <conditionalFormatting sqref="E17">
    <cfRule type="cellIs" dxfId="1092" priority="206" stopIfTrue="1" operator="equal">
      <formula>'1857'!$D$17</formula>
    </cfRule>
    <cfRule type="cellIs" dxfId="1091" priority="207" stopIfTrue="1" operator="lessThan">
      <formula>'1857'!$D$17</formula>
    </cfRule>
  </conditionalFormatting>
  <conditionalFormatting sqref="E18">
    <cfRule type="cellIs" dxfId="1090" priority="208" stopIfTrue="1" operator="equal">
      <formula>'1857'!$D$18</formula>
    </cfRule>
    <cfRule type="cellIs" dxfId="1089" priority="209" stopIfTrue="1" operator="lessThan">
      <formula>'1857'!$D$18</formula>
    </cfRule>
  </conditionalFormatting>
  <conditionalFormatting sqref="E19">
    <cfRule type="cellIs" dxfId="1088" priority="210" stopIfTrue="1" operator="equal">
      <formula>'1857'!$D$19</formula>
    </cfRule>
    <cfRule type="cellIs" dxfId="1087" priority="211" stopIfTrue="1" operator="lessThan">
      <formula>'1857'!$D$19</formula>
    </cfRule>
  </conditionalFormatting>
  <conditionalFormatting sqref="E20">
    <cfRule type="cellIs" dxfId="1086" priority="212" stopIfTrue="1" operator="equal">
      <formula>'1857'!$D$20</formula>
    </cfRule>
    <cfRule type="cellIs" dxfId="1085" priority="213" stopIfTrue="1" operator="lessThan">
      <formula>'1857'!$D$20</formula>
    </cfRule>
  </conditionalFormatting>
  <conditionalFormatting sqref="E21">
    <cfRule type="cellIs" dxfId="1084" priority="214" stopIfTrue="1" operator="equal">
      <formula>'1857'!$D$21</formula>
    </cfRule>
    <cfRule type="cellIs" dxfId="1083" priority="215" stopIfTrue="1" operator="lessThan">
      <formula>'1857'!$D$21</formula>
    </cfRule>
  </conditionalFormatting>
  <conditionalFormatting sqref="E22">
    <cfRule type="cellIs" dxfId="1082" priority="216" stopIfTrue="1" operator="equal">
      <formula>'1857'!$D$22</formula>
    </cfRule>
    <cfRule type="cellIs" dxfId="1081" priority="217" stopIfTrue="1" operator="lessThan">
      <formula>'1857'!$D$22</formula>
    </cfRule>
  </conditionalFormatting>
  <conditionalFormatting sqref="E23">
    <cfRule type="cellIs" dxfId="1080" priority="218" stopIfTrue="1" operator="equal">
      <formula>'1857'!$D$23</formula>
    </cfRule>
    <cfRule type="cellIs" dxfId="1079" priority="219" stopIfTrue="1" operator="lessThan">
      <formula>'1857'!$D$23</formula>
    </cfRule>
  </conditionalFormatting>
  <conditionalFormatting sqref="E25">
    <cfRule type="cellIs" dxfId="1078" priority="220" stopIfTrue="1" operator="equal">
      <formula>'1857'!$D$25</formula>
    </cfRule>
    <cfRule type="cellIs" dxfId="1077" priority="221" stopIfTrue="1" operator="lessThan">
      <formula>'1857'!$D$25</formula>
    </cfRule>
  </conditionalFormatting>
  <conditionalFormatting sqref="E26">
    <cfRule type="cellIs" dxfId="1076" priority="222" stopIfTrue="1" operator="equal">
      <formula>'1857'!$D$26</formula>
    </cfRule>
    <cfRule type="cellIs" dxfId="1075" priority="223" stopIfTrue="1" operator="lessThan">
      <formula>'1857'!$D$26</formula>
    </cfRule>
  </conditionalFormatting>
  <conditionalFormatting sqref="E27">
    <cfRule type="cellIs" dxfId="1074" priority="224" stopIfTrue="1" operator="equal">
      <formula>'1857'!$D$27</formula>
    </cfRule>
    <cfRule type="cellIs" dxfId="1073" priority="225" stopIfTrue="1" operator="lessThan">
      <formula>'1857'!$D$27</formula>
    </cfRule>
  </conditionalFormatting>
  <conditionalFormatting sqref="E28">
    <cfRule type="cellIs" dxfId="1072" priority="226" stopIfTrue="1" operator="equal">
      <formula>'1857'!$D$28</formula>
    </cfRule>
    <cfRule type="cellIs" dxfId="1071" priority="227" stopIfTrue="1" operator="lessThan">
      <formula>'1857'!$D$28</formula>
    </cfRule>
  </conditionalFormatting>
  <conditionalFormatting sqref="F13">
    <cfRule type="cellIs" dxfId="1070" priority="228" stopIfTrue="1" operator="equal">
      <formula>'1857'!$E$13</formula>
    </cfRule>
    <cfRule type="cellIs" dxfId="1069" priority="229" stopIfTrue="1" operator="lessThan">
      <formula>'1857'!$E$13</formula>
    </cfRule>
  </conditionalFormatting>
  <conditionalFormatting sqref="F14">
    <cfRule type="cellIs" dxfId="1068" priority="230" stopIfTrue="1" operator="equal">
      <formula>'1857'!$E$14</formula>
    </cfRule>
    <cfRule type="cellIs" dxfId="1067" priority="231" stopIfTrue="1" operator="lessThan">
      <formula>'1857'!$E$14</formula>
    </cfRule>
  </conditionalFormatting>
  <conditionalFormatting sqref="F15">
    <cfRule type="cellIs" dxfId="1066" priority="232" stopIfTrue="1" operator="equal">
      <formula>'1857'!$E$15</formula>
    </cfRule>
    <cfRule type="cellIs" dxfId="1065" priority="233" stopIfTrue="1" operator="lessThan">
      <formula>'1857'!$E$15</formula>
    </cfRule>
  </conditionalFormatting>
  <conditionalFormatting sqref="F16">
    <cfRule type="cellIs" dxfId="1064" priority="234" stopIfTrue="1" operator="equal">
      <formula>'1857'!$E$16</formula>
    </cfRule>
    <cfRule type="cellIs" dxfId="1063" priority="235" stopIfTrue="1" operator="lessThan">
      <formula>'1857'!$E$16</formula>
    </cfRule>
  </conditionalFormatting>
  <conditionalFormatting sqref="F17">
    <cfRule type="cellIs" dxfId="1062" priority="236" stopIfTrue="1" operator="equal">
      <formula>'1857'!$E$17</formula>
    </cfRule>
    <cfRule type="cellIs" dxfId="1061" priority="237" stopIfTrue="1" operator="lessThan">
      <formula>'1857'!$E$17</formula>
    </cfRule>
  </conditionalFormatting>
  <conditionalFormatting sqref="F18">
    <cfRule type="cellIs" dxfId="1060" priority="238" stopIfTrue="1" operator="equal">
      <formula>'1857'!$E$18</formula>
    </cfRule>
    <cfRule type="cellIs" dxfId="1059" priority="239" stopIfTrue="1" operator="lessThan">
      <formula>'1857'!$E$18</formula>
    </cfRule>
  </conditionalFormatting>
  <conditionalFormatting sqref="F19">
    <cfRule type="cellIs" dxfId="1058" priority="240" stopIfTrue="1" operator="equal">
      <formula>'1857'!$E$19</formula>
    </cfRule>
    <cfRule type="cellIs" dxfId="1057" priority="241" stopIfTrue="1" operator="lessThan">
      <formula>'1857'!$E$19</formula>
    </cfRule>
  </conditionalFormatting>
  <conditionalFormatting sqref="F20">
    <cfRule type="cellIs" dxfId="1056" priority="242" stopIfTrue="1" operator="equal">
      <formula>'1857'!$E$20</formula>
    </cfRule>
    <cfRule type="cellIs" dxfId="1055" priority="243" stopIfTrue="1" operator="lessThan">
      <formula>'1857'!$E$20</formula>
    </cfRule>
  </conditionalFormatting>
  <conditionalFormatting sqref="F21">
    <cfRule type="cellIs" dxfId="1054" priority="244" stopIfTrue="1" operator="equal">
      <formula>'1857'!$E$21</formula>
    </cfRule>
    <cfRule type="cellIs" dxfId="1053" priority="245" stopIfTrue="1" operator="lessThan">
      <formula>'1857'!$E$21</formula>
    </cfRule>
  </conditionalFormatting>
  <conditionalFormatting sqref="F22">
    <cfRule type="cellIs" dxfId="1052" priority="246" stopIfTrue="1" operator="equal">
      <formula>'1857'!$E$22</formula>
    </cfRule>
    <cfRule type="cellIs" dxfId="1051" priority="247" stopIfTrue="1" operator="lessThan">
      <formula>'1857'!$E$22</formula>
    </cfRule>
  </conditionalFormatting>
  <conditionalFormatting sqref="F23">
    <cfRule type="cellIs" dxfId="1050" priority="248" stopIfTrue="1" operator="equal">
      <formula>'1857'!$E$23</formula>
    </cfRule>
    <cfRule type="cellIs" dxfId="1049" priority="249" stopIfTrue="1" operator="lessThan">
      <formula>'1857'!$E$23</formula>
    </cfRule>
  </conditionalFormatting>
  <conditionalFormatting sqref="F25">
    <cfRule type="cellIs" dxfId="1048" priority="250" stopIfTrue="1" operator="equal">
      <formula>'1857'!$E$25</formula>
    </cfRule>
    <cfRule type="cellIs" dxfId="1047" priority="251" stopIfTrue="1" operator="lessThan">
      <formula>'1857'!$E$25</formula>
    </cfRule>
  </conditionalFormatting>
  <conditionalFormatting sqref="F26">
    <cfRule type="cellIs" dxfId="1046" priority="252" stopIfTrue="1" operator="equal">
      <formula>'1857'!$E$26</formula>
    </cfRule>
    <cfRule type="cellIs" dxfId="1045" priority="253" stopIfTrue="1" operator="lessThan">
      <formula>'1857'!$E$26</formula>
    </cfRule>
  </conditionalFormatting>
  <conditionalFormatting sqref="F27">
    <cfRule type="cellIs" dxfId="1044" priority="254" stopIfTrue="1" operator="equal">
      <formula>'1857'!$E$27</formula>
    </cfRule>
    <cfRule type="cellIs" dxfId="1043" priority="255" stopIfTrue="1" operator="lessThan">
      <formula>'1857'!$E$27</formula>
    </cfRule>
  </conditionalFormatting>
  <conditionalFormatting sqref="F28">
    <cfRule type="cellIs" dxfId="1042" priority="256" stopIfTrue="1" operator="equal">
      <formula>'1857'!$E$28</formula>
    </cfRule>
    <cfRule type="cellIs" dxfId="1041" priority="257" stopIfTrue="1" operator="lessThan">
      <formula>'1857'!$E$28</formula>
    </cfRule>
  </conditionalFormatting>
  <conditionalFormatting sqref="G13">
    <cfRule type="cellIs" dxfId="1040" priority="258" stopIfTrue="1" operator="equal">
      <formula>'1857'!$F$13</formula>
    </cfRule>
    <cfRule type="cellIs" dxfId="1039" priority="259" stopIfTrue="1" operator="lessThan">
      <formula>'1857'!$F$13</formula>
    </cfRule>
  </conditionalFormatting>
  <conditionalFormatting sqref="G14">
    <cfRule type="cellIs" dxfId="1038" priority="260" stopIfTrue="1" operator="equal">
      <formula>'1857'!$F$14</formula>
    </cfRule>
    <cfRule type="cellIs" dxfId="1037" priority="261" stopIfTrue="1" operator="lessThan">
      <formula>'1857'!$F$14</formula>
    </cfRule>
  </conditionalFormatting>
  <conditionalFormatting sqref="G15">
    <cfRule type="cellIs" dxfId="1036" priority="262" stopIfTrue="1" operator="equal">
      <formula>'1857'!$F$15</formula>
    </cfRule>
    <cfRule type="cellIs" dxfId="1035" priority="263" stopIfTrue="1" operator="lessThan">
      <formula>'1857'!$F$15</formula>
    </cfRule>
  </conditionalFormatting>
  <conditionalFormatting sqref="G16">
    <cfRule type="cellIs" dxfId="1034" priority="264" stopIfTrue="1" operator="equal">
      <formula>'1857'!$F$16</formula>
    </cfRule>
    <cfRule type="cellIs" dxfId="1033" priority="265" stopIfTrue="1" operator="lessThan">
      <formula>'1857'!$F$16</formula>
    </cfRule>
  </conditionalFormatting>
  <conditionalFormatting sqref="G17">
    <cfRule type="cellIs" dxfId="1032" priority="266" stopIfTrue="1" operator="equal">
      <formula>'1857'!$F$17</formula>
    </cfRule>
    <cfRule type="cellIs" dxfId="1031" priority="267" stopIfTrue="1" operator="lessThan">
      <formula>'1857'!$F$17</formula>
    </cfRule>
  </conditionalFormatting>
  <conditionalFormatting sqref="G18">
    <cfRule type="cellIs" dxfId="1030" priority="268" stopIfTrue="1" operator="equal">
      <formula>'1857'!$F$18</formula>
    </cfRule>
    <cfRule type="cellIs" dxfId="1029" priority="269" stopIfTrue="1" operator="lessThan">
      <formula>'1857'!$F$18</formula>
    </cfRule>
  </conditionalFormatting>
  <conditionalFormatting sqref="G19">
    <cfRule type="cellIs" dxfId="1028" priority="270" stopIfTrue="1" operator="equal">
      <formula>'1857'!$F$19</formula>
    </cfRule>
    <cfRule type="cellIs" dxfId="1027" priority="271" stopIfTrue="1" operator="lessThan">
      <formula>'1857'!$F$19</formula>
    </cfRule>
  </conditionalFormatting>
  <conditionalFormatting sqref="G20">
    <cfRule type="cellIs" dxfId="1026" priority="272" stopIfTrue="1" operator="equal">
      <formula>'1857'!$F$20</formula>
    </cfRule>
    <cfRule type="cellIs" dxfId="1025" priority="273" stopIfTrue="1" operator="lessThan">
      <formula>'1857'!$F$20</formula>
    </cfRule>
  </conditionalFormatting>
  <conditionalFormatting sqref="G21">
    <cfRule type="cellIs" dxfId="1024" priority="274" stopIfTrue="1" operator="equal">
      <formula>'1857'!$F$21</formula>
    </cfRule>
    <cfRule type="cellIs" dxfId="1023" priority="275" stopIfTrue="1" operator="lessThan">
      <formula>'1857'!$F$21</formula>
    </cfRule>
  </conditionalFormatting>
  <conditionalFormatting sqref="G22">
    <cfRule type="cellIs" dxfId="1022" priority="276" stopIfTrue="1" operator="equal">
      <formula>'1857'!$F$22</formula>
    </cfRule>
    <cfRule type="cellIs" dxfId="1021" priority="277" stopIfTrue="1" operator="lessThan">
      <formula>'1857'!$F$22</formula>
    </cfRule>
  </conditionalFormatting>
  <conditionalFormatting sqref="G23">
    <cfRule type="cellIs" dxfId="1020" priority="278" stopIfTrue="1" operator="equal">
      <formula>'1857'!$F$23</formula>
    </cfRule>
    <cfRule type="cellIs" dxfId="1019" priority="279" stopIfTrue="1" operator="lessThan">
      <formula>'1857'!$F$23</formula>
    </cfRule>
  </conditionalFormatting>
  <conditionalFormatting sqref="G25">
    <cfRule type="cellIs" dxfId="1018" priority="280" stopIfTrue="1" operator="equal">
      <formula>'1857'!$F$25</formula>
    </cfRule>
    <cfRule type="cellIs" dxfId="1017" priority="281" stopIfTrue="1" operator="lessThan">
      <formula>'1857'!$F$25</formula>
    </cfRule>
  </conditionalFormatting>
  <conditionalFormatting sqref="G26">
    <cfRule type="cellIs" dxfId="1016" priority="282" stopIfTrue="1" operator="equal">
      <formula>'1857'!$F$26</formula>
    </cfRule>
    <cfRule type="cellIs" dxfId="1015" priority="283" stopIfTrue="1" operator="lessThan">
      <formula>'1857'!$F$26</formula>
    </cfRule>
  </conditionalFormatting>
  <conditionalFormatting sqref="G27">
    <cfRule type="cellIs" dxfId="1014" priority="284" stopIfTrue="1" operator="equal">
      <formula>'1857'!$F$27</formula>
    </cfRule>
    <cfRule type="cellIs" dxfId="1013" priority="285" stopIfTrue="1" operator="lessThan">
      <formula>'1857'!$F$27</formula>
    </cfRule>
  </conditionalFormatting>
  <conditionalFormatting sqref="G28">
    <cfRule type="cellIs" dxfId="1012" priority="286" stopIfTrue="1" operator="equal">
      <formula>'1857'!$F$28</formula>
    </cfRule>
    <cfRule type="cellIs" dxfId="1011" priority="287" stopIfTrue="1" operator="lessThan">
      <formula>'1857'!$F$28</formula>
    </cfRule>
  </conditionalFormatting>
  <conditionalFormatting sqref="D13">
    <cfRule type="cellIs" dxfId="1010" priority="288" stopIfTrue="1" operator="equal">
      <formula>'1857'!$C$13</formula>
    </cfRule>
    <cfRule type="cellIs" dxfId="1009" priority="289" stopIfTrue="1" operator="lessThan">
      <formula>'1857'!$C$13</formula>
    </cfRule>
  </conditionalFormatting>
  <conditionalFormatting sqref="H13">
    <cfRule type="cellIs" dxfId="1008" priority="290" stopIfTrue="1" operator="equal">
      <formula>'1857'!$G$13</formula>
    </cfRule>
    <cfRule type="cellIs" dxfId="1007" priority="291" stopIfTrue="1" operator="lessThan">
      <formula>'1857'!$G$13</formula>
    </cfRule>
  </conditionalFormatting>
  <conditionalFormatting sqref="H14">
    <cfRule type="cellIs" dxfId="1006" priority="292" stopIfTrue="1" operator="equal">
      <formula>'1857'!$G$14</formula>
    </cfRule>
    <cfRule type="cellIs" dxfId="1005" priority="293" stopIfTrue="1" operator="lessThan">
      <formula>'1857'!$G$14</formula>
    </cfRule>
  </conditionalFormatting>
  <conditionalFormatting sqref="H15">
    <cfRule type="cellIs" dxfId="1004" priority="294" stopIfTrue="1" operator="equal">
      <formula>'1857'!$G$15</formula>
    </cfRule>
    <cfRule type="cellIs" dxfId="1003" priority="295" stopIfTrue="1" operator="lessThan">
      <formula>'1857'!$G$15</formula>
    </cfRule>
  </conditionalFormatting>
  <conditionalFormatting sqref="H16">
    <cfRule type="cellIs" dxfId="1002" priority="296" stopIfTrue="1" operator="equal">
      <formula>'1857'!$G$16</formula>
    </cfRule>
    <cfRule type="cellIs" dxfId="1001" priority="297" stopIfTrue="1" operator="lessThan">
      <formula>'1857'!$G$16</formula>
    </cfRule>
  </conditionalFormatting>
  <conditionalFormatting sqref="H17">
    <cfRule type="cellIs" dxfId="1000" priority="298" stopIfTrue="1" operator="equal">
      <formula>'1857'!$G$17</formula>
    </cfRule>
    <cfRule type="cellIs" dxfId="999" priority="299" stopIfTrue="1" operator="lessThan">
      <formula>'1857'!$G$17</formula>
    </cfRule>
  </conditionalFormatting>
  <conditionalFormatting sqref="H18">
    <cfRule type="cellIs" dxfId="998" priority="300" stopIfTrue="1" operator="equal">
      <formula>'1857'!$G$18</formula>
    </cfRule>
    <cfRule type="cellIs" dxfId="997" priority="301" stopIfTrue="1" operator="lessThan">
      <formula>'1857'!$G$18</formula>
    </cfRule>
  </conditionalFormatting>
  <conditionalFormatting sqref="H19">
    <cfRule type="cellIs" dxfId="996" priority="302" stopIfTrue="1" operator="equal">
      <formula>'1857'!$G$19</formula>
    </cfRule>
    <cfRule type="cellIs" dxfId="995" priority="303" stopIfTrue="1" operator="lessThan">
      <formula>'1857'!$G$19</formula>
    </cfRule>
  </conditionalFormatting>
  <conditionalFormatting sqref="H20">
    <cfRule type="cellIs" dxfId="994" priority="304" stopIfTrue="1" operator="equal">
      <formula>'1857'!$G$20</formula>
    </cfRule>
    <cfRule type="cellIs" dxfId="993" priority="305" stopIfTrue="1" operator="lessThan">
      <formula>'1857'!$G$20</formula>
    </cfRule>
  </conditionalFormatting>
  <conditionalFormatting sqref="H21">
    <cfRule type="cellIs" dxfId="992" priority="306" stopIfTrue="1" operator="equal">
      <formula>'1857'!$G$21</formula>
    </cfRule>
    <cfRule type="cellIs" dxfId="991" priority="307" stopIfTrue="1" operator="lessThan">
      <formula>'1857'!$G$21</formula>
    </cfRule>
  </conditionalFormatting>
  <conditionalFormatting sqref="H22">
    <cfRule type="cellIs" dxfId="990" priority="308" stopIfTrue="1" operator="equal">
      <formula>'1857'!$G$22</formula>
    </cfRule>
    <cfRule type="cellIs" dxfId="989" priority="309" stopIfTrue="1" operator="lessThan">
      <formula>'1857'!$G$22</formula>
    </cfRule>
  </conditionalFormatting>
  <conditionalFormatting sqref="H23">
    <cfRule type="cellIs" dxfId="988" priority="310" stopIfTrue="1" operator="equal">
      <formula>'1857'!$G$23</formula>
    </cfRule>
    <cfRule type="cellIs" dxfId="987" priority="311" stopIfTrue="1" operator="lessThan">
      <formula>'1857'!$G$23</formula>
    </cfRule>
  </conditionalFormatting>
  <conditionalFormatting sqref="H25">
    <cfRule type="cellIs" dxfId="986" priority="312" stopIfTrue="1" operator="equal">
      <formula>'1857'!$G$25</formula>
    </cfRule>
    <cfRule type="cellIs" dxfId="985" priority="313" stopIfTrue="1" operator="lessThan">
      <formula>'1857'!$G$25</formula>
    </cfRule>
  </conditionalFormatting>
  <conditionalFormatting sqref="H26">
    <cfRule type="cellIs" dxfId="984" priority="314" stopIfTrue="1" operator="equal">
      <formula>'1857'!$G$26</formula>
    </cfRule>
    <cfRule type="cellIs" dxfId="983" priority="315" stopIfTrue="1" operator="lessThan">
      <formula>'1857'!$G$26</formula>
    </cfRule>
  </conditionalFormatting>
  <conditionalFormatting sqref="H27">
    <cfRule type="cellIs" dxfId="982" priority="316" stopIfTrue="1" operator="equal">
      <formula>'1857'!$G$27</formula>
    </cfRule>
    <cfRule type="cellIs" dxfId="981" priority="317" stopIfTrue="1" operator="lessThan">
      <formula>'1857'!$G$27</formula>
    </cfRule>
  </conditionalFormatting>
  <conditionalFormatting sqref="H28">
    <cfRule type="cellIs" dxfId="980" priority="318" stopIfTrue="1" operator="equal">
      <formula>'1857'!$G$28</formula>
    </cfRule>
    <cfRule type="cellIs" dxfId="979" priority="319" stopIfTrue="1" operator="lessThan">
      <formula>'1857'!$G$28</formula>
    </cfRule>
  </conditionalFormatting>
  <conditionalFormatting sqref="D24">
    <cfRule type="cellIs" dxfId="978" priority="320" stopIfTrue="1" operator="equal">
      <formula>'1857'!$C$24</formula>
    </cfRule>
    <cfRule type="cellIs" dxfId="977" priority="321" stopIfTrue="1" operator="lessThan">
      <formula>'1857'!$C$24</formula>
    </cfRule>
  </conditionalFormatting>
  <conditionalFormatting sqref="E24">
    <cfRule type="cellIs" dxfId="976" priority="322" stopIfTrue="1" operator="equal">
      <formula>'1857'!$D$24</formula>
    </cfRule>
    <cfRule type="cellIs" dxfId="975" priority="323" stopIfTrue="1" operator="lessThan">
      <formula>'1857'!$D$24</formula>
    </cfRule>
  </conditionalFormatting>
  <conditionalFormatting sqref="F24">
    <cfRule type="cellIs" dxfId="974" priority="324" stopIfTrue="1" operator="equal">
      <formula>'1857'!$E$24</formula>
    </cfRule>
    <cfRule type="cellIs" dxfId="973" priority="325" stopIfTrue="1" operator="lessThan">
      <formula>'1857'!$E$24</formula>
    </cfRule>
  </conditionalFormatting>
  <conditionalFormatting sqref="G24">
    <cfRule type="cellIs" dxfId="972" priority="326" stopIfTrue="1" operator="equal">
      <formula>'1857'!$F$24</formula>
    </cfRule>
    <cfRule type="cellIs" dxfId="971" priority="327" stopIfTrue="1" operator="lessThan">
      <formula>'1857'!$F$24</formula>
    </cfRule>
  </conditionalFormatting>
  <conditionalFormatting sqref="H24">
    <cfRule type="cellIs" dxfId="970" priority="328" stopIfTrue="1" operator="equal">
      <formula>'1857'!$G$24</formula>
    </cfRule>
    <cfRule type="cellIs" dxfId="969" priority="329" stopIfTrue="1" operator="lessThan">
      <formula>'1857'!$G$24</formula>
    </cfRule>
  </conditionalFormatting>
  <conditionalFormatting sqref="E5">
    <cfRule type="cellIs" dxfId="968" priority="330" stopIfTrue="1" operator="equal">
      <formula>'1857'!$D$5</formula>
    </cfRule>
    <cfRule type="cellIs" dxfId="967" priority="331" stopIfTrue="1" operator="lessThan">
      <formula>'1857'!$D$5</formula>
    </cfRule>
  </conditionalFormatting>
  <conditionalFormatting sqref="G5">
    <cfRule type="cellIs" dxfId="966" priority="332" stopIfTrue="1" operator="equal">
      <formula>'1857'!$F$5</formula>
    </cfRule>
    <cfRule type="cellIs" dxfId="965" priority="333" stopIfTrue="1" operator="lessThan">
      <formula>'1857'!$F$5</formula>
    </cfRule>
  </conditionalFormatting>
  <conditionalFormatting sqref="G4">
    <cfRule type="cellIs" dxfId="964" priority="334" stopIfTrue="1" operator="equal">
      <formula>'1857'!$F$4</formula>
    </cfRule>
  </conditionalFormatting>
  <conditionalFormatting sqref="D29:H29 J29:R29">
    <cfRule type="cellIs" dxfId="963" priority="335" stopIfTrue="1" operator="equal">
      <formula>0</formula>
    </cfRule>
  </conditionalFormatting>
  <conditionalFormatting sqref="I13">
    <cfRule type="cellIs" dxfId="962" priority="336" stopIfTrue="1" operator="equal">
      <formula>'1857'!$H$13</formula>
    </cfRule>
    <cfRule type="cellIs" dxfId="961" priority="337" stopIfTrue="1" operator="lessThan">
      <formula>'1857'!$H$13</formula>
    </cfRule>
  </conditionalFormatting>
  <conditionalFormatting sqref="I14">
    <cfRule type="cellIs" dxfId="960" priority="338" stopIfTrue="1" operator="equal">
      <formula>'1857'!$H$14</formula>
    </cfRule>
    <cfRule type="cellIs" dxfId="959" priority="339" stopIfTrue="1" operator="lessThan">
      <formula>'1857'!$H$14</formula>
    </cfRule>
  </conditionalFormatting>
  <conditionalFormatting sqref="I15">
    <cfRule type="cellIs" dxfId="958" priority="340" stopIfTrue="1" operator="equal">
      <formula>'1857'!$H$15</formula>
    </cfRule>
    <cfRule type="cellIs" dxfId="957" priority="341" stopIfTrue="1" operator="lessThan">
      <formula>'1857'!$H$15</formula>
    </cfRule>
  </conditionalFormatting>
  <conditionalFormatting sqref="I16">
    <cfRule type="cellIs" dxfId="956" priority="342" stopIfTrue="1" operator="equal">
      <formula>'1857'!$H$16</formula>
    </cfRule>
    <cfRule type="cellIs" dxfId="955" priority="343" stopIfTrue="1" operator="lessThan">
      <formula>'1857'!$H$16</formula>
    </cfRule>
  </conditionalFormatting>
  <conditionalFormatting sqref="I17">
    <cfRule type="cellIs" dxfId="954" priority="344" stopIfTrue="1" operator="equal">
      <formula>'1857'!$H$17</formula>
    </cfRule>
    <cfRule type="cellIs" dxfId="953" priority="345" stopIfTrue="1" operator="lessThan">
      <formula>'1857'!$H$17</formula>
    </cfRule>
  </conditionalFormatting>
  <conditionalFormatting sqref="I18">
    <cfRule type="cellIs" dxfId="952" priority="346" stopIfTrue="1" operator="equal">
      <formula>'1857'!$H$18</formula>
    </cfRule>
    <cfRule type="cellIs" dxfId="951" priority="347" stopIfTrue="1" operator="lessThan">
      <formula>'1857'!$H$18</formula>
    </cfRule>
  </conditionalFormatting>
  <conditionalFormatting sqref="I19">
    <cfRule type="cellIs" dxfId="950" priority="348" stopIfTrue="1" operator="equal">
      <formula>'1857'!$H$19</formula>
    </cfRule>
    <cfRule type="cellIs" dxfId="949" priority="349" stopIfTrue="1" operator="lessThan">
      <formula>'1857'!$H$19</formula>
    </cfRule>
  </conditionalFormatting>
  <conditionalFormatting sqref="I20">
    <cfRule type="cellIs" dxfId="948" priority="350" stopIfTrue="1" operator="equal">
      <formula>'1857'!$H$20</formula>
    </cfRule>
    <cfRule type="cellIs" dxfId="947" priority="351" stopIfTrue="1" operator="lessThan">
      <formula>'1857'!$H$20</formula>
    </cfRule>
  </conditionalFormatting>
  <conditionalFormatting sqref="I21">
    <cfRule type="cellIs" dxfId="946" priority="352" stopIfTrue="1" operator="equal">
      <formula>'1857'!$H$21</formula>
    </cfRule>
    <cfRule type="cellIs" dxfId="945" priority="353" stopIfTrue="1" operator="lessThan">
      <formula>'1857'!$H$21</formula>
    </cfRule>
  </conditionalFormatting>
  <conditionalFormatting sqref="I22">
    <cfRule type="cellIs" dxfId="944" priority="354" stopIfTrue="1" operator="equal">
      <formula>'1857'!$H$22</formula>
    </cfRule>
    <cfRule type="cellIs" dxfId="943" priority="355" stopIfTrue="1" operator="lessThan">
      <formula>'1857'!$H$22</formula>
    </cfRule>
  </conditionalFormatting>
  <conditionalFormatting sqref="I23">
    <cfRule type="cellIs" dxfId="942" priority="356" stopIfTrue="1" operator="equal">
      <formula>'1857'!$H$23</formula>
    </cfRule>
    <cfRule type="cellIs" dxfId="941" priority="357" stopIfTrue="1" operator="lessThan">
      <formula>'1857'!$H$23</formula>
    </cfRule>
  </conditionalFormatting>
  <conditionalFormatting sqref="I24">
    <cfRule type="cellIs" dxfId="940" priority="358" stopIfTrue="1" operator="equal">
      <formula>'1857'!$H$24</formula>
    </cfRule>
    <cfRule type="cellIs" dxfId="939" priority="359" stopIfTrue="1" operator="lessThan">
      <formula>'1857'!$H$24</formula>
    </cfRule>
  </conditionalFormatting>
  <conditionalFormatting sqref="I25">
    <cfRule type="cellIs" dxfId="938" priority="360" stopIfTrue="1" operator="equal">
      <formula>'1857'!$H$25</formula>
    </cfRule>
    <cfRule type="cellIs" dxfId="937" priority="361" stopIfTrue="1" operator="lessThan">
      <formula>'1857'!$H$25</formula>
    </cfRule>
  </conditionalFormatting>
  <conditionalFormatting sqref="I26">
    <cfRule type="cellIs" dxfId="936" priority="362" stopIfTrue="1" operator="equal">
      <formula>'1857'!$H$26</formula>
    </cfRule>
    <cfRule type="cellIs" dxfId="935" priority="363" stopIfTrue="1" operator="lessThan">
      <formula>'1857'!$H$26</formula>
    </cfRule>
  </conditionalFormatting>
  <conditionalFormatting sqref="I27">
    <cfRule type="cellIs" dxfId="934" priority="364" stopIfTrue="1" operator="equal">
      <formula>'1857'!$H$27</formula>
    </cfRule>
    <cfRule type="cellIs" dxfId="933" priority="365" stopIfTrue="1" operator="lessThan">
      <formula>'1857'!$H$27</formula>
    </cfRule>
    <cfRule type="cellIs" dxfId="932" priority="366" stopIfTrue="1" operator="lessThan">
      <formula>'1857'!$H$27</formula>
    </cfRule>
  </conditionalFormatting>
  <conditionalFormatting sqref="I28">
    <cfRule type="cellIs" dxfId="931" priority="367" stopIfTrue="1" operator="equal">
      <formula>'1857'!$H$28</formula>
    </cfRule>
    <cfRule type="cellIs" dxfId="930" priority="368" stopIfTrue="1" operator="lessThan">
      <formula>'1857'!$H$28</formula>
    </cfRule>
  </conditionalFormatting>
  <conditionalFormatting sqref="I29">
    <cfRule type="cellIs" dxfId="929" priority="369" stopIfTrue="1" operator="equal">
      <formula>'1857'!$H$29</formula>
    </cfRule>
    <cfRule type="cellIs" dxfId="928" priority="370" stopIfTrue="1" operator="lessThan">
      <formula>'1857'!$H$29</formula>
    </cfRule>
  </conditionalFormatting>
  <conditionalFormatting sqref="J13">
    <cfRule type="cellIs" dxfId="927" priority="371" stopIfTrue="1" operator="equal">
      <formula>'1857'!$I$13</formula>
    </cfRule>
    <cfRule type="cellIs" dxfId="926" priority="372" stopIfTrue="1" operator="lessThan">
      <formula>'1857'!$I$13</formula>
    </cfRule>
  </conditionalFormatting>
  <conditionalFormatting sqref="J14">
    <cfRule type="cellIs" dxfId="925" priority="373" stopIfTrue="1" operator="equal">
      <formula>'1857'!$I$14</formula>
    </cfRule>
    <cfRule type="cellIs" dxfId="924" priority="374" stopIfTrue="1" operator="lessThan">
      <formula>'1857'!$I$14</formula>
    </cfRule>
  </conditionalFormatting>
  <conditionalFormatting sqref="J15">
    <cfRule type="cellIs" dxfId="923" priority="375" stopIfTrue="1" operator="equal">
      <formula>'1857'!$I$15</formula>
    </cfRule>
    <cfRule type="cellIs" dxfId="922" priority="376" stopIfTrue="1" operator="lessThan">
      <formula>'1857'!$I$15</formula>
    </cfRule>
  </conditionalFormatting>
  <conditionalFormatting sqref="J16">
    <cfRule type="cellIs" dxfId="921" priority="377" stopIfTrue="1" operator="equal">
      <formula>'1857'!$I$16</formula>
    </cfRule>
    <cfRule type="cellIs" dxfId="920" priority="378" stopIfTrue="1" operator="lessThan">
      <formula>'1857'!$I$16</formula>
    </cfRule>
  </conditionalFormatting>
  <conditionalFormatting sqref="J17">
    <cfRule type="cellIs" dxfId="919" priority="379" stopIfTrue="1" operator="equal">
      <formula>'1857'!$I$17</formula>
    </cfRule>
    <cfRule type="cellIs" dxfId="918" priority="380" stopIfTrue="1" operator="lessThan">
      <formula>'1857'!$I$17</formula>
    </cfRule>
  </conditionalFormatting>
  <conditionalFormatting sqref="J18">
    <cfRule type="cellIs" dxfId="917" priority="381" stopIfTrue="1" operator="equal">
      <formula>'1857'!$I$18</formula>
    </cfRule>
    <cfRule type="cellIs" dxfId="916" priority="382" stopIfTrue="1" operator="lessThan">
      <formula>'1857'!$I$18</formula>
    </cfRule>
  </conditionalFormatting>
  <conditionalFormatting sqref="J19">
    <cfRule type="cellIs" dxfId="915" priority="383" stopIfTrue="1" operator="equal">
      <formula>'1857'!$I$19</formula>
    </cfRule>
    <cfRule type="cellIs" dxfId="914" priority="384" stopIfTrue="1" operator="lessThan">
      <formula>'1857'!$I$19</formula>
    </cfRule>
  </conditionalFormatting>
  <conditionalFormatting sqref="J20">
    <cfRule type="cellIs" dxfId="913" priority="385" stopIfTrue="1" operator="equal">
      <formula>'1857'!$I$20</formula>
    </cfRule>
    <cfRule type="cellIs" dxfId="912" priority="386" stopIfTrue="1" operator="lessThan">
      <formula>'1857'!$I$20</formula>
    </cfRule>
  </conditionalFormatting>
  <conditionalFormatting sqref="J21">
    <cfRule type="cellIs" dxfId="911" priority="387" stopIfTrue="1" operator="equal">
      <formula>'1857'!$I$21</formula>
    </cfRule>
    <cfRule type="cellIs" dxfId="910" priority="388" stopIfTrue="1" operator="lessThan">
      <formula>'1857'!$I$21</formula>
    </cfRule>
  </conditionalFormatting>
  <conditionalFormatting sqref="J22">
    <cfRule type="cellIs" dxfId="909" priority="389" stopIfTrue="1" operator="equal">
      <formula>'1857'!$I$22</formula>
    </cfRule>
    <cfRule type="cellIs" dxfId="908" priority="390" stopIfTrue="1" operator="lessThan">
      <formula>'1857'!$I$22</formula>
    </cfRule>
  </conditionalFormatting>
  <conditionalFormatting sqref="J23">
    <cfRule type="cellIs" dxfId="907" priority="391" stopIfTrue="1" operator="equal">
      <formula>'1857'!$I$23</formula>
    </cfRule>
    <cfRule type="cellIs" dxfId="906" priority="392" stopIfTrue="1" operator="lessThan">
      <formula>'1857'!$I$23</formula>
    </cfRule>
  </conditionalFormatting>
  <conditionalFormatting sqref="J24">
    <cfRule type="cellIs" dxfId="905" priority="393" stopIfTrue="1" operator="equal">
      <formula>'1857'!$I$24</formula>
    </cfRule>
    <cfRule type="cellIs" dxfId="904" priority="394" stopIfTrue="1" operator="lessThan">
      <formula>'1857'!$I$24</formula>
    </cfRule>
  </conditionalFormatting>
  <conditionalFormatting sqref="J25">
    <cfRule type="cellIs" dxfId="903" priority="395" stopIfTrue="1" operator="equal">
      <formula>'1857'!$I$25</formula>
    </cfRule>
    <cfRule type="cellIs" dxfId="902" priority="396" stopIfTrue="1" operator="lessThan">
      <formula>'1857'!$I$25</formula>
    </cfRule>
  </conditionalFormatting>
  <conditionalFormatting sqref="J26">
    <cfRule type="cellIs" dxfId="901" priority="397" stopIfTrue="1" operator="equal">
      <formula>'1857'!$I$26</formula>
    </cfRule>
    <cfRule type="cellIs" dxfId="900" priority="398" stopIfTrue="1" operator="lessThan">
      <formula>'1857'!$I$26</formula>
    </cfRule>
  </conditionalFormatting>
  <conditionalFormatting sqref="J27">
    <cfRule type="cellIs" dxfId="899" priority="399" stopIfTrue="1" operator="equal">
      <formula>'1857'!$I$27</formula>
    </cfRule>
    <cfRule type="cellIs" dxfId="898" priority="400" stopIfTrue="1" operator="lessThan">
      <formula>'1857'!$I$27</formula>
    </cfRule>
  </conditionalFormatting>
  <conditionalFormatting sqref="J28">
    <cfRule type="cellIs" dxfId="897" priority="401" stopIfTrue="1" operator="equal">
      <formula>'1857'!$I$28</formula>
    </cfRule>
    <cfRule type="cellIs" dxfId="896" priority="402" stopIfTrue="1" operator="lessThan">
      <formula>'1857'!$I$28</formula>
    </cfRule>
  </conditionalFormatting>
  <conditionalFormatting sqref="K4">
    <cfRule type="cellIs" dxfId="895" priority="403" stopIfTrue="1" operator="equal">
      <formula>'1857'!$J$4</formula>
    </cfRule>
    <cfRule type="cellIs" dxfId="894" priority="404" stopIfTrue="1" operator="lessThan">
      <formula>'1857'!$J$4</formula>
    </cfRule>
  </conditionalFormatting>
  <conditionalFormatting sqref="K5">
    <cfRule type="cellIs" dxfId="893" priority="405" stopIfTrue="1" operator="equal">
      <formula>'1857'!$J$5</formula>
    </cfRule>
    <cfRule type="cellIs" dxfId="892" priority="406" stopIfTrue="1" operator="lessThan">
      <formula>'1857'!$J$5</formula>
    </cfRule>
  </conditionalFormatting>
  <conditionalFormatting sqref="K6">
    <cfRule type="cellIs" dxfId="891" priority="407" stopIfTrue="1" operator="equal">
      <formula>'1857'!$J$6</formula>
    </cfRule>
    <cfRule type="cellIs" dxfId="890" priority="408" stopIfTrue="1" operator="lessThan">
      <formula>'1857'!$J$6</formula>
    </cfRule>
  </conditionalFormatting>
  <conditionalFormatting sqref="K7">
    <cfRule type="cellIs" dxfId="889" priority="409" stopIfTrue="1" operator="equal">
      <formula>'1857'!$J$7</formula>
    </cfRule>
    <cfRule type="cellIs" dxfId="888" priority="410" stopIfTrue="1" operator="lessThan">
      <formula>'1857'!$J$7</formula>
    </cfRule>
  </conditionalFormatting>
  <conditionalFormatting sqref="K8">
    <cfRule type="cellIs" dxfId="887" priority="411" stopIfTrue="1" operator="equal">
      <formula>'1857'!$J$8</formula>
    </cfRule>
    <cfRule type="cellIs" dxfId="886" priority="412" stopIfTrue="1" operator="lessThan">
      <formula>'1857'!$J$8</formula>
    </cfRule>
  </conditionalFormatting>
  <conditionalFormatting sqref="K9">
    <cfRule type="cellIs" dxfId="885" priority="413" stopIfTrue="1" operator="equal">
      <formula>'1857'!$J$9</formula>
    </cfRule>
    <cfRule type="cellIs" dxfId="884" priority="414" stopIfTrue="1" operator="lessThan">
      <formula>'1857'!$J$9</formula>
    </cfRule>
  </conditionalFormatting>
  <conditionalFormatting sqref="K10">
    <cfRule type="cellIs" dxfId="883" priority="415" stopIfTrue="1" operator="equal">
      <formula>'1857'!$J$10</formula>
    </cfRule>
    <cfRule type="cellIs" dxfId="882" priority="416" stopIfTrue="1" operator="lessThan">
      <formula>'1857'!$J$10</formula>
    </cfRule>
  </conditionalFormatting>
  <conditionalFormatting sqref="K11">
    <cfRule type="cellIs" dxfId="881" priority="417" stopIfTrue="1" operator="equal">
      <formula>'1857'!$J$11</formula>
    </cfRule>
    <cfRule type="cellIs" dxfId="880" priority="418" stopIfTrue="1" operator="lessThan">
      <formula>'1857'!$J$11</formula>
    </cfRule>
  </conditionalFormatting>
  <conditionalFormatting sqref="K12">
    <cfRule type="cellIs" dxfId="879" priority="419" stopIfTrue="1" operator="equal">
      <formula>'1857'!$J$12</formula>
    </cfRule>
    <cfRule type="cellIs" dxfId="878" priority="420" stopIfTrue="1" operator="lessThan">
      <formula>'1857'!$J$12</formula>
    </cfRule>
  </conditionalFormatting>
  <conditionalFormatting sqref="K13">
    <cfRule type="cellIs" dxfId="877" priority="421" stopIfTrue="1" operator="equal">
      <formula>'1857'!$J$13</formula>
    </cfRule>
    <cfRule type="cellIs" dxfId="876" priority="422" stopIfTrue="1" operator="lessThan">
      <formula>'1857'!$J$13</formula>
    </cfRule>
  </conditionalFormatting>
  <conditionalFormatting sqref="K14">
    <cfRule type="cellIs" dxfId="875" priority="423" stopIfTrue="1" operator="equal">
      <formula>'1857'!$J$14</formula>
    </cfRule>
    <cfRule type="cellIs" dxfId="874" priority="424" stopIfTrue="1" operator="lessThan">
      <formula>'1857'!$J$14</formula>
    </cfRule>
  </conditionalFormatting>
  <conditionalFormatting sqref="K15">
    <cfRule type="cellIs" dxfId="873" priority="425" stopIfTrue="1" operator="equal">
      <formula>'1857'!$J$15</formula>
    </cfRule>
    <cfRule type="cellIs" dxfId="872" priority="426" stopIfTrue="1" operator="lessThan">
      <formula>'1857'!$J$15</formula>
    </cfRule>
  </conditionalFormatting>
  <conditionalFormatting sqref="K16">
    <cfRule type="cellIs" dxfId="871" priority="427" stopIfTrue="1" operator="equal">
      <formula>'1857'!$J$16</formula>
    </cfRule>
    <cfRule type="cellIs" dxfId="870" priority="428" stopIfTrue="1" operator="lessThan">
      <formula>'1857'!$J$16</formula>
    </cfRule>
  </conditionalFormatting>
  <conditionalFormatting sqref="K17">
    <cfRule type="cellIs" dxfId="869" priority="429" stopIfTrue="1" operator="equal">
      <formula>'1857'!$J$17</formula>
    </cfRule>
    <cfRule type="cellIs" dxfId="868" priority="430" stopIfTrue="1" operator="lessThan">
      <formula>'1857'!$J$17</formula>
    </cfRule>
  </conditionalFormatting>
  <conditionalFormatting sqref="K18">
    <cfRule type="cellIs" dxfId="867" priority="431" stopIfTrue="1" operator="equal">
      <formula>'1857'!$J$18</formula>
    </cfRule>
    <cfRule type="cellIs" dxfId="866" priority="432" stopIfTrue="1" operator="lessThan">
      <formula>'1857'!$J$18</formula>
    </cfRule>
  </conditionalFormatting>
  <conditionalFormatting sqref="K19">
    <cfRule type="cellIs" dxfId="865" priority="433" stopIfTrue="1" operator="equal">
      <formula>'1857'!$J$19</formula>
    </cfRule>
    <cfRule type="cellIs" dxfId="864" priority="434" stopIfTrue="1" operator="lessThan">
      <formula>'1857'!$J$19</formula>
    </cfRule>
  </conditionalFormatting>
  <conditionalFormatting sqref="K20">
    <cfRule type="cellIs" dxfId="863" priority="435" stopIfTrue="1" operator="equal">
      <formula>'1857'!$J$20</formula>
    </cfRule>
    <cfRule type="cellIs" dxfId="862" priority="436" stopIfTrue="1" operator="lessThan">
      <formula>'1857'!$J$20</formula>
    </cfRule>
  </conditionalFormatting>
  <conditionalFormatting sqref="K21">
    <cfRule type="cellIs" dxfId="861" priority="437" stopIfTrue="1" operator="equal">
      <formula>'1857'!$J$21</formula>
    </cfRule>
    <cfRule type="cellIs" dxfId="860" priority="438" stopIfTrue="1" operator="lessThan">
      <formula>'1857'!$J$21</formula>
    </cfRule>
  </conditionalFormatting>
  <conditionalFormatting sqref="K22">
    <cfRule type="cellIs" dxfId="859" priority="439" stopIfTrue="1" operator="equal">
      <formula>'1857'!$J$22</formula>
    </cfRule>
    <cfRule type="cellIs" dxfId="858" priority="440" stopIfTrue="1" operator="lessThan">
      <formula>'1857'!$J$22</formula>
    </cfRule>
  </conditionalFormatting>
  <conditionalFormatting sqref="K23">
    <cfRule type="cellIs" dxfId="857" priority="441" stopIfTrue="1" operator="equal">
      <formula>'1857'!$J$23</formula>
    </cfRule>
    <cfRule type="cellIs" dxfId="856" priority="442" stopIfTrue="1" operator="lessThan">
      <formula>'1857'!$J$23</formula>
    </cfRule>
  </conditionalFormatting>
  <conditionalFormatting sqref="K24">
    <cfRule type="cellIs" dxfId="855" priority="443" stopIfTrue="1" operator="equal">
      <formula>'1857'!$J$24</formula>
    </cfRule>
    <cfRule type="cellIs" dxfId="854" priority="444" stopIfTrue="1" operator="lessThan">
      <formula>'1857'!$J$24</formula>
    </cfRule>
  </conditionalFormatting>
  <conditionalFormatting sqref="K25">
    <cfRule type="cellIs" dxfId="853" priority="445" stopIfTrue="1" operator="equal">
      <formula>'1857'!$J$25</formula>
    </cfRule>
    <cfRule type="cellIs" dxfId="852" priority="446" stopIfTrue="1" operator="lessThan">
      <formula>'1857'!$J$25</formula>
    </cfRule>
  </conditionalFormatting>
  <conditionalFormatting sqref="K26">
    <cfRule type="cellIs" dxfId="851" priority="447" stopIfTrue="1" operator="equal">
      <formula>'1857'!$J$26</formula>
    </cfRule>
    <cfRule type="cellIs" dxfId="850" priority="448" stopIfTrue="1" operator="lessThan">
      <formula>'1857'!$J$26</formula>
    </cfRule>
  </conditionalFormatting>
  <conditionalFormatting sqref="K27">
    <cfRule type="cellIs" dxfId="849" priority="449" stopIfTrue="1" operator="equal">
      <formula>'1857'!$J$27</formula>
    </cfRule>
    <cfRule type="cellIs" dxfId="848" priority="450" stopIfTrue="1" operator="lessThan">
      <formula>'1857'!$J$27</formula>
    </cfRule>
  </conditionalFormatting>
  <conditionalFormatting sqref="K28">
    <cfRule type="cellIs" dxfId="847" priority="451" stopIfTrue="1" operator="lessThan">
      <formula>'1857'!$J$28</formula>
    </cfRule>
    <cfRule type="cellIs" dxfId="846" priority="452" stopIfTrue="1" operator="equal">
      <formula>'1857'!$J$28</formula>
    </cfRule>
  </conditionalFormatting>
  <conditionalFormatting sqref="L4:M4">
    <cfRule type="cellIs" dxfId="845" priority="453" stopIfTrue="1" operator="equal">
      <formula>'1857'!$K$4</formula>
    </cfRule>
    <cfRule type="cellIs" dxfId="844" priority="454" stopIfTrue="1" operator="lessThan">
      <formula>'1857'!$K$4</formula>
    </cfRule>
  </conditionalFormatting>
  <conditionalFormatting sqref="L5:M5">
    <cfRule type="cellIs" dxfId="843" priority="455" stopIfTrue="1" operator="equal">
      <formula>'1857'!$K$5</formula>
    </cfRule>
    <cfRule type="cellIs" dxfId="842" priority="456" stopIfTrue="1" operator="lessThan">
      <formula>'1857'!$K$5</formula>
    </cfRule>
  </conditionalFormatting>
  <conditionalFormatting sqref="L6:M6">
    <cfRule type="cellIs" dxfId="841" priority="457" stopIfTrue="1" operator="equal">
      <formula>'1857'!$K$6</formula>
    </cfRule>
    <cfRule type="cellIs" dxfId="840" priority="458" stopIfTrue="1" operator="lessThan">
      <formula>'1857'!$K$6</formula>
    </cfRule>
  </conditionalFormatting>
  <conditionalFormatting sqref="L7:M7">
    <cfRule type="cellIs" dxfId="839" priority="459" stopIfTrue="1" operator="equal">
      <formula>'1857'!$K$7</formula>
    </cfRule>
    <cfRule type="cellIs" dxfId="838" priority="460" stopIfTrue="1" operator="lessThan">
      <formula>'1857'!$K$7</formula>
    </cfRule>
  </conditionalFormatting>
  <conditionalFormatting sqref="L8:M8">
    <cfRule type="cellIs" dxfId="837" priority="461" stopIfTrue="1" operator="equal">
      <formula>'1857'!$K$8</formula>
    </cfRule>
    <cfRule type="cellIs" dxfId="836" priority="462" stopIfTrue="1" operator="lessThan">
      <formula>'1857'!$K$8</formula>
    </cfRule>
  </conditionalFormatting>
  <conditionalFormatting sqref="L9:M9">
    <cfRule type="cellIs" dxfId="835" priority="463" stopIfTrue="1" operator="equal">
      <formula>'1857'!$K$9</formula>
    </cfRule>
    <cfRule type="cellIs" dxfId="834" priority="464" stopIfTrue="1" operator="lessThan">
      <formula>'1857'!$K$9</formula>
    </cfRule>
  </conditionalFormatting>
  <conditionalFormatting sqref="L10:M10">
    <cfRule type="cellIs" dxfId="833" priority="465" stopIfTrue="1" operator="equal">
      <formula>'1857'!$K$10</formula>
    </cfRule>
    <cfRule type="cellIs" dxfId="832" priority="466" stopIfTrue="1" operator="lessThan">
      <formula>'1857'!$K$10</formula>
    </cfRule>
  </conditionalFormatting>
  <conditionalFormatting sqref="L12:M12">
    <cfRule type="cellIs" dxfId="831" priority="467" stopIfTrue="1" operator="equal">
      <formula>'1857'!$K$12</formula>
    </cfRule>
    <cfRule type="cellIs" dxfId="830" priority="468" stopIfTrue="1" operator="lessThan">
      <formula>'1857'!$K$12</formula>
    </cfRule>
  </conditionalFormatting>
  <conditionalFormatting sqref="L13:M13">
    <cfRule type="cellIs" dxfId="829" priority="469" stopIfTrue="1" operator="equal">
      <formula>'1857'!$K$13</formula>
    </cfRule>
    <cfRule type="cellIs" dxfId="828" priority="470" stopIfTrue="1" operator="lessThan">
      <formula>'1857'!$K$13</formula>
    </cfRule>
  </conditionalFormatting>
  <conditionalFormatting sqref="L14:M14">
    <cfRule type="cellIs" dxfId="827" priority="471" stopIfTrue="1" operator="equal">
      <formula>'1857'!$K$14</formula>
    </cfRule>
    <cfRule type="cellIs" dxfId="826" priority="472" stopIfTrue="1" operator="lessThan">
      <formula>'1857'!$K$14</formula>
    </cfRule>
  </conditionalFormatting>
  <conditionalFormatting sqref="L15:M15">
    <cfRule type="cellIs" dxfId="825" priority="473" stopIfTrue="1" operator="equal">
      <formula>'1857'!$K$15</formula>
    </cfRule>
    <cfRule type="cellIs" dxfId="824" priority="474" stopIfTrue="1" operator="lessThan">
      <formula>'1857'!$K$15</formula>
    </cfRule>
  </conditionalFormatting>
  <conditionalFormatting sqref="L16:M16">
    <cfRule type="cellIs" dxfId="823" priority="475" stopIfTrue="1" operator="equal">
      <formula>'1857'!$K$16</formula>
    </cfRule>
    <cfRule type="cellIs" dxfId="822" priority="476" stopIfTrue="1" operator="lessThan">
      <formula>'1857'!$K$16</formula>
    </cfRule>
  </conditionalFormatting>
  <conditionalFormatting sqref="L17:M17">
    <cfRule type="cellIs" dxfId="821" priority="477" stopIfTrue="1" operator="equal">
      <formula>'1857'!$K$17</formula>
    </cfRule>
    <cfRule type="cellIs" dxfId="820" priority="478" stopIfTrue="1" operator="lessThan">
      <formula>'1857'!$K$17</formula>
    </cfRule>
  </conditionalFormatting>
  <conditionalFormatting sqref="L18:M18">
    <cfRule type="cellIs" dxfId="819" priority="479" stopIfTrue="1" operator="equal">
      <formula>'1857'!$K$18</formula>
    </cfRule>
    <cfRule type="cellIs" dxfId="818" priority="480" stopIfTrue="1" operator="lessThan">
      <formula>'1857'!$K$18</formula>
    </cfRule>
  </conditionalFormatting>
  <conditionalFormatting sqref="L19:M19">
    <cfRule type="cellIs" dxfId="817" priority="481" stopIfTrue="1" operator="equal">
      <formula>'1857'!$K$19</formula>
    </cfRule>
    <cfRule type="cellIs" dxfId="816" priority="482" stopIfTrue="1" operator="lessThan">
      <formula>'1857'!$K$19</formula>
    </cfRule>
  </conditionalFormatting>
  <conditionalFormatting sqref="L20:M20">
    <cfRule type="cellIs" dxfId="815" priority="483" stopIfTrue="1" operator="equal">
      <formula>'1857'!$K$20</formula>
    </cfRule>
    <cfRule type="cellIs" dxfId="814" priority="484" stopIfTrue="1" operator="lessThan">
      <formula>'1857'!$K$20</formula>
    </cfRule>
  </conditionalFormatting>
  <conditionalFormatting sqref="L21:M21">
    <cfRule type="cellIs" dxfId="813" priority="485" stopIfTrue="1" operator="equal">
      <formula>'1857'!$K$21</formula>
    </cfRule>
    <cfRule type="cellIs" dxfId="812" priority="486" stopIfTrue="1" operator="lessThan">
      <formula>'1857'!$K$21</formula>
    </cfRule>
  </conditionalFormatting>
  <conditionalFormatting sqref="L11:M11">
    <cfRule type="cellIs" dxfId="811" priority="487" stopIfTrue="1" operator="equal">
      <formula>'1857'!$K$11</formula>
    </cfRule>
    <cfRule type="cellIs" dxfId="810" priority="488" stopIfTrue="1" operator="lessThan">
      <formula>'1857'!$K$11</formula>
    </cfRule>
  </conditionalFormatting>
  <conditionalFormatting sqref="L22:M22">
    <cfRule type="cellIs" dxfId="809" priority="489" stopIfTrue="1" operator="equal">
      <formula>'1857'!$K$22</formula>
    </cfRule>
    <cfRule type="cellIs" dxfId="808" priority="490" stopIfTrue="1" operator="lessThan">
      <formula>'1857'!$K$22</formula>
    </cfRule>
  </conditionalFormatting>
  <conditionalFormatting sqref="L23:M23">
    <cfRule type="cellIs" dxfId="807" priority="491" stopIfTrue="1" operator="equal">
      <formula>'1857'!$K$23</formula>
    </cfRule>
    <cfRule type="cellIs" dxfId="806" priority="492" stopIfTrue="1" operator="lessThan">
      <formula>'1857'!$K$23</formula>
    </cfRule>
  </conditionalFormatting>
  <conditionalFormatting sqref="L24:M24">
    <cfRule type="cellIs" dxfId="805" priority="493" stopIfTrue="1" operator="equal">
      <formula>'1857'!$K$24</formula>
    </cfRule>
    <cfRule type="cellIs" dxfId="804" priority="494" stopIfTrue="1" operator="lessThan">
      <formula>'1857'!$K$24</formula>
    </cfRule>
  </conditionalFormatting>
  <conditionalFormatting sqref="L25:M25">
    <cfRule type="cellIs" dxfId="803" priority="495" stopIfTrue="1" operator="equal">
      <formula>'1857'!$K$25</formula>
    </cfRule>
    <cfRule type="cellIs" dxfId="802" priority="496" stopIfTrue="1" operator="lessThan">
      <formula>'1857'!$K$25</formula>
    </cfRule>
  </conditionalFormatting>
  <conditionalFormatting sqref="L26:M26">
    <cfRule type="cellIs" dxfId="801" priority="497" stopIfTrue="1" operator="equal">
      <formula>'1857'!$K$26</formula>
    </cfRule>
    <cfRule type="cellIs" dxfId="800" priority="498" stopIfTrue="1" operator="lessThan">
      <formula>'1857'!$K$26</formula>
    </cfRule>
  </conditionalFormatting>
  <conditionalFormatting sqref="L27:M27">
    <cfRule type="cellIs" dxfId="799" priority="499" stopIfTrue="1" operator="equal">
      <formula>'1857'!$K$27</formula>
    </cfRule>
    <cfRule type="cellIs" dxfId="798" priority="500" stopIfTrue="1" operator="lessThan">
      <formula>'1857'!$K$27</formula>
    </cfRule>
  </conditionalFormatting>
  <conditionalFormatting sqref="L28:M28">
    <cfRule type="cellIs" dxfId="797" priority="501" stopIfTrue="1" operator="equal">
      <formula>'1857'!$K$28</formula>
    </cfRule>
    <cfRule type="cellIs" dxfId="796" priority="502" stopIfTrue="1" operator="lessThan">
      <formula>'1857'!$K$28</formula>
    </cfRule>
  </conditionalFormatting>
  <conditionalFormatting sqref="N4">
    <cfRule type="cellIs" dxfId="795" priority="503" stopIfTrue="1" operator="lessThan">
      <formula>'1857'!$L$4</formula>
    </cfRule>
    <cfRule type="cellIs" dxfId="794" priority="504" stopIfTrue="1" operator="equal">
      <formula>'1857'!$L$4</formula>
    </cfRule>
  </conditionalFormatting>
  <conditionalFormatting sqref="N5">
    <cfRule type="cellIs" dxfId="793" priority="505" stopIfTrue="1" operator="equal">
      <formula>'1857'!$L$5</formula>
    </cfRule>
    <cfRule type="cellIs" dxfId="792" priority="506" stopIfTrue="1" operator="lessThan">
      <formula>'1857'!$L$5</formula>
    </cfRule>
  </conditionalFormatting>
  <conditionalFormatting sqref="N6">
    <cfRule type="cellIs" dxfId="791" priority="507" stopIfTrue="1" operator="equal">
      <formula>'1857'!$L$6</formula>
    </cfRule>
    <cfRule type="cellIs" dxfId="790" priority="508" stopIfTrue="1" operator="lessThan">
      <formula>'1857'!$L$6</formula>
    </cfRule>
  </conditionalFormatting>
  <conditionalFormatting sqref="N7">
    <cfRule type="cellIs" dxfId="789" priority="509" stopIfTrue="1" operator="equal">
      <formula>'1857'!$L$7</formula>
    </cfRule>
    <cfRule type="cellIs" dxfId="788" priority="510" stopIfTrue="1" operator="lessThan">
      <formula>'1857'!$L$7</formula>
    </cfRule>
  </conditionalFormatting>
  <conditionalFormatting sqref="N8">
    <cfRule type="cellIs" dxfId="787" priority="511" stopIfTrue="1" operator="equal">
      <formula>'1857'!$L$8</formula>
    </cfRule>
    <cfRule type="cellIs" dxfId="786" priority="512" stopIfTrue="1" operator="lessThan">
      <formula>'1857'!$L$8</formula>
    </cfRule>
  </conditionalFormatting>
  <conditionalFormatting sqref="N9">
    <cfRule type="cellIs" dxfId="785" priority="513" stopIfTrue="1" operator="equal">
      <formula>'1857'!$L$9</formula>
    </cfRule>
    <cfRule type="cellIs" dxfId="784" priority="514" stopIfTrue="1" operator="lessThan">
      <formula>'1857'!$L$9</formula>
    </cfRule>
  </conditionalFormatting>
  <conditionalFormatting sqref="N10">
    <cfRule type="cellIs" dxfId="783" priority="515" stopIfTrue="1" operator="equal">
      <formula>'1857'!$L$10</formula>
    </cfRule>
    <cfRule type="cellIs" dxfId="782" priority="516" stopIfTrue="1" operator="lessThan">
      <formula>'1857'!$L$10</formula>
    </cfRule>
  </conditionalFormatting>
  <conditionalFormatting sqref="N11">
    <cfRule type="cellIs" dxfId="781" priority="517" stopIfTrue="1" operator="equal">
      <formula>'1857'!$L$11</formula>
    </cfRule>
    <cfRule type="cellIs" dxfId="780" priority="518" stopIfTrue="1" operator="lessThan">
      <formula>'1857'!$L$11</formula>
    </cfRule>
  </conditionalFormatting>
  <conditionalFormatting sqref="N12">
    <cfRule type="cellIs" dxfId="779" priority="519" stopIfTrue="1" operator="equal">
      <formula>'1857'!$L$12</formula>
    </cfRule>
    <cfRule type="cellIs" dxfId="778" priority="520" stopIfTrue="1" operator="lessThan">
      <formula>'1857'!$L$12</formula>
    </cfRule>
  </conditionalFormatting>
  <conditionalFormatting sqref="N13">
    <cfRule type="cellIs" dxfId="777" priority="521" stopIfTrue="1" operator="equal">
      <formula>'1857'!$L$13</formula>
    </cfRule>
    <cfRule type="cellIs" dxfId="776" priority="522" stopIfTrue="1" operator="lessThan">
      <formula>'1857'!$L$13</formula>
    </cfRule>
  </conditionalFormatting>
  <conditionalFormatting sqref="N14">
    <cfRule type="cellIs" dxfId="775" priority="523" stopIfTrue="1" operator="equal">
      <formula>'1857'!$L$14</formula>
    </cfRule>
    <cfRule type="cellIs" dxfId="774" priority="524" stopIfTrue="1" operator="lessThan">
      <formula>'1857'!$L$14</formula>
    </cfRule>
  </conditionalFormatting>
  <conditionalFormatting sqref="N15">
    <cfRule type="cellIs" dxfId="773" priority="525" stopIfTrue="1" operator="equal">
      <formula>'1857'!$L$15</formula>
    </cfRule>
    <cfRule type="cellIs" dxfId="772" priority="526" stopIfTrue="1" operator="lessThan">
      <formula>'1857'!$L$15</formula>
    </cfRule>
  </conditionalFormatting>
  <conditionalFormatting sqref="N16">
    <cfRule type="cellIs" dxfId="771" priority="527" stopIfTrue="1" operator="equal">
      <formula>'1857'!$L$16</formula>
    </cfRule>
    <cfRule type="cellIs" dxfId="770" priority="528" stopIfTrue="1" operator="lessThan">
      <formula>'1857'!$L$16</formula>
    </cfRule>
  </conditionalFormatting>
  <conditionalFormatting sqref="N17">
    <cfRule type="cellIs" dxfId="769" priority="529" stopIfTrue="1" operator="equal">
      <formula>'1857'!$L$17</formula>
    </cfRule>
    <cfRule type="cellIs" dxfId="768" priority="530" stopIfTrue="1" operator="lessThan">
      <formula>'1857'!$L$17</formula>
    </cfRule>
  </conditionalFormatting>
  <conditionalFormatting sqref="N18">
    <cfRule type="cellIs" dxfId="767" priority="531" stopIfTrue="1" operator="equal">
      <formula>'1857'!$L$18</formula>
    </cfRule>
    <cfRule type="cellIs" dxfId="766" priority="532" stopIfTrue="1" operator="lessThan">
      <formula>'1857'!$L$18</formula>
    </cfRule>
  </conditionalFormatting>
  <conditionalFormatting sqref="N19">
    <cfRule type="cellIs" dxfId="765" priority="533" stopIfTrue="1" operator="equal">
      <formula>'1857'!$L$19</formula>
    </cfRule>
    <cfRule type="cellIs" dxfId="764" priority="534" stopIfTrue="1" operator="lessThan">
      <formula>'1857'!$L$19</formula>
    </cfRule>
  </conditionalFormatting>
  <conditionalFormatting sqref="N20">
    <cfRule type="cellIs" dxfId="763" priority="535" stopIfTrue="1" operator="equal">
      <formula>'1857'!$L$20</formula>
    </cfRule>
    <cfRule type="cellIs" dxfId="762" priority="536" stopIfTrue="1" operator="lessThan">
      <formula>'1857'!$L$20</formula>
    </cfRule>
  </conditionalFormatting>
  <conditionalFormatting sqref="N21">
    <cfRule type="cellIs" dxfId="761" priority="537" stopIfTrue="1" operator="equal">
      <formula>'1857'!$L$21</formula>
    </cfRule>
    <cfRule type="cellIs" dxfId="760" priority="538" stopIfTrue="1" operator="lessThan">
      <formula>'1857'!$L$21</formula>
    </cfRule>
  </conditionalFormatting>
  <conditionalFormatting sqref="N22">
    <cfRule type="cellIs" dxfId="759" priority="539" stopIfTrue="1" operator="equal">
      <formula>'1857'!$L$22</formula>
    </cfRule>
    <cfRule type="cellIs" dxfId="758" priority="540" stopIfTrue="1" operator="lessThan">
      <formula>'1857'!$L$22</formula>
    </cfRule>
  </conditionalFormatting>
  <conditionalFormatting sqref="N23">
    <cfRule type="cellIs" dxfId="757" priority="541" stopIfTrue="1" operator="equal">
      <formula>'1857'!$L$23</formula>
    </cfRule>
    <cfRule type="cellIs" dxfId="756" priority="542" stopIfTrue="1" operator="lessThan">
      <formula>'1857'!$L$23</formula>
    </cfRule>
  </conditionalFormatting>
  <conditionalFormatting sqref="N24">
    <cfRule type="cellIs" dxfId="755" priority="543" stopIfTrue="1" operator="equal">
      <formula>'1857'!$L$24</formula>
    </cfRule>
    <cfRule type="cellIs" dxfId="754" priority="544" stopIfTrue="1" operator="lessThan">
      <formula>'1857'!$L$24</formula>
    </cfRule>
  </conditionalFormatting>
  <conditionalFormatting sqref="N25">
    <cfRule type="cellIs" dxfId="753" priority="545" stopIfTrue="1" operator="equal">
      <formula>'1857'!$L$25</formula>
    </cfRule>
    <cfRule type="cellIs" dxfId="752" priority="546" stopIfTrue="1" operator="lessThan">
      <formula>'1857'!$L$25</formula>
    </cfRule>
  </conditionalFormatting>
  <conditionalFormatting sqref="N26">
    <cfRule type="cellIs" dxfId="751" priority="547" stopIfTrue="1" operator="equal">
      <formula>'1857'!$L$26</formula>
    </cfRule>
    <cfRule type="cellIs" dxfId="750" priority="548" stopIfTrue="1" operator="lessThan">
      <formula>'1857'!$L$26</formula>
    </cfRule>
  </conditionalFormatting>
  <conditionalFormatting sqref="N27">
    <cfRule type="cellIs" dxfId="749" priority="549" stopIfTrue="1" operator="equal">
      <formula>'1857'!$L$27</formula>
    </cfRule>
    <cfRule type="cellIs" dxfId="748" priority="550" stopIfTrue="1" operator="lessThan">
      <formula>'1857'!$L$27</formula>
    </cfRule>
  </conditionalFormatting>
  <conditionalFormatting sqref="N28">
    <cfRule type="cellIs" dxfId="747" priority="551" stopIfTrue="1" operator="equal">
      <formula>'1857'!$L$28</formula>
    </cfRule>
    <cfRule type="cellIs" dxfId="746" priority="552" stopIfTrue="1" operator="lessThan">
      <formula>'1857'!$L$28</formula>
    </cfRule>
  </conditionalFormatting>
  <conditionalFormatting sqref="O4:Q4">
    <cfRule type="cellIs" dxfId="745" priority="553" stopIfTrue="1" operator="equal">
      <formula>'1857'!$M$4</formula>
    </cfRule>
    <cfRule type="cellIs" dxfId="744" priority="554" stopIfTrue="1" operator="lessThan">
      <formula>'1857'!$M$4</formula>
    </cfRule>
  </conditionalFormatting>
  <conditionalFormatting sqref="O5:Q5">
    <cfRule type="cellIs" dxfId="743" priority="555" stopIfTrue="1" operator="equal">
      <formula>'1857'!$M$5</formula>
    </cfRule>
    <cfRule type="cellIs" dxfId="742" priority="556" stopIfTrue="1" operator="lessThan">
      <formula>'1857'!$M$5</formula>
    </cfRule>
  </conditionalFormatting>
  <conditionalFormatting sqref="O6:Q6">
    <cfRule type="cellIs" dxfId="741" priority="557" stopIfTrue="1" operator="equal">
      <formula>'1857'!$M$6</formula>
    </cfRule>
    <cfRule type="cellIs" dxfId="740" priority="558" stopIfTrue="1" operator="lessThan">
      <formula>'1857'!$M$6</formula>
    </cfRule>
  </conditionalFormatting>
  <conditionalFormatting sqref="O7:Q7">
    <cfRule type="cellIs" dxfId="739" priority="559" stopIfTrue="1" operator="equal">
      <formula>'1857'!$M$7</formula>
    </cfRule>
    <cfRule type="cellIs" dxfId="738" priority="560" stopIfTrue="1" operator="lessThan">
      <formula>'1857'!$M$7</formula>
    </cfRule>
  </conditionalFormatting>
  <conditionalFormatting sqref="O8:Q8">
    <cfRule type="cellIs" dxfId="737" priority="561" stopIfTrue="1" operator="equal">
      <formula>'1857'!$M$8</formula>
    </cfRule>
    <cfRule type="cellIs" dxfId="736" priority="562" stopIfTrue="1" operator="lessThan">
      <formula>'1857'!$M$8</formula>
    </cfRule>
  </conditionalFormatting>
  <conditionalFormatting sqref="O9:Q9">
    <cfRule type="cellIs" dxfId="735" priority="563" stopIfTrue="1" operator="equal">
      <formula>'1857'!$M$9</formula>
    </cfRule>
    <cfRule type="cellIs" dxfId="734" priority="564" stopIfTrue="1" operator="lessThan">
      <formula>'1857'!$M$9</formula>
    </cfRule>
  </conditionalFormatting>
  <conditionalFormatting sqref="O10:Q10">
    <cfRule type="cellIs" dxfId="733" priority="565" stopIfTrue="1" operator="equal">
      <formula>'1857'!$M$10</formula>
    </cfRule>
    <cfRule type="cellIs" dxfId="732" priority="566" stopIfTrue="1" operator="lessThan">
      <formula>'1857'!$M$10</formula>
    </cfRule>
  </conditionalFormatting>
  <conditionalFormatting sqref="O11:Q11">
    <cfRule type="cellIs" dxfId="731" priority="567" stopIfTrue="1" operator="equal">
      <formula>'1857'!$M$11</formula>
    </cfRule>
    <cfRule type="cellIs" dxfId="730" priority="568" stopIfTrue="1" operator="lessThan">
      <formula>'1857'!$M$11</formula>
    </cfRule>
  </conditionalFormatting>
  <conditionalFormatting sqref="O12:Q12">
    <cfRule type="cellIs" dxfId="729" priority="569" stopIfTrue="1" operator="equal">
      <formula>'1857'!$M$12</formula>
    </cfRule>
    <cfRule type="cellIs" dxfId="728" priority="570" stopIfTrue="1" operator="lessThan">
      <formula>'1857'!$M$12</formula>
    </cfRule>
  </conditionalFormatting>
  <conditionalFormatting sqref="O13:Q13">
    <cfRule type="cellIs" dxfId="727" priority="571" stopIfTrue="1" operator="equal">
      <formula>'1857'!$M$13</formula>
    </cfRule>
    <cfRule type="cellIs" dxfId="726" priority="572" stopIfTrue="1" operator="lessThan">
      <formula>'1857'!$M$13</formula>
    </cfRule>
  </conditionalFormatting>
  <conditionalFormatting sqref="O14:Q14">
    <cfRule type="cellIs" dxfId="725" priority="573" stopIfTrue="1" operator="equal">
      <formula>'1857'!$M$14</formula>
    </cfRule>
    <cfRule type="cellIs" dxfId="724" priority="574" stopIfTrue="1" operator="lessThan">
      <formula>'1857'!$M$14</formula>
    </cfRule>
  </conditionalFormatting>
  <conditionalFormatting sqref="O15:Q15">
    <cfRule type="cellIs" dxfId="723" priority="575" stopIfTrue="1" operator="equal">
      <formula>'1857'!$M$15</formula>
    </cfRule>
    <cfRule type="cellIs" dxfId="722" priority="576" stopIfTrue="1" operator="lessThan">
      <formula>'1857'!$M$15</formula>
    </cfRule>
  </conditionalFormatting>
  <conditionalFormatting sqref="O16:Q16">
    <cfRule type="cellIs" dxfId="721" priority="577" stopIfTrue="1" operator="equal">
      <formula>'1857'!$M$16</formula>
    </cfRule>
    <cfRule type="cellIs" dxfId="720" priority="578" stopIfTrue="1" operator="lessThan">
      <formula>'1857'!$M$16</formula>
    </cfRule>
  </conditionalFormatting>
  <conditionalFormatting sqref="O17:Q17">
    <cfRule type="cellIs" dxfId="719" priority="579" stopIfTrue="1" operator="equal">
      <formula>'1857'!$M$17</formula>
    </cfRule>
    <cfRule type="cellIs" dxfId="718" priority="580" stopIfTrue="1" operator="lessThan">
      <formula>'1857'!$M$17</formula>
    </cfRule>
  </conditionalFormatting>
  <conditionalFormatting sqref="O18:Q18">
    <cfRule type="cellIs" dxfId="717" priority="581" stopIfTrue="1" operator="equal">
      <formula>'1857'!$M$18</formula>
    </cfRule>
    <cfRule type="cellIs" dxfId="716" priority="582" stopIfTrue="1" operator="lessThan">
      <formula>'1857'!$M$18</formula>
    </cfRule>
  </conditionalFormatting>
  <conditionalFormatting sqref="O19:Q19">
    <cfRule type="cellIs" dxfId="715" priority="583" stopIfTrue="1" operator="equal">
      <formula>'1857'!$M$19</formula>
    </cfRule>
    <cfRule type="cellIs" dxfId="714" priority="584" stopIfTrue="1" operator="lessThan">
      <formula>'1857'!$M$19</formula>
    </cfRule>
  </conditionalFormatting>
  <conditionalFormatting sqref="O20:Q20">
    <cfRule type="cellIs" dxfId="713" priority="585" stopIfTrue="1" operator="equal">
      <formula>'1857'!$M$20</formula>
    </cfRule>
    <cfRule type="cellIs" dxfId="712" priority="586" stopIfTrue="1" operator="lessThan">
      <formula>'1857'!$M$20</formula>
    </cfRule>
  </conditionalFormatting>
  <conditionalFormatting sqref="O21:Q21">
    <cfRule type="cellIs" dxfId="711" priority="587" stopIfTrue="1" operator="equal">
      <formula>'1857'!$M$21</formula>
    </cfRule>
    <cfRule type="cellIs" dxfId="710" priority="588" stopIfTrue="1" operator="lessThan">
      <formula>'1857'!$M$21</formula>
    </cfRule>
  </conditionalFormatting>
  <conditionalFormatting sqref="O22:Q22">
    <cfRule type="cellIs" dxfId="709" priority="589" stopIfTrue="1" operator="equal">
      <formula>'1857'!$M$22</formula>
    </cfRule>
    <cfRule type="cellIs" dxfId="708" priority="590" stopIfTrue="1" operator="lessThan">
      <formula>'1857'!$M$22</formula>
    </cfRule>
  </conditionalFormatting>
  <conditionalFormatting sqref="O23:Q23">
    <cfRule type="cellIs" dxfId="707" priority="591" stopIfTrue="1" operator="equal">
      <formula>'1857'!$M$23</formula>
    </cfRule>
    <cfRule type="cellIs" dxfId="706" priority="592" stopIfTrue="1" operator="lessThan">
      <formula>'1857'!$M$23</formula>
    </cfRule>
  </conditionalFormatting>
  <conditionalFormatting sqref="O24:Q24">
    <cfRule type="cellIs" dxfId="705" priority="593" stopIfTrue="1" operator="equal">
      <formula>'1857'!$M$24</formula>
    </cfRule>
    <cfRule type="cellIs" dxfId="704" priority="594" stopIfTrue="1" operator="lessThan">
      <formula>'1857'!$M$24</formula>
    </cfRule>
  </conditionalFormatting>
  <conditionalFormatting sqref="O25:Q25">
    <cfRule type="cellIs" dxfId="703" priority="595" stopIfTrue="1" operator="equal">
      <formula>'1857'!$M$25</formula>
    </cfRule>
    <cfRule type="cellIs" dxfId="702" priority="596" stopIfTrue="1" operator="lessThan">
      <formula>'1857'!$M$25</formula>
    </cfRule>
  </conditionalFormatting>
  <conditionalFormatting sqref="O26:Q26">
    <cfRule type="cellIs" dxfId="701" priority="597" stopIfTrue="1" operator="equal">
      <formula>'1857'!$M$26</formula>
    </cfRule>
    <cfRule type="cellIs" dxfId="700" priority="598" stopIfTrue="1" operator="lessThan">
      <formula>'1857'!$M$26</formula>
    </cfRule>
  </conditionalFormatting>
  <conditionalFormatting sqref="O27:Q27">
    <cfRule type="cellIs" dxfId="699" priority="599" stopIfTrue="1" operator="equal">
      <formula>'1857'!$M$27</formula>
    </cfRule>
    <cfRule type="cellIs" dxfId="698" priority="600" stopIfTrue="1" operator="lessThan">
      <formula>'1857'!$M$27</formula>
    </cfRule>
  </conditionalFormatting>
  <conditionalFormatting sqref="O28:Q28">
    <cfRule type="cellIs" dxfId="697" priority="601" stopIfTrue="1" operator="equal">
      <formula>'1857'!$M$28</formula>
    </cfRule>
    <cfRule type="cellIs" dxfId="696" priority="602" stopIfTrue="1" operator="lessThan">
      <formula>'1857'!$M$28</formula>
    </cfRule>
  </conditionalFormatting>
  <conditionalFormatting sqref="R4">
    <cfRule type="cellIs" dxfId="695" priority="603" stopIfTrue="1" operator="equal">
      <formula>'1857'!$N$4</formula>
    </cfRule>
    <cfRule type="cellIs" dxfId="694" priority="604" stopIfTrue="1" operator="lessThan">
      <formula>'1857'!$N$4</formula>
    </cfRule>
  </conditionalFormatting>
  <conditionalFormatting sqref="R5">
    <cfRule type="cellIs" dxfId="693" priority="605" stopIfTrue="1" operator="equal">
      <formula>'1857'!$N$5</formula>
    </cfRule>
    <cfRule type="cellIs" dxfId="692" priority="606" stopIfTrue="1" operator="lessThan">
      <formula>'1857'!$N$5</formula>
    </cfRule>
  </conditionalFormatting>
  <conditionalFormatting sqref="R6">
    <cfRule type="cellIs" dxfId="691" priority="607" stopIfTrue="1" operator="equal">
      <formula>'1857'!$N$6</formula>
    </cfRule>
    <cfRule type="cellIs" dxfId="690" priority="608" stopIfTrue="1" operator="lessThan">
      <formula>'1857'!$N$6</formula>
    </cfRule>
  </conditionalFormatting>
  <conditionalFormatting sqref="R7">
    <cfRule type="cellIs" dxfId="689" priority="609" stopIfTrue="1" operator="equal">
      <formula>'1857'!$N$7</formula>
    </cfRule>
    <cfRule type="cellIs" dxfId="688" priority="610" stopIfTrue="1" operator="lessThan">
      <formula>'1857'!$N$7</formula>
    </cfRule>
  </conditionalFormatting>
  <conditionalFormatting sqref="R8">
    <cfRule type="cellIs" dxfId="687" priority="611" stopIfTrue="1" operator="equal">
      <formula>'1857'!$N$8</formula>
    </cfRule>
    <cfRule type="cellIs" dxfId="686" priority="612" stopIfTrue="1" operator="lessThan">
      <formula>'1857'!$N$8</formula>
    </cfRule>
  </conditionalFormatting>
  <conditionalFormatting sqref="R9">
    <cfRule type="cellIs" dxfId="685" priority="613" stopIfTrue="1" operator="equal">
      <formula>'1857'!$N$9</formula>
    </cfRule>
    <cfRule type="cellIs" dxfId="684" priority="614" stopIfTrue="1" operator="lessThan">
      <formula>'1857'!$N$9</formula>
    </cfRule>
  </conditionalFormatting>
  <conditionalFormatting sqref="R10">
    <cfRule type="cellIs" dxfId="683" priority="615" stopIfTrue="1" operator="equal">
      <formula>'1857'!$N$10</formula>
    </cfRule>
    <cfRule type="cellIs" dxfId="682" priority="616" stopIfTrue="1" operator="lessThan">
      <formula>'1857'!$N$10</formula>
    </cfRule>
  </conditionalFormatting>
  <conditionalFormatting sqref="R11">
    <cfRule type="cellIs" dxfId="681" priority="617" stopIfTrue="1" operator="equal">
      <formula>'1857'!$N$11</formula>
    </cfRule>
    <cfRule type="cellIs" dxfId="680" priority="618" stopIfTrue="1" operator="lessThan">
      <formula>'1857'!$N$11</formula>
    </cfRule>
  </conditionalFormatting>
  <conditionalFormatting sqref="R12">
    <cfRule type="cellIs" dxfId="679" priority="619" stopIfTrue="1" operator="equal">
      <formula>'1857'!$N$12</formula>
    </cfRule>
    <cfRule type="cellIs" dxfId="678" priority="620" stopIfTrue="1" operator="lessThan">
      <formula>'1857'!$N$12</formula>
    </cfRule>
  </conditionalFormatting>
  <conditionalFormatting sqref="R13">
    <cfRule type="cellIs" dxfId="677" priority="621" stopIfTrue="1" operator="equal">
      <formula>'1857'!$N$13</formula>
    </cfRule>
    <cfRule type="cellIs" dxfId="676" priority="622" stopIfTrue="1" operator="lessThan">
      <formula>'1857'!$N$13</formula>
    </cfRule>
  </conditionalFormatting>
  <conditionalFormatting sqref="R14">
    <cfRule type="cellIs" dxfId="675" priority="623" stopIfTrue="1" operator="equal">
      <formula>'1857'!$N$14</formula>
    </cfRule>
    <cfRule type="cellIs" dxfId="674" priority="624" stopIfTrue="1" operator="lessThan">
      <formula>'1857'!$N$14</formula>
    </cfRule>
  </conditionalFormatting>
  <conditionalFormatting sqref="R15">
    <cfRule type="cellIs" dxfId="673" priority="625" stopIfTrue="1" operator="equal">
      <formula>'1857'!$N$15</formula>
    </cfRule>
    <cfRule type="cellIs" dxfId="672" priority="626" stopIfTrue="1" operator="lessThan">
      <formula>'1857'!$N$15</formula>
    </cfRule>
  </conditionalFormatting>
  <conditionalFormatting sqref="R16">
    <cfRule type="cellIs" dxfId="671" priority="627" stopIfTrue="1" operator="equal">
      <formula>'1857'!$N$16</formula>
    </cfRule>
    <cfRule type="cellIs" dxfId="670" priority="628" stopIfTrue="1" operator="lessThan">
      <formula>'1857'!$N$16</formula>
    </cfRule>
  </conditionalFormatting>
  <conditionalFormatting sqref="R17">
    <cfRule type="cellIs" dxfId="669" priority="629" stopIfTrue="1" operator="equal">
      <formula>'1857'!$N$17</formula>
    </cfRule>
    <cfRule type="cellIs" dxfId="668" priority="630" stopIfTrue="1" operator="lessThan">
      <formula>'1857'!$N$17</formula>
    </cfRule>
  </conditionalFormatting>
  <conditionalFormatting sqref="R18">
    <cfRule type="cellIs" dxfId="667" priority="631" stopIfTrue="1" operator="equal">
      <formula>'1857'!$N$18</formula>
    </cfRule>
    <cfRule type="cellIs" dxfId="666" priority="632" stopIfTrue="1" operator="lessThan">
      <formula>'1857'!$N$18</formula>
    </cfRule>
  </conditionalFormatting>
  <conditionalFormatting sqref="R19">
    <cfRule type="cellIs" dxfId="665" priority="633" stopIfTrue="1" operator="equal">
      <formula>'1857'!$N$19</formula>
    </cfRule>
    <cfRule type="cellIs" dxfId="664" priority="634" stopIfTrue="1" operator="lessThan">
      <formula>'1857'!$N$19</formula>
    </cfRule>
  </conditionalFormatting>
  <conditionalFormatting sqref="R20">
    <cfRule type="cellIs" dxfId="663" priority="635" stopIfTrue="1" operator="equal">
      <formula>'1857'!$N$20</formula>
    </cfRule>
    <cfRule type="cellIs" dxfId="662" priority="636" stopIfTrue="1" operator="lessThan">
      <formula>'1857'!$N$20</formula>
    </cfRule>
  </conditionalFormatting>
  <conditionalFormatting sqref="R21">
    <cfRule type="cellIs" dxfId="661" priority="637" stopIfTrue="1" operator="equal">
      <formula>'1857'!$N$21</formula>
    </cfRule>
    <cfRule type="cellIs" dxfId="660" priority="638" stopIfTrue="1" operator="lessThan">
      <formula>'1857'!$N$21</formula>
    </cfRule>
  </conditionalFormatting>
  <conditionalFormatting sqref="R22">
    <cfRule type="cellIs" dxfId="659" priority="639" stopIfTrue="1" operator="equal">
      <formula>'1857'!$N$22</formula>
    </cfRule>
    <cfRule type="cellIs" dxfId="658" priority="640" stopIfTrue="1" operator="lessThan">
      <formula>'1857'!$N$22</formula>
    </cfRule>
  </conditionalFormatting>
  <conditionalFormatting sqref="R23">
    <cfRule type="cellIs" dxfId="657" priority="641" stopIfTrue="1" operator="equal">
      <formula>'1857'!$N$23</formula>
    </cfRule>
    <cfRule type="cellIs" dxfId="656" priority="642" stopIfTrue="1" operator="lessThan">
      <formula>'1857'!$N$23</formula>
    </cfRule>
  </conditionalFormatting>
  <conditionalFormatting sqref="R24">
    <cfRule type="cellIs" dxfId="655" priority="643" stopIfTrue="1" operator="equal">
      <formula>'1857'!$N$24</formula>
    </cfRule>
    <cfRule type="cellIs" dxfId="654" priority="644" stopIfTrue="1" operator="lessThan">
      <formula>'1857'!$N$24</formula>
    </cfRule>
  </conditionalFormatting>
  <conditionalFormatting sqref="R25">
    <cfRule type="cellIs" dxfId="653" priority="645" stopIfTrue="1" operator="equal">
      <formula>'1857'!$N$25</formula>
    </cfRule>
    <cfRule type="cellIs" dxfId="652" priority="646" stopIfTrue="1" operator="lessThan">
      <formula>'1857'!$N$25</formula>
    </cfRule>
  </conditionalFormatting>
  <conditionalFormatting sqref="R26">
    <cfRule type="cellIs" dxfId="651" priority="647" stopIfTrue="1" operator="equal">
      <formula>'1857'!$N$26</formula>
    </cfRule>
    <cfRule type="cellIs" dxfId="650" priority="648" stopIfTrue="1" operator="lessThan">
      <formula>'1857'!$N$26</formula>
    </cfRule>
  </conditionalFormatting>
  <conditionalFormatting sqref="R27">
    <cfRule type="cellIs" dxfId="649" priority="649" stopIfTrue="1" operator="equal">
      <formula>'1857'!$N$27</formula>
    </cfRule>
    <cfRule type="cellIs" dxfId="648" priority="650" stopIfTrue="1" operator="lessThan">
      <formula>'1857'!$N$27</formula>
    </cfRule>
  </conditionalFormatting>
  <conditionalFormatting sqref="R28">
    <cfRule type="cellIs" dxfId="647" priority="651" stopIfTrue="1" operator="equal">
      <formula>'1857'!$N$28</formula>
    </cfRule>
    <cfRule type="cellIs" dxfId="646" priority="652" stopIfTrue="1" operator="lessThan">
      <formula>'1857'!$N$28</formula>
    </cfRule>
  </conditionalFormatting>
  <pageMargins left="0.7" right="0.7" top="0.78749999999999998" bottom="0.78749999999999998" header="0.51180555555555551" footer="0.51180555555555551"/>
  <pageSetup paperSize="9" scale="99" firstPageNumber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selection activeCell="M15" sqref="M15"/>
    </sheetView>
  </sheetViews>
  <sheetFormatPr defaultColWidth="9" defaultRowHeight="18"/>
  <cols>
    <col min="1" max="1" width="35" style="40" customWidth="1"/>
    <col min="2" max="5" width="11.42578125" style="40" customWidth="1"/>
    <col min="6" max="6" width="6.42578125" style="40" customWidth="1"/>
    <col min="7" max="10" width="11.42578125" style="40" customWidth="1"/>
    <col min="11" max="16384" width="9" style="40"/>
  </cols>
  <sheetData>
    <row r="1" spans="1:10">
      <c r="A1" s="41" t="s">
        <v>124</v>
      </c>
      <c r="B1" s="42">
        <v>2019</v>
      </c>
    </row>
    <row r="3" spans="1:10">
      <c r="A3" s="196" t="s">
        <v>125</v>
      </c>
      <c r="B3" s="197">
        <v>1850</v>
      </c>
      <c r="C3" s="197">
        <v>1851</v>
      </c>
      <c r="D3" s="197">
        <v>1852</v>
      </c>
      <c r="E3" s="197">
        <v>1853</v>
      </c>
    </row>
    <row r="4" spans="1:10">
      <c r="A4" s="43" t="s">
        <v>126</v>
      </c>
      <c r="B4" s="43">
        <f>'1850'!D4-'1850'!C4+'1850'!D6-'1850'!C6+'1850'!D8-'1850'!C8+'1850'!D10-'1850'!C10+'1850'!D12-'1850'!C12+'1850'!D14-'1850'!C14+'1850'!D16-'1850'!C16+'1850'!D18-'1850'!C18+'1850'!D20-'1850'!C20+'1850'!D22-'1850'!C22</f>
        <v>65.378</v>
      </c>
      <c r="C4" s="43">
        <f>'1851'!E4-'1851'!D4+'1851'!E6-'1851'!D6+'1851'!E8-'1851'!D8+'1851'!E10-'1851'!D10+'1851'!E12-'1851'!D12+'1851'!E14-'1851'!D14+'1851'!E16-'1851'!D16+'1851'!E18-'1851'!D18+'1851'!E20-'1851'!D20+'1851'!E22-'1851'!D22+'1851'!E33-'1851'!D33+'1851'!E34-'1851'!D34+'1851'!E35-'1851'!D35+'1851'!E36-'1851'!D36+'1851'!E37-'1851'!D37+'1851'!E40-'1851'!D40+'1851'!E41-'1851'!D41+'1851'!E42-'1851'!D42+'1851'!E43-'1851'!D43+'1851'!E44-'1851'!D44+'1851'!E45-'1851'!D45+'1851'!E46-'1851'!D46+'1851'!E47-'1851'!D47+'1851'!E48-'1851'!D48+'1851'!E49-'1851'!D49</f>
        <v>103.3419999999999</v>
      </c>
      <c r="D4" s="43">
        <f>'1852'!D4-'1852'!C4+'1852'!D6-'1852'!C6+'1852'!D8-'1852'!C8+'1852'!D10-'1852'!C10+'1852'!D12-'1852'!C12+'1852'!D14-'1852'!C14+'1852'!D16-'1852'!C16+'1852'!D18-'1852'!C18+'1852'!D20-'1852'!C20+'1852'!D22-'1852'!C22</f>
        <v>71.55699999999996</v>
      </c>
      <c r="E4" s="43">
        <f>'1853'!D4-'1853'!C4+'1853'!D6-'1853'!C6+'1853'!D8-'1853'!C8+'1853'!D10-'1853'!C10+'1853'!D12-'1853'!C12+'1853'!D14-'1853'!C14+'1853'!D16-'1853'!C16+'1853'!D18-'1853'!C18+'1853'!D20-'1853'!C20+'1853'!D22-'1853'!C22+'1853'!D26-'1853'!C26</f>
        <v>77.372999999999934</v>
      </c>
      <c r="G4" s="214">
        <f>1-B4/B5</f>
        <v>6.4692417739629304E-2</v>
      </c>
      <c r="H4" s="214">
        <f t="shared" ref="H4:J4" si="0">1-C4/C5</f>
        <v>7.1500449236296948E-2</v>
      </c>
      <c r="I4" s="214">
        <f t="shared" si="0"/>
        <v>9.6502525252523674E-2</v>
      </c>
      <c r="J4" s="214">
        <f t="shared" si="0"/>
        <v>7.0036057692306475E-2</v>
      </c>
    </row>
    <row r="5" spans="1:10">
      <c r="A5" s="43" t="s">
        <v>127</v>
      </c>
      <c r="B5" s="43">
        <f>'1850'!D26-'1850'!C26</f>
        <v>69.900000000000091</v>
      </c>
      <c r="C5" s="43">
        <f>'1851'!E26-'1851'!D26</f>
        <v>111.29999999999973</v>
      </c>
      <c r="D5" s="44">
        <f>'1852'!D26-'1852'!C26</f>
        <v>79.199999999999818</v>
      </c>
      <c r="E5" s="43">
        <f>'1853'!D27-'1853'!C27</f>
        <v>83.199999999999818</v>
      </c>
    </row>
    <row r="6" spans="1:10">
      <c r="A6" s="43" t="s">
        <v>128</v>
      </c>
      <c r="B6" s="281">
        <f>B5+C5+D5+E5</f>
        <v>343.59999999999945</v>
      </c>
      <c r="C6" s="281"/>
      <c r="D6" s="281"/>
      <c r="E6" s="281"/>
      <c r="G6" s="214">
        <f>1-B6/B7</f>
        <v>-5.8548009367653808E-3</v>
      </c>
    </row>
    <row r="7" spans="1:10">
      <c r="A7" s="43" t="s">
        <v>129</v>
      </c>
      <c r="B7" s="281">
        <f>'1850'!D29-'1850'!C29</f>
        <v>341.60000000000036</v>
      </c>
      <c r="C7" s="281"/>
      <c r="D7" s="281"/>
      <c r="E7" s="281"/>
    </row>
    <row r="8" spans="1:10">
      <c r="A8" s="198" t="s">
        <v>130</v>
      </c>
      <c r="B8" s="199"/>
      <c r="C8" s="199"/>
      <c r="D8" s="199"/>
      <c r="E8" s="200"/>
    </row>
    <row r="9" spans="1:10">
      <c r="A9" s="43" t="s">
        <v>131</v>
      </c>
      <c r="B9" s="43">
        <f>'1850'!D5-'1850'!C5+'1850'!D7-'1850'!C7+'1850'!D9-'1850'!C9+'1850'!D11-'1850'!C11+'1850'!D13-'1850'!C13+'1850'!D15-'1850'!C15+'1850'!D17-'1850'!C17+'1850'!D19-'1850'!C19+'1850'!D21-'1850'!C21+'1850'!D23-'1850'!C23</f>
        <v>34.396999999999991</v>
      </c>
      <c r="C9" s="43">
        <f>'1851'!E5-'1851'!D5+'1851'!E7-'1851'!D7+'1851'!E9-'1851'!D9+'1851'!E11-'1851'!D11+'1851'!E13-'1851'!D13+'1851'!E15-'1851'!D15+'1851'!E17-'1851'!D17+'1851'!E19-'1851'!D19+'1851'!E21-'1851'!D21+'1851'!E23-'1851'!D23</f>
        <v>46.584999999999994</v>
      </c>
      <c r="D9" s="43">
        <f>'1852'!D5-'1852'!C5+'1852'!D7-'1852'!C7+'1852'!D9-'1852'!C9+'1852'!D11-'1852'!C11+'1852'!D13-'1852'!C13+'1852'!D15-'1852'!C15+'1852'!D17-'1852'!C17+'1852'!D19-'1852'!C19+'1852'!D21-'1852'!C21+'1852'!D23-'1852'!C23</f>
        <v>41.175000000000011</v>
      </c>
      <c r="E9" s="43">
        <f>'1853'!D5-'1853'!C5+'1853'!D7-'1853'!C7+'1853'!D9-'1853'!C9+'1853'!D11-'1853'!C11+'1853'!D13-'1853'!C13+'1853'!D15-'1853'!C15+'1853'!D17-'1853'!C17+'1853'!D19-'1853'!C19+'1853'!D21-'1853'!C21+'1853'!D23-'1853'!C23</f>
        <v>39.645000000000003</v>
      </c>
      <c r="G9" s="214">
        <f>1-B9/B10</f>
        <v>0.13766044925792342</v>
      </c>
      <c r="H9" s="214">
        <f t="shared" ref="H9:J9" si="1">1-C9/C10</f>
        <v>8.9354132457581392E-2</v>
      </c>
      <c r="I9" s="214">
        <f t="shared" si="1"/>
        <v>7.4635922330097859E-2</v>
      </c>
      <c r="J9" s="214">
        <f t="shared" si="1"/>
        <v>0.12181020733652459</v>
      </c>
    </row>
    <row r="10" spans="1:10">
      <c r="A10" s="43" t="s">
        <v>132</v>
      </c>
      <c r="B10" s="45">
        <f>('1850'!D27-'1850'!C27)*3.6</f>
        <v>39.888000000000048</v>
      </c>
      <c r="C10" s="43">
        <f>('1851'!E27-'1851'!D27)*3.6</f>
        <v>51.156000000000027</v>
      </c>
      <c r="D10" s="43">
        <f>('1852'!D27-'1852'!C27)*3.6</f>
        <v>44.496000000000052</v>
      </c>
      <c r="E10" s="43">
        <f>('1853'!D28-'1853'!C28)*3.6</f>
        <v>45.144000000000077</v>
      </c>
    </row>
    <row r="11" spans="1:10">
      <c r="A11" s="198" t="s">
        <v>133</v>
      </c>
      <c r="B11" s="199"/>
      <c r="C11" s="199"/>
      <c r="D11" s="199"/>
      <c r="E11" s="200"/>
    </row>
    <row r="12" spans="1:10">
      <c r="A12" s="43" t="s">
        <v>134</v>
      </c>
      <c r="B12" s="46">
        <f>'1850'!D25-'1850'!C25</f>
        <v>536</v>
      </c>
      <c r="C12" s="46">
        <f>'1851'!E24-'1851'!D24</f>
        <v>261</v>
      </c>
      <c r="D12" s="46">
        <f>'1852'!D25-'1852'!C25</f>
        <v>271</v>
      </c>
      <c r="E12" s="46">
        <f>'1853'!D24-'1853'!C24</f>
        <v>326</v>
      </c>
    </row>
    <row r="13" spans="1:10">
      <c r="A13" s="47"/>
      <c r="B13" s="48"/>
      <c r="C13" s="48"/>
      <c r="D13" s="48"/>
      <c r="E13" s="48"/>
      <c r="G13" s="48"/>
      <c r="H13" s="48"/>
      <c r="I13" s="48"/>
      <c r="J13" s="48"/>
    </row>
    <row r="14" spans="1:10">
      <c r="A14" s="47" t="s">
        <v>135</v>
      </c>
      <c r="B14" s="48">
        <f>'1853'!D25-'1853'!C25</f>
        <v>445</v>
      </c>
      <c r="C14" s="48"/>
      <c r="D14" s="48"/>
      <c r="E14" s="48"/>
      <c r="G14" s="48"/>
      <c r="H14" s="48"/>
      <c r="I14" s="48"/>
      <c r="J14" s="48"/>
    </row>
    <row r="15" spans="1:10">
      <c r="A15" s="47" t="s">
        <v>136</v>
      </c>
      <c r="B15" s="49">
        <f>'1853'!D26-'1853'!C26</f>
        <v>0</v>
      </c>
      <c r="C15" s="48"/>
      <c r="D15" s="48"/>
      <c r="E15" s="48"/>
      <c r="G15" s="48"/>
      <c r="H15" s="48"/>
      <c r="I15" s="48"/>
      <c r="J15" s="48"/>
    </row>
    <row r="16" spans="1:10">
      <c r="A16" s="47"/>
      <c r="B16" s="48"/>
      <c r="C16" s="48"/>
      <c r="D16" s="48"/>
      <c r="E16" s="48"/>
      <c r="G16" s="48"/>
      <c r="H16" s="48"/>
      <c r="I16" s="48"/>
      <c r="J16" s="48"/>
    </row>
    <row r="18" spans="1:10">
      <c r="A18" s="196" t="s">
        <v>125</v>
      </c>
      <c r="B18" s="197">
        <v>1854</v>
      </c>
      <c r="C18" s="197">
        <v>1855</v>
      </c>
      <c r="D18" s="197">
        <v>1856</v>
      </c>
      <c r="E18" s="197">
        <v>1857</v>
      </c>
    </row>
    <row r="19" spans="1:10">
      <c r="A19" s="43" t="s">
        <v>126</v>
      </c>
      <c r="B19" s="54">
        <f>'1854'!D4-'1854'!C4+'1854'!D6-'1854'!C6+'1854'!D8-'1854'!C8+'1854'!D10-'1854'!C10+'1854'!D12-'1854'!C12+'1854'!D14-'1854'!C14+'1854'!D16-'1854'!C16+'1854'!D18-'1854'!C18+'1854'!D20-'1854'!C20+'1854'!D22-'1854'!C22</f>
        <v>47.376999999999917</v>
      </c>
      <c r="C19" s="54">
        <f>'1855'!D4-'1855'!C4+'1855'!D6-'1855'!C6+'1855'!D8-'1855'!C8+'1855'!D10-'1855'!C10+'1855'!D12-'1855'!C12+'1855'!D14-'1855'!C14+'1855'!D16-'1855'!C16+'1855'!D18-'1855'!C18+'1855'!D20-'1855'!C20+'1855'!D22-'1855'!C22</f>
        <v>81.100000000000136</v>
      </c>
      <c r="D19" s="54">
        <f>'1856'!D4-'1856'!C4+'1856'!D6-'1856'!C6+'1856'!D8-'1856'!C8+'1856'!D10-'1856'!C10+'1856'!D12-'1856'!C12+'1856'!D14-'1856'!C14+'1856'!D16-'1856'!C16+'1856'!D18-'1856'!C18+'1856'!D20-'1856'!C20+'1856'!D22-'1856'!C22</f>
        <v>69.545000000000016</v>
      </c>
      <c r="E19" s="54">
        <f>'1857'!D4-'1857'!C4+'1857'!D6-'1857'!C6+'1857'!D8-'1857'!C8+'1857'!D10-'1857'!C10+'1857'!D12-'1857'!C12+'1857'!D14-'1857'!C14+'1857'!D16-'1857'!C16+'1857'!D18-'1857'!C18+'1857'!D20-'1857'!C20+'1857'!D22-'1857'!C22</f>
        <v>77.224999999999909</v>
      </c>
      <c r="F19" s="147"/>
      <c r="G19" s="214">
        <f>1-B19/B20</f>
        <v>8.0058252427186116E-2</v>
      </c>
      <c r="H19" s="214">
        <f t="shared" ref="H19:J19" si="2">1-C19/C20</f>
        <v>6.6743383199078798E-2</v>
      </c>
      <c r="I19" s="214">
        <f t="shared" si="2"/>
        <v>6.3997308209961745E-2</v>
      </c>
      <c r="J19" s="214">
        <f t="shared" si="2"/>
        <v>6.6203143893590388E-2</v>
      </c>
    </row>
    <row r="20" spans="1:10">
      <c r="A20" s="43" t="s">
        <v>127</v>
      </c>
      <c r="B20" s="54">
        <f>'1854'!D26-'1854'!C26</f>
        <v>51.5</v>
      </c>
      <c r="C20" s="54">
        <f>'1855'!D26-'1855'!C26</f>
        <v>86.900000000000091</v>
      </c>
      <c r="D20" s="54">
        <f>'1856'!D26-'1856'!C26</f>
        <v>74.300000000000182</v>
      </c>
      <c r="E20" s="54">
        <f>'1857'!D26-'1857'!C26</f>
        <v>82.699999999999818</v>
      </c>
      <c r="F20" s="147"/>
    </row>
    <row r="21" spans="1:10">
      <c r="A21" s="43" t="s">
        <v>128</v>
      </c>
      <c r="B21" s="281">
        <f>B20+C20+D20+E20</f>
        <v>295.40000000000009</v>
      </c>
      <c r="C21" s="281"/>
      <c r="D21" s="281"/>
      <c r="E21" s="281"/>
      <c r="G21" s="214">
        <f>1-B21/B22</f>
        <v>-1.0259917920651951E-2</v>
      </c>
    </row>
    <row r="22" spans="1:10">
      <c r="A22" s="43" t="s">
        <v>129</v>
      </c>
      <c r="B22" s="281">
        <f>'1854'!D29-'1854'!C29</f>
        <v>292.40000000000146</v>
      </c>
      <c r="C22" s="281"/>
      <c r="D22" s="281"/>
      <c r="E22" s="281"/>
    </row>
    <row r="23" spans="1:10">
      <c r="A23" s="198" t="s">
        <v>130</v>
      </c>
      <c r="B23" s="199"/>
      <c r="C23" s="199"/>
      <c r="D23" s="199"/>
      <c r="E23" s="200"/>
    </row>
    <row r="24" spans="1:10">
      <c r="A24" s="43" t="s">
        <v>131</v>
      </c>
      <c r="B24" s="43">
        <f>'1854'!D5-'1854'!C5+'1854'!D7-'1854'!C7+'1854'!D9-'1854'!C9+'1854'!D11-'1854'!C11+'1854'!D13-'1854'!C13+'1854'!D15-'1854'!C15+'1854'!D17-'1854'!C17+'1854'!D19-'1854'!C19+'1854'!D21-'1854'!C21+'1854'!D23-'1854'!C23</f>
        <v>41.645999999999994</v>
      </c>
      <c r="C24" s="43">
        <f>'1855'!D5-'1855'!C5+'1855'!D7-'1855'!C7+'1855'!D9-'1855'!C9+'1855'!D11-'1855'!C11+'1855'!D13-'1855'!C13+'1855'!D15-'1855'!C15+'1855'!D17-'1855'!C17+'1855'!D19-'1855'!C19+'1855'!D21-'1855'!C21+'1855'!D23-'1855'!C23</f>
        <v>46.87299999999999</v>
      </c>
      <c r="D24" s="43">
        <f>'1856'!D5-'1856'!C5+'1856'!D7-'1856'!C7+'1856'!D9-'1856'!C9+'1856'!D11-'1856'!C11+'1856'!D13-'1856'!C13+'1856'!D15-'1856'!C15+'1856'!D17-'1856'!C17+'1856'!D19-'1856'!C19+'1856'!D21-'1856'!C21+'1856'!D23-'1856'!C23</f>
        <v>40.931999999999988</v>
      </c>
      <c r="E24" s="43">
        <f>'1857'!D5-'1857'!C5+'1857'!D7-'1857'!C7+'1857'!D9-'1857'!C9+'1857'!D11-'1857'!C11+'1857'!D13-'1857'!C13+'1857'!D15-'1857'!C15+'1857'!D17-'1857'!C17+'1857'!D19-'1857'!C19+'1857'!D21-'1857'!C21+'1857'!D23-'1857'!C23</f>
        <v>42.524000000000008</v>
      </c>
      <c r="G24" s="214">
        <f>1-B24/B25</f>
        <v>8.5507246376812174E-2</v>
      </c>
      <c r="H24" s="214">
        <f t="shared" ref="H24:J24" si="3">1-C24/C25</f>
        <v>-0.12827363758905985</v>
      </c>
      <c r="I24" s="214">
        <f t="shared" si="3"/>
        <v>0.10047468354430511</v>
      </c>
      <c r="J24" s="214">
        <f t="shared" si="3"/>
        <v>0.10918384447796137</v>
      </c>
    </row>
    <row r="25" spans="1:10">
      <c r="A25" s="43" t="s">
        <v>132</v>
      </c>
      <c r="B25" s="43">
        <f>('1854'!D27-'1854'!C27)*3.6</f>
        <v>45.54000000000002</v>
      </c>
      <c r="C25" s="195">
        <f>('1855'!D27-'1855'!C27)*3.6</f>
        <v>41.544000000000075</v>
      </c>
      <c r="D25" s="43">
        <f>('1856'!D27-'1856'!C27)*3.6</f>
        <v>45.504000000000055</v>
      </c>
      <c r="E25" s="43">
        <f>('1857'!D27-'1857'!C27)*3.6</f>
        <v>47.735999999999969</v>
      </c>
    </row>
    <row r="26" spans="1:10">
      <c r="A26" s="198" t="s">
        <v>133</v>
      </c>
      <c r="B26" s="199"/>
      <c r="C26" s="199"/>
      <c r="D26" s="199"/>
      <c r="E26" s="200"/>
    </row>
    <row r="27" spans="1:10">
      <c r="A27" s="43" t="s">
        <v>134</v>
      </c>
      <c r="B27" s="46">
        <f>'1854'!D25-'1854'!C25</f>
        <v>309</v>
      </c>
      <c r="C27" s="46">
        <f>'1855'!D25-'1855'!C25</f>
        <v>259</v>
      </c>
      <c r="D27" s="46">
        <f>'1856'!D25-'1856'!C25</f>
        <v>231</v>
      </c>
      <c r="E27" s="46">
        <f>'1857'!D25-'1857'!C25</f>
        <v>301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:J2 G13:J17 G28:J65536">
    <cfRule type="cellIs" dxfId="645" priority="2" stopIfTrue="1" operator="lessThan">
      <formula>0</formula>
    </cfRule>
  </conditionalFormatting>
  <conditionalFormatting sqref="G1:J2 G13:H17 G28:J65536 I13:J13 I16:J17">
    <cfRule type="cellIs" dxfId="644" priority="1" stopIfTrue="1" operator="lessThan">
      <formula>0</formula>
    </cfRule>
  </conditionalFormatting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selection activeCell="M15" sqref="M15"/>
    </sheetView>
  </sheetViews>
  <sheetFormatPr defaultColWidth="9" defaultRowHeight="18"/>
  <cols>
    <col min="1" max="1" width="35" style="40" customWidth="1"/>
    <col min="2" max="5" width="11.42578125" style="40" customWidth="1"/>
    <col min="6" max="6" width="6.7109375" style="40" customWidth="1"/>
    <col min="7" max="10" width="11.42578125" style="40" customWidth="1"/>
    <col min="11" max="12" width="6.42578125" style="40" customWidth="1"/>
    <col min="13" max="16384" width="9" style="40"/>
  </cols>
  <sheetData>
    <row r="1" spans="1:10">
      <c r="A1" s="41" t="s">
        <v>137</v>
      </c>
      <c r="B1" s="42">
        <f>'S1'!B1</f>
        <v>2019</v>
      </c>
    </row>
    <row r="3" spans="1:10">
      <c r="A3" s="198" t="s">
        <v>125</v>
      </c>
      <c r="B3" s="197">
        <v>1850</v>
      </c>
      <c r="C3" s="197">
        <v>1851</v>
      </c>
      <c r="D3" s="197">
        <v>1852</v>
      </c>
      <c r="E3" s="197">
        <v>1853</v>
      </c>
    </row>
    <row r="4" spans="1:10">
      <c r="A4" s="50" t="s">
        <v>126</v>
      </c>
      <c r="B4" s="43">
        <f>'1850'!E4-'1850'!D4+'1850'!E6-'1850'!D6+'1850'!E8-'1850'!D8+'1850'!E10-'1850'!D10+'1850'!E12-'1850'!D12+'1850'!E14-'1850'!D14+'1850'!E16-'1850'!D16+'1850'!E18-'1850'!D18+'1850'!E20-'1850'!D20+'1850'!E22-'1850'!D22</f>
        <v>54.320999999999955</v>
      </c>
      <c r="C4" s="43">
        <f>'1851'!F4-'1851'!E4+'1851'!F6-'1851'!E6+'1851'!F8-'1851'!E8+'1851'!F10-'1851'!E10+'1851'!F12-'1851'!E12+'1851'!F14-'1851'!E14+'1851'!F16-'1851'!E16+'1851'!F18-'1851'!E18+'1851'!F20-'1851'!E20+'1851'!F22-'1851'!E22+'1851'!F33-'1851'!E33+'1851'!F34-'1851'!E34+'1851'!F35-'1851'!E35+'1851'!F36-'1851'!E36+'1851'!F37-'1851'!E37+'1851'!F40-'1851'!E40+'1851'!F41-'1851'!E41+'1851'!F42-'1851'!E42+'1851'!F43-'1851'!E43+'1851'!F44-'1851'!E44+'1851'!F45-'1851'!E45+'1851'!F46-'1851'!E46+'1851'!F47-'1851'!E47+'1851'!F48-'1851'!E48+'1851'!F49-'1851'!E49</f>
        <v>91.905000000000001</v>
      </c>
      <c r="D4" s="43">
        <f>'1852'!E4-'1852'!D4+'1852'!E6-'1852'!D6+'1852'!E8-'1852'!D8+'1852'!E10-'1852'!D10+'1852'!E12-'1852'!D12+'1852'!E14-'1852'!D14+'1852'!E16-'1852'!D16+'1852'!E18-'1852'!D18+'1852'!E20-'1852'!D20+'1852'!E22-'1852'!D22</f>
        <v>69.385999999999953</v>
      </c>
      <c r="E4" s="43">
        <f>'1853'!E4-'1853'!D4+'1853'!E6-'1853'!D6+'1853'!E8-'1853'!D8+'1853'!E10-'1853'!D10+'1853'!E12-'1853'!D12+'1853'!E14-'1853'!D14+'1853'!E16-'1853'!D16+'1853'!E18-'1853'!D18+'1853'!E20-'1853'!D20+'1853'!E22-'1853'!D22+'1853'!E26-'1853'!D26</f>
        <v>73.804000000000087</v>
      </c>
      <c r="G4" s="214">
        <f>1-B4/B5</f>
        <v>5.8561525129987912E-2</v>
      </c>
      <c r="H4" s="214">
        <f t="shared" ref="H4:J4" si="0">1-C4/C5</f>
        <v>6.5055951169889825E-2</v>
      </c>
      <c r="I4" s="214">
        <f t="shared" si="0"/>
        <v>8.2195767195766711E-2</v>
      </c>
      <c r="J4" s="214">
        <f t="shared" si="0"/>
        <v>6.4588086185044302E-2</v>
      </c>
    </row>
    <row r="5" spans="1:10">
      <c r="A5" s="50" t="s">
        <v>127</v>
      </c>
      <c r="B5" s="43">
        <f>'1850'!E26-'1850'!D26</f>
        <v>57.700000000000273</v>
      </c>
      <c r="C5" s="43">
        <f>'1851'!F26-'1851'!E26</f>
        <v>98.300000000000182</v>
      </c>
      <c r="D5" s="43">
        <f>'1852'!E26-'1852'!D26</f>
        <v>75.599999999999909</v>
      </c>
      <c r="E5" s="43">
        <f>'1853'!E27-'1853'!D27</f>
        <v>78.900000000000091</v>
      </c>
    </row>
    <row r="6" spans="1:10">
      <c r="A6" s="50" t="s">
        <v>128</v>
      </c>
      <c r="B6" s="281">
        <f>SUM(B5:E5)</f>
        <v>310.50000000000045</v>
      </c>
      <c r="C6" s="281"/>
      <c r="D6" s="281"/>
      <c r="E6" s="281"/>
      <c r="G6" s="214">
        <f>1-B6/B7</f>
        <v>2.2355163727959426E-2</v>
      </c>
    </row>
    <row r="7" spans="1:10">
      <c r="A7" s="50" t="s">
        <v>129</v>
      </c>
      <c r="B7" s="281">
        <f>'1850'!E29-'1850'!E33+'1850'!E32-'1850'!D29</f>
        <v>317.60000000000036</v>
      </c>
      <c r="C7" s="281"/>
      <c r="D7" s="281"/>
      <c r="E7" s="281"/>
    </row>
    <row r="8" spans="1:10">
      <c r="A8" s="198" t="s">
        <v>130</v>
      </c>
      <c r="B8" s="201"/>
      <c r="C8" s="199"/>
      <c r="D8" s="199"/>
      <c r="E8" s="200"/>
    </row>
    <row r="9" spans="1:10">
      <c r="A9" s="43" t="s">
        <v>131</v>
      </c>
      <c r="B9" s="43">
        <f>'1850'!E5-'1850'!D5+'1850'!E7-'1850'!D7+'1850'!E9-'1850'!D9+'1850'!E11-'1850'!D11+'1850'!E13-'1850'!D13+'1850'!E15-'1850'!D15+'1850'!E17-'1850'!D17+'1850'!E19-'1850'!D19+'1850'!E21-'1850'!D21+'1850'!E23-'1850'!D23</f>
        <v>21.748000000000008</v>
      </c>
      <c r="C9" s="43">
        <f>'1851'!F5-'1851'!E5+'1851'!F7-'1851'!E7+'1851'!F9-'1851'!E9+'1851'!F11-'1851'!E11+'1851'!F13-'1851'!E13+'1851'!F15-'1851'!E15+'1851'!F17-'1851'!E17+'1851'!F19-'1851'!E19+'1851'!F21-'1851'!E21+'1851'!F23-'1851'!E23</f>
        <v>33.561999999999998</v>
      </c>
      <c r="D9" s="43">
        <f>'1852'!E5-'1852'!D5+'1852'!E7-'1852'!D7+'1852'!E9-'1852'!D9+'1852'!E11-'1852'!D11+'1852'!E13-'1852'!D13+'1852'!E15-'1852'!D15+'1852'!E17-'1852'!D17+'1852'!E19-'1852'!D19+'1852'!E21-'1852'!D21+'1852'!E23-'1852'!D23</f>
        <v>30.42799999999999</v>
      </c>
      <c r="E9" s="43">
        <f>'1853'!E5-'1853'!D5+'1853'!E7-'1853'!D7+'1853'!E9-'1853'!D9+'1853'!E11-'1853'!D11+'1853'!E13-'1853'!D13+'1853'!E15-'1853'!D15+'1853'!E17-'1853'!D17+'1853'!E19-'1853'!D19+'1853'!E21-'1853'!D21+'1853'!E23-'1853'!D23</f>
        <v>27.014999999999993</v>
      </c>
      <c r="G9" s="214">
        <f>1-B9/B10</f>
        <v>0.17131534827007955</v>
      </c>
      <c r="H9" s="214">
        <f t="shared" ref="H9:J9" si="1">1-C9/C10</f>
        <v>0.1070136228182228</v>
      </c>
      <c r="I9" s="214">
        <f t="shared" si="1"/>
        <v>8.7233021358290808E-2</v>
      </c>
      <c r="J9" s="214">
        <f t="shared" si="1"/>
        <v>0.16341508732813081</v>
      </c>
    </row>
    <row r="10" spans="1:10">
      <c r="A10" s="43" t="s">
        <v>132</v>
      </c>
      <c r="B10" s="51">
        <f>('1850'!E27-'1850'!D27)*3.6</f>
        <v>26.243999999999971</v>
      </c>
      <c r="C10" s="43">
        <f>('1851'!F27-'1851'!E27)*3.6</f>
        <v>37.584000000000096</v>
      </c>
      <c r="D10" s="43">
        <f>('1852'!E27-'1852'!D27)*3.6</f>
        <v>33.33599999999997</v>
      </c>
      <c r="E10" s="43">
        <f>('1853'!E28-'1853'!D28)*3.6</f>
        <v>32.291999999999994</v>
      </c>
    </row>
    <row r="11" spans="1:10">
      <c r="A11" s="198" t="s">
        <v>138</v>
      </c>
      <c r="B11" s="199"/>
      <c r="C11" s="199"/>
      <c r="D11" s="199"/>
      <c r="E11" s="200"/>
    </row>
    <row r="12" spans="1:10">
      <c r="A12" s="43" t="s">
        <v>134</v>
      </c>
      <c r="B12" s="46">
        <f>'1850'!E25-'1850'!D25</f>
        <v>507</v>
      </c>
      <c r="C12" s="46">
        <f>'1851'!F24-'1851'!E24</f>
        <v>292</v>
      </c>
      <c r="D12" s="46">
        <f>'1852'!E25-'1852'!D25</f>
        <v>221</v>
      </c>
      <c r="E12" s="46">
        <f>'1853'!E24-'1853'!D24</f>
        <v>270</v>
      </c>
    </row>
    <row r="13" spans="1:10">
      <c r="A13" s="47"/>
      <c r="B13" s="48"/>
      <c r="C13" s="48"/>
      <c r="D13" s="48"/>
      <c r="E13" s="48"/>
      <c r="F13" s="48"/>
      <c r="G13" s="48"/>
      <c r="H13" s="48"/>
      <c r="I13" s="48"/>
      <c r="J13" s="48"/>
    </row>
    <row r="14" spans="1:10">
      <c r="A14" s="47" t="s">
        <v>135</v>
      </c>
      <c r="B14" s="48">
        <f>'1853'!E25-'1853'!D25</f>
        <v>382</v>
      </c>
      <c r="C14" s="48"/>
      <c r="D14" s="48"/>
      <c r="E14" s="48"/>
      <c r="F14" s="48"/>
      <c r="G14" s="48"/>
      <c r="H14" s="48"/>
      <c r="I14" s="48"/>
      <c r="J14" s="48"/>
    </row>
    <row r="15" spans="1:10">
      <c r="A15" s="47" t="s">
        <v>136</v>
      </c>
      <c r="B15" s="49">
        <f>'1853'!E26-'1853'!D26</f>
        <v>0</v>
      </c>
      <c r="C15" s="48"/>
      <c r="D15" s="48"/>
      <c r="E15" s="48"/>
      <c r="F15" s="48"/>
      <c r="G15" s="48"/>
      <c r="H15" s="48"/>
      <c r="I15" s="48"/>
      <c r="J15" s="48"/>
    </row>
    <row r="16" spans="1:10">
      <c r="A16" s="47"/>
      <c r="B16" s="48"/>
      <c r="C16" s="48"/>
      <c r="D16" s="48"/>
      <c r="E16" s="48"/>
      <c r="F16" s="48"/>
      <c r="G16" s="48"/>
      <c r="H16" s="48"/>
      <c r="I16" s="48"/>
      <c r="J16" s="48"/>
    </row>
    <row r="18" spans="1:10">
      <c r="A18" s="196" t="s">
        <v>125</v>
      </c>
      <c r="B18" s="197">
        <v>1854</v>
      </c>
      <c r="C18" s="197">
        <v>1855</v>
      </c>
      <c r="D18" s="197">
        <v>1856</v>
      </c>
      <c r="E18" s="197">
        <v>1857</v>
      </c>
    </row>
    <row r="19" spans="1:10">
      <c r="A19" s="43" t="s">
        <v>126</v>
      </c>
      <c r="B19" s="54">
        <f>'1854'!E4-'1854'!D4+'1854'!E6-'1854'!D6+'1854'!E8-'1854'!D8+'1854'!E10-'1854'!D10+'1854'!E12-'1854'!D12+'1854'!E14-'1854'!D14+'1854'!E16-'1854'!D16+'1854'!E18-'1854'!D18+'1854'!E20-'1854'!D20+'1854'!E22-'1854'!D22</f>
        <v>51.303999999999988</v>
      </c>
      <c r="C19" s="54">
        <f>'1855'!E4-'1855'!D4+'1855'!E6-'1855'!D6+'1855'!E8-'1855'!D8+'1855'!E10-'1855'!D10+'1855'!E12-'1855'!D12+'1855'!E14-'1855'!D14+'1855'!E16-'1855'!D16+'1855'!E18-'1855'!D18+'1855'!E20-'1855'!D20+'1855'!E22-'1855'!D22</f>
        <v>72.04099999999994</v>
      </c>
      <c r="D19" s="54">
        <f>'1856'!E4-'1856'!D4+'1856'!E6-'1856'!D6+'1856'!E8-'1856'!D8+'1856'!E10-'1856'!D10+'1856'!E12-'1856'!D12+'1856'!E14-'1856'!D14+'1856'!E16-'1856'!D16+'1856'!E18-'1856'!D18+'1856'!E20-'1856'!D20+'1856'!E22-'1856'!D22</f>
        <v>62.936999999999955</v>
      </c>
      <c r="E19" s="54">
        <f>'1857'!E4-'1857'!D4+'1857'!E6-'1857'!D6+'1857'!E8-'1857'!D8+'1857'!E10-'1857'!D10+'1857'!E12-'1857'!D12+'1857'!E14-'1857'!D14+'1857'!E16-'1857'!D16+'1857'!E18-'1857'!D18+'1857'!E20-'1857'!D20+'1857'!E22-'1857'!D22</f>
        <v>67.286000000000058</v>
      </c>
      <c r="F19" s="147"/>
      <c r="G19" s="214">
        <f>1-B19/B20</f>
        <v>5.8642201834862573E-2</v>
      </c>
      <c r="H19" s="214">
        <f t="shared" ref="H19:J19" si="2">1-C19/C20</f>
        <v>7.9936143039588847E-2</v>
      </c>
      <c r="I19" s="214">
        <f t="shared" si="2"/>
        <v>6.3437499999998148E-2</v>
      </c>
      <c r="J19" s="214">
        <f t="shared" si="2"/>
        <v>6.5472222222221377E-2</v>
      </c>
    </row>
    <row r="20" spans="1:10">
      <c r="A20" s="43" t="s">
        <v>127</v>
      </c>
      <c r="B20" s="54">
        <f>'1854'!E26-'1854'!D26</f>
        <v>54.5</v>
      </c>
      <c r="C20" s="54">
        <f>'1855'!E26-'1855'!D26</f>
        <v>78.299999999999727</v>
      </c>
      <c r="D20" s="54">
        <f>'1856'!E26-'1856'!D26</f>
        <v>67.199999999999818</v>
      </c>
      <c r="E20" s="54">
        <f>'1857'!E26-'1857'!D26</f>
        <v>72</v>
      </c>
      <c r="F20" s="147"/>
    </row>
    <row r="21" spans="1:10">
      <c r="A21" s="43" t="s">
        <v>128</v>
      </c>
      <c r="B21" s="281">
        <f>SUM(B20:E20)</f>
        <v>271.99999999999955</v>
      </c>
      <c r="C21" s="281"/>
      <c r="D21" s="281"/>
      <c r="E21" s="281"/>
      <c r="G21" s="214">
        <f>1-B21/B22</f>
        <v>-1.5683345780434177E-2</v>
      </c>
    </row>
    <row r="22" spans="1:10">
      <c r="A22" s="43" t="s">
        <v>129</v>
      </c>
      <c r="B22" s="281">
        <f>'1854'!E29-'1854'!D29</f>
        <v>267.79999999999927</v>
      </c>
      <c r="C22" s="281"/>
      <c r="D22" s="281"/>
      <c r="E22" s="281"/>
    </row>
    <row r="23" spans="1:10">
      <c r="A23" s="198" t="s">
        <v>130</v>
      </c>
      <c r="B23" s="199"/>
      <c r="C23" s="199"/>
      <c r="D23" s="199"/>
      <c r="E23" s="200"/>
    </row>
    <row r="24" spans="1:10">
      <c r="A24" s="43" t="s">
        <v>131</v>
      </c>
      <c r="B24" s="43">
        <f>'1854'!E5-'1854'!D5+'1854'!E7-'1854'!D7+'1854'!E9-'1854'!D9+'1854'!E11-'1854'!D11+'1854'!E13-'1854'!D13+'1854'!E15-'1854'!D15+'1854'!E17-'1854'!D17+'1854'!E19-'1854'!D19+'1854'!E21-'1854'!D21+'1854'!E23-'1854'!D23</f>
        <v>29.796000000000006</v>
      </c>
      <c r="C24" s="43">
        <f>'1855'!E5-'1855'!D5+'1855'!E7-'1855'!D7+'1855'!E9-'1855'!D9+'1855'!E11-'1855'!D11+'1855'!E13-'1855'!D13+'1855'!E15-'1855'!D15+'1855'!E17-'1855'!D17+'1855'!E19-'1855'!D19+'1855'!E21-'1855'!D21+'1855'!E23-'1855'!D23</f>
        <v>32.327000000000012</v>
      </c>
      <c r="D24" s="43">
        <f>'1856'!E5-'1856'!D5+'1856'!E7-'1856'!D7+'1856'!E9-'1856'!D9+'1856'!E11-'1856'!D11+'1856'!E13-'1856'!D13+'1856'!E15-'1856'!D15+'1856'!E17-'1856'!D17+'1856'!E19-'1856'!D19+'1856'!E21-'1856'!D21+'1856'!E23-'1856'!D23</f>
        <v>26.366000000000007</v>
      </c>
      <c r="E24" s="43">
        <f>'1857'!E5-'1857'!D5+'1857'!E7-'1857'!D7+'1857'!E9-'1857'!D9+'1857'!E11-'1857'!D11+'1857'!E13-'1857'!D13+'1857'!E15-'1857'!D15+'1857'!E17-'1857'!D17+'1857'!E19-'1857'!D19+'1857'!E21-'1857'!D21+'1857'!E23-'1857'!D23</f>
        <v>27.817999999999998</v>
      </c>
      <c r="G24" s="214">
        <f>1-B24/B25</f>
        <v>9.2470760233918314E-2</v>
      </c>
      <c r="H24" s="214">
        <f t="shared" ref="H24:J24" si="3">1-C24/C25</f>
        <v>0.19464374688589747</v>
      </c>
      <c r="I24" s="214">
        <f t="shared" si="3"/>
        <v>0.10246459694989041</v>
      </c>
      <c r="J24" s="214">
        <f t="shared" si="3"/>
        <v>0.10976702508960656</v>
      </c>
    </row>
    <row r="25" spans="1:10">
      <c r="A25" s="43" t="s">
        <v>132</v>
      </c>
      <c r="B25" s="43">
        <f>('1854'!E27-'1854'!D27)*3.6</f>
        <v>32.832000000000015</v>
      </c>
      <c r="C25" s="43">
        <f>('1855'!E27-'1855'!D27)*3.6</f>
        <v>40.139999999999922</v>
      </c>
      <c r="D25" s="43">
        <f>('1856'!E27-'1856'!D27)*3.6</f>
        <v>29.375999999999987</v>
      </c>
      <c r="E25" s="43">
        <f>('1857'!E27-'1857'!D27)*3.6</f>
        <v>31.248000000000026</v>
      </c>
    </row>
    <row r="26" spans="1:10">
      <c r="A26" s="198" t="s">
        <v>138</v>
      </c>
      <c r="B26" s="199"/>
      <c r="C26" s="199"/>
      <c r="D26" s="199"/>
      <c r="E26" s="200"/>
    </row>
    <row r="27" spans="1:10">
      <c r="A27" s="43" t="s">
        <v>134</v>
      </c>
      <c r="B27" s="46">
        <f>'1854'!E25-'1854'!D25</f>
        <v>400</v>
      </c>
      <c r="C27" s="46">
        <f>'1855'!E25-'1855'!D25</f>
        <v>424</v>
      </c>
      <c r="D27" s="46">
        <f>'1856'!E25-'1856'!D25</f>
        <v>237</v>
      </c>
      <c r="E27" s="46">
        <f>'1857'!E25-'1857'!D25</f>
        <v>420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:I2 G13:I13 G16:I17 G28:I65536">
    <cfRule type="cellIs" dxfId="643" priority="3" stopIfTrue="1" operator="lessThan">
      <formula>0</formula>
    </cfRule>
  </conditionalFormatting>
  <conditionalFormatting sqref="G1:J2 G13:J17 G28:J65536">
    <cfRule type="cellIs" dxfId="642" priority="2" stopIfTrue="1" operator="lessThan">
      <formula>0</formula>
    </cfRule>
  </conditionalFormatting>
  <conditionalFormatting sqref="G1:J2 G13:H17 G28:J65536 I13:J13 I16:J17">
    <cfRule type="cellIs" dxfId="641" priority="1" stopIfTrue="1" operator="lessThan">
      <formula>0</formula>
    </cfRule>
  </conditionalFormatting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7"/>
  <sheetViews>
    <sheetView workbookViewId="0">
      <selection activeCell="M15" sqref="M15"/>
    </sheetView>
  </sheetViews>
  <sheetFormatPr defaultColWidth="9" defaultRowHeight="18"/>
  <cols>
    <col min="1" max="1" width="35" style="40" customWidth="1"/>
    <col min="2" max="5" width="11.42578125" style="40" customWidth="1"/>
    <col min="6" max="6" width="9.85546875" style="40" customWidth="1"/>
    <col min="7" max="10" width="11.42578125" style="40" customWidth="1"/>
    <col min="11" max="15" width="6.42578125" style="40" customWidth="1"/>
    <col min="16" max="16384" width="9" style="40"/>
  </cols>
  <sheetData>
    <row r="1" spans="1:11">
      <c r="A1" s="41" t="s">
        <v>139</v>
      </c>
      <c r="B1" s="42">
        <f>'S1'!B1</f>
        <v>2019</v>
      </c>
    </row>
    <row r="3" spans="1:11">
      <c r="A3" s="198" t="s">
        <v>125</v>
      </c>
      <c r="B3" s="197">
        <v>1850</v>
      </c>
      <c r="C3" s="197">
        <v>1851</v>
      </c>
      <c r="D3" s="197">
        <v>1852</v>
      </c>
      <c r="E3" s="197">
        <v>1853</v>
      </c>
    </row>
    <row r="4" spans="1:11">
      <c r="A4" s="50" t="s">
        <v>126</v>
      </c>
      <c r="B4" s="43">
        <f>'1850'!F4-'1850'!E4+'1850'!F6-'1850'!E6+'1850'!F8-'1850'!E8+'1850'!F10-'1850'!E10+'1850'!F12-'1850'!E12+'1850'!F14-'1850'!E14+'1850'!F16-'1850'!E16+'1850'!F18-'1850'!E18+'1850'!F20-'1850'!E20+'1850'!F22-'1850'!E22</f>
        <v>55.983999999999895</v>
      </c>
      <c r="C4" s="43">
        <f>'1851'!G4-'1851'!F4+'1851'!G6-'1851'!F6+'1851'!G8-'1851'!F8+'1851'!G10-'1851'!F10+'1851'!G12-'1851'!F12+'1851'!G14-'1851'!F14+'1851'!G16-'1851'!F16+'1851'!G18-'1851'!F18+'1851'!G20-'1851'!F20+'1851'!G22-'1851'!F22+'1851'!G33-'1851'!F33+'1851'!G34-'1851'!F34+'1851'!G35-'1851'!F35+'1851'!G36-'1851'!F36+'1851'!G37-'1851'!F37+'1851'!G40-'1851'!F40+'1851'!G41-'1851'!F41+'1851'!G42-'1851'!F42+'1851'!G43-'1851'!F43+'1851'!G44-'1851'!F44+'1851'!G45-'1851'!F45+'1851'!G46-'1851'!F46+'1851'!G47-'1851'!F47+'1851'!G48-'1851'!F48+'1851'!G49-'1851'!F49</f>
        <v>87.118000000000023</v>
      </c>
      <c r="D4" s="43">
        <f>'1852'!F4-'1852'!E4+'1852'!F6-'1852'!E6+'1852'!F8-'1852'!E8+'1852'!F10-'1852'!E10+'1852'!F12-'1852'!E12+'1852'!F14-'1852'!E14+'1852'!F16-'1852'!E16+'1852'!F18-'1852'!E18+'1852'!F20-'1852'!E20+'1852'!F22-'1852'!E22</f>
        <v>73.560000000000031</v>
      </c>
      <c r="E4" s="43">
        <f>'1853'!F4-'1853'!E4+'1853'!F6-'1853'!E6+'1853'!F8-'1853'!E8+'1853'!F10-'1853'!E10+'1853'!F12-'1853'!E12+'1853'!F14-'1853'!E14+'1853'!F16-'1853'!E16+'1853'!F18-'1853'!E18+'1853'!F20-'1853'!E20+'1853'!F22-'1853'!E22+'1853'!F26-'1853'!E26</f>
        <v>62.552000000000021</v>
      </c>
      <c r="G4" s="214">
        <f>1-B4/B5</f>
        <v>6.8485856905158404E-2</v>
      </c>
      <c r="H4" s="214">
        <f t="shared" ref="H4:J4" si="0">1-C4/C5</f>
        <v>7.3212765957446524E-2</v>
      </c>
      <c r="I4" s="214">
        <f t="shared" si="0"/>
        <v>0.13458823529411723</v>
      </c>
      <c r="J4" s="214">
        <f t="shared" si="0"/>
        <v>7.7404129793506304E-2</v>
      </c>
    </row>
    <row r="5" spans="1:11">
      <c r="A5" s="50" t="s">
        <v>127</v>
      </c>
      <c r="B5" s="43">
        <f>'1850'!F26-'1850'!E26</f>
        <v>60.099999999999909</v>
      </c>
      <c r="C5" s="43">
        <f>'1851'!G26-'1851'!F26</f>
        <v>94</v>
      </c>
      <c r="D5" s="43">
        <f>'1852'!F26-'1852'!E26</f>
        <v>85</v>
      </c>
      <c r="E5" s="43">
        <f>'1853'!F27-'1853'!E27</f>
        <v>67.799999999999727</v>
      </c>
    </row>
    <row r="6" spans="1:11">
      <c r="A6" s="50" t="s">
        <v>128</v>
      </c>
      <c r="B6" s="281">
        <f>SUM(B5:E5)</f>
        <v>306.89999999999964</v>
      </c>
      <c r="C6" s="281"/>
      <c r="D6" s="281"/>
      <c r="E6" s="281"/>
      <c r="G6" s="214">
        <f>1-B6/B7</f>
        <v>3.8834951456312328E-2</v>
      </c>
    </row>
    <row r="7" spans="1:11">
      <c r="A7" s="50" t="s">
        <v>129</v>
      </c>
      <c r="B7" s="281">
        <f>'1850'!F29-'1850'!E29</f>
        <v>319.30000000000018</v>
      </c>
      <c r="C7" s="281"/>
      <c r="D7" s="281"/>
      <c r="E7" s="281"/>
    </row>
    <row r="8" spans="1:11">
      <c r="A8" s="198" t="s">
        <v>130</v>
      </c>
      <c r="B8" s="201"/>
      <c r="C8" s="199"/>
      <c r="D8" s="199"/>
      <c r="E8" s="200"/>
    </row>
    <row r="9" spans="1:11">
      <c r="A9" s="43" t="s">
        <v>131</v>
      </c>
      <c r="B9" s="43">
        <f>'1850'!F5-'1850'!E5+'1850'!F7-'1850'!E7+'1850'!F9-'1850'!E9+'1850'!F11-'1850'!E11+'1850'!F13-'1850'!E13+'1850'!F15-'1850'!E15+'1850'!F17-'1850'!E17+'1850'!F19-'1850'!E19+'1850'!F21-'1850'!E21+'1850'!F23-'1850'!E23</f>
        <v>16.283000000000008</v>
      </c>
      <c r="C9" s="43">
        <f>'1851'!G5-'1851'!F5+'1851'!G7-'1851'!F7+'1851'!G9-'1851'!F9+'1851'!G11-'1851'!F11+'1851'!G13-'1851'!F13+'1851'!G15-'1851'!F15+'1851'!G17-'1851'!F17+'1851'!G19-'1851'!F19+'1851'!G21-'1851'!F21+'1851'!G23-'1851'!F23</f>
        <v>25.802000000000017</v>
      </c>
      <c r="D9" s="43">
        <f>'1852'!F5-'1852'!E5+'1852'!F7-'1852'!E7+'1852'!F9-'1852'!E9+'1852'!F11-'1852'!E11+'1852'!F13-'1852'!E13+'1852'!F15-'1852'!E15+'1852'!F17-'1852'!E17+'1852'!F19-'1852'!E19+'1852'!F21-'1852'!E21+'1852'!F23-'1852'!E23</f>
        <v>21.801000000000002</v>
      </c>
      <c r="E9" s="43">
        <f>'1853'!F5-'1853'!E5+'1853'!F7-'1853'!E7+'1853'!F9-'1853'!E9+'1853'!F11-'1853'!E11+'1853'!F13-'1853'!E13+'1853'!F15-'1853'!E15+'1853'!F17-'1853'!E17+'1853'!F19-'1853'!E19+'1853'!F21-'1853'!E21+'1853'!F23-'1853'!E23</f>
        <v>18.387000000000015</v>
      </c>
      <c r="G9" s="214">
        <f>1-B9/B10</f>
        <v>0.19661535425300858</v>
      </c>
      <c r="H9" s="214">
        <f t="shared" ref="H9:J9" si="1">1-C9/C10</f>
        <v>0.14777381424230041</v>
      </c>
      <c r="I9" s="214">
        <f t="shared" si="1"/>
        <v>0.11851043182920962</v>
      </c>
      <c r="J9" s="214">
        <f t="shared" si="1"/>
        <v>0.20070422535211041</v>
      </c>
    </row>
    <row r="10" spans="1:11">
      <c r="A10" s="43" t="s">
        <v>132</v>
      </c>
      <c r="B10" s="51">
        <f>('1850'!F27-'1850'!E27)*3.6</f>
        <v>20.267999999999983</v>
      </c>
      <c r="C10" s="43">
        <f>('1851'!G27-'1851'!F27)*3.6</f>
        <v>30.275999999999886</v>
      </c>
      <c r="D10" s="43">
        <f>('1852'!F27-'1852'!E27)*3.6</f>
        <v>24.732000000000017</v>
      </c>
      <c r="E10" s="43">
        <f>('1853'!F28-'1853'!E28)*3.6</f>
        <v>23.003999999999952</v>
      </c>
    </row>
    <row r="11" spans="1:11">
      <c r="A11" s="198" t="s">
        <v>138</v>
      </c>
      <c r="B11" s="199"/>
      <c r="C11" s="199"/>
      <c r="D11" s="199"/>
      <c r="E11" s="200"/>
    </row>
    <row r="12" spans="1:11">
      <c r="A12" s="43" t="s">
        <v>134</v>
      </c>
      <c r="B12" s="52">
        <f>'1850'!F25-'1850'!E25</f>
        <v>280</v>
      </c>
      <c r="C12" s="46">
        <f>'1851'!G24-'1851'!F24</f>
        <v>274</v>
      </c>
      <c r="D12" s="46">
        <f>'1852'!F25-'1852'!E25</f>
        <v>221</v>
      </c>
      <c r="E12" s="46">
        <f>'1853'!F24-'1853'!E24</f>
        <v>241</v>
      </c>
    </row>
    <row r="13" spans="1:11">
      <c r="A13" s="47"/>
      <c r="B13" s="48"/>
      <c r="C13" s="48"/>
      <c r="D13" s="48"/>
      <c r="E13" s="48"/>
      <c r="F13" s="48"/>
      <c r="G13" s="48"/>
      <c r="H13" s="48"/>
      <c r="I13" s="48"/>
      <c r="J13" s="48"/>
      <c r="K13" s="48"/>
    </row>
    <row r="14" spans="1:11">
      <c r="A14" s="47" t="s">
        <v>135</v>
      </c>
      <c r="B14" s="48">
        <f>'1853'!F25-'1853'!E25</f>
        <v>346</v>
      </c>
      <c r="C14" s="48"/>
      <c r="D14" s="48"/>
      <c r="E14" s="48"/>
      <c r="F14" s="48"/>
      <c r="G14" s="48"/>
      <c r="H14" s="48"/>
      <c r="I14" s="48"/>
      <c r="J14" s="48"/>
    </row>
    <row r="15" spans="1:11">
      <c r="A15" s="47" t="s">
        <v>136</v>
      </c>
      <c r="B15" s="49">
        <f>'1853'!F26-'1853'!E26</f>
        <v>0</v>
      </c>
      <c r="C15" s="48"/>
      <c r="D15" s="48"/>
      <c r="E15" s="48"/>
      <c r="F15" s="48"/>
      <c r="G15" s="48"/>
      <c r="H15" s="48"/>
      <c r="I15" s="48"/>
      <c r="J15" s="48"/>
    </row>
    <row r="16" spans="1:11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</row>
    <row r="18" spans="1:10">
      <c r="A18" s="196" t="s">
        <v>125</v>
      </c>
      <c r="B18" s="197">
        <v>1854</v>
      </c>
      <c r="C18" s="197">
        <v>1855</v>
      </c>
      <c r="D18" s="197">
        <v>1856</v>
      </c>
      <c r="E18" s="197">
        <v>1857</v>
      </c>
    </row>
    <row r="19" spans="1:10">
      <c r="A19" s="43" t="s">
        <v>126</v>
      </c>
      <c r="B19" s="54">
        <f>'1854'!F4-'1854'!E4+'1854'!F6-'1854'!E6+'1854'!F8-'1854'!E8+'1854'!F10-'1854'!E10+'1854'!F12-'1854'!E12+'1854'!F14-'1854'!E14+'1854'!F16-'1854'!E16+'1854'!F18-'1854'!E18+'1854'!F20-'1854'!E20+'1854'!F22-'1854'!E22</f>
        <v>51.567999999999913</v>
      </c>
      <c r="C19" s="54">
        <f>'1855'!F4-'1855'!E4+'1855'!F6-'1855'!E6+'1855'!F8-'1855'!E8+'1855'!F10-'1855'!E10+'1855'!F12-'1855'!E12+'1855'!F14-'1855'!E14+'1855'!F16-'1855'!E16+'1855'!F18-'1855'!E18+'1855'!F20-'1855'!E20+'1855'!F22-'1855'!E22</f>
        <v>73.905999999999949</v>
      </c>
      <c r="D19" s="54">
        <f>'1856'!F4-'1856'!E4+'1856'!F6-'1856'!E6+'1856'!F8-'1856'!E8+'1856'!F10-'1856'!E10+'1856'!F12-'1856'!E12+'1856'!F14-'1856'!E14+'1856'!F16-'1856'!E16+'1856'!F18-'1856'!E18+'1856'!F20-'1856'!E20+'1856'!F22-'1856'!E22</f>
        <v>67.381000000000085</v>
      </c>
      <c r="E19" s="54">
        <f>'1857'!F4-'1857'!E4+'1857'!F6-'1857'!E6+'1857'!F8-'1857'!E8+'1857'!F10-'1857'!E10+'1857'!F12-'1857'!E12+'1857'!F14-'1857'!E14+'1857'!F16-'1857'!E16+'1857'!F18-'1857'!E18+'1857'!F20-'1857'!E20+'1857'!F22-'1857'!E22</f>
        <v>69.980999999999881</v>
      </c>
      <c r="F19" s="147"/>
      <c r="G19" s="214">
        <f>1-B19/B20</f>
        <v>6.0692167577408807E-2</v>
      </c>
      <c r="H19" s="214">
        <f t="shared" ref="H19:J19" si="2">1-C19/C20</f>
        <v>6.802017654476944E-2</v>
      </c>
      <c r="I19" s="214">
        <f t="shared" si="2"/>
        <v>6.0237099023712326E-2</v>
      </c>
      <c r="J19" s="214">
        <f t="shared" si="2"/>
        <v>7.3099337748345983E-2</v>
      </c>
    </row>
    <row r="20" spans="1:10">
      <c r="A20" s="43" t="s">
        <v>127</v>
      </c>
      <c r="B20" s="54">
        <f>'1854'!F26-'1854'!E26</f>
        <v>54.899999999999636</v>
      </c>
      <c r="C20" s="54">
        <f>'1855'!F26-'1855'!E26</f>
        <v>79.300000000000182</v>
      </c>
      <c r="D20" s="54">
        <f>'1856'!F26-'1856'!E26</f>
        <v>71.700000000000273</v>
      </c>
      <c r="E20" s="54">
        <f>'1857'!F26-'1857'!E26</f>
        <v>75.5</v>
      </c>
      <c r="F20" s="147"/>
    </row>
    <row r="21" spans="1:10">
      <c r="A21" s="43" t="s">
        <v>128</v>
      </c>
      <c r="B21" s="281">
        <f>SUM(B20:E20)</f>
        <v>281.40000000000009</v>
      </c>
      <c r="C21" s="281"/>
      <c r="D21" s="281"/>
      <c r="E21" s="281"/>
      <c r="G21" s="214">
        <f>1-B21/B22</f>
        <v>-1.4785430941221867E-2</v>
      </c>
    </row>
    <row r="22" spans="1:10">
      <c r="A22" s="43" t="s">
        <v>129</v>
      </c>
      <c r="B22" s="281">
        <f>'1854'!F29-'1854'!E29</f>
        <v>277.29999999999927</v>
      </c>
      <c r="C22" s="281"/>
      <c r="D22" s="281"/>
      <c r="E22" s="281"/>
    </row>
    <row r="23" spans="1:10">
      <c r="A23" s="198" t="s">
        <v>130</v>
      </c>
      <c r="B23" s="199"/>
      <c r="C23" s="199"/>
      <c r="D23" s="199"/>
      <c r="E23" s="200"/>
    </row>
    <row r="24" spans="1:10">
      <c r="A24" s="43" t="s">
        <v>131</v>
      </c>
      <c r="B24" s="43">
        <f>'1854'!F5-'1854'!E5+'1854'!F7-'1854'!E7+'1854'!F9-'1854'!E9+'1854'!F11-'1854'!E11+'1854'!F13-'1854'!E13+'1854'!F15-'1854'!E15+'1854'!F17-'1854'!E17+'1854'!F19-'1854'!E19+'1854'!F21-'1854'!E21+'1854'!F23-'1854'!E23</f>
        <v>23.068000000000005</v>
      </c>
      <c r="C24" s="43">
        <f>'1855'!F5-'1855'!E5+'1855'!F7-'1855'!E7+'1855'!F9-'1855'!E9+'1855'!F11-'1855'!E11+'1855'!F13-'1855'!E13+'1855'!F15-'1855'!E15+'1855'!F17-'1855'!E17+'1855'!F19-'1855'!E19+'1855'!F21-'1855'!E21+'1855'!F23-'1855'!E23</f>
        <v>25.445000000000014</v>
      </c>
      <c r="D24" s="43">
        <f>'1856'!F5-'1856'!E5+'1856'!F7-'1856'!E7+'1856'!F9-'1856'!E9+'1856'!F11-'1856'!E11+'1856'!F13-'1856'!E13+'1856'!F15-'1856'!E15+'1856'!F17-'1856'!E17+'1856'!F19-'1856'!E19+'1856'!F21-'1856'!E21+'1856'!F23-'1856'!E23</f>
        <v>18.531000000000006</v>
      </c>
      <c r="E24" s="43">
        <f>'1857'!F5-'1857'!E5+'1857'!F7-'1857'!E7+'1857'!F9-'1857'!E9+'1857'!F11-'1857'!E11+'1857'!F13-'1857'!E13+'1857'!F15-'1857'!E15+'1857'!F17-'1857'!E17+'1857'!F19-'1857'!E19+'1857'!F21-'1857'!E21+'1857'!F23-'1857'!E23</f>
        <v>21.181999999999995</v>
      </c>
      <c r="G24" s="214">
        <f>1-B24/B25</f>
        <v>0.10003121098626755</v>
      </c>
      <c r="H24" s="214">
        <f t="shared" ref="H24:J24" si="3">1-C24/C25</f>
        <v>0.19498228296633724</v>
      </c>
      <c r="I24" s="214">
        <f t="shared" si="3"/>
        <v>0.11706689536877946</v>
      </c>
      <c r="J24" s="214">
        <f t="shared" si="3"/>
        <v>0.1270194526871099</v>
      </c>
    </row>
    <row r="25" spans="1:10">
      <c r="A25" s="43" t="s">
        <v>132</v>
      </c>
      <c r="B25" s="43">
        <f>('1854'!F27-'1854'!E27)*3.6</f>
        <v>25.632000000000016</v>
      </c>
      <c r="C25" s="43">
        <f>('1855'!F27-'1855'!E27)*3.6</f>
        <v>31.608000000000004</v>
      </c>
      <c r="D25" s="43">
        <f>('1856'!F27-'1856'!E27)*3.6</f>
        <v>20.987999999999943</v>
      </c>
      <c r="E25" s="43">
        <f>('1857'!F27-'1857'!E27)*3.6</f>
        <v>24.264000000000035</v>
      </c>
    </row>
    <row r="26" spans="1:10">
      <c r="A26" s="198" t="s">
        <v>138</v>
      </c>
      <c r="B26" s="199"/>
      <c r="C26" s="199"/>
      <c r="D26" s="199"/>
      <c r="E26" s="200"/>
    </row>
    <row r="27" spans="1:10">
      <c r="A27" s="43" t="s">
        <v>134</v>
      </c>
      <c r="B27" s="46">
        <f>'1854'!F25-'1854'!E25</f>
        <v>274</v>
      </c>
      <c r="C27" s="46">
        <f>'1855'!F25-'1855'!E25</f>
        <v>253</v>
      </c>
      <c r="D27" s="46">
        <f>'1856'!F25-'1856'!E25</f>
        <v>220</v>
      </c>
      <c r="E27" s="46">
        <f>'1857'!F25-'1857'!E25</f>
        <v>337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:J2 G13:J17 G28:J65536">
    <cfRule type="cellIs" dxfId="640" priority="2" stopIfTrue="1" operator="lessThan">
      <formula>0</formula>
    </cfRule>
  </conditionalFormatting>
  <conditionalFormatting sqref="G1:J2 G13:H17 G28:J65536 I13:J13 I16:J17">
    <cfRule type="cellIs" dxfId="639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selection activeCell="M15" sqref="M15"/>
    </sheetView>
  </sheetViews>
  <sheetFormatPr defaultColWidth="9" defaultRowHeight="18"/>
  <cols>
    <col min="1" max="1" width="35" style="40" customWidth="1"/>
    <col min="2" max="5" width="11.42578125" style="40" customWidth="1"/>
    <col min="6" max="6" width="9.85546875" style="40" customWidth="1"/>
    <col min="7" max="10" width="11.42578125" style="40" customWidth="1"/>
    <col min="11" max="14" width="9.85546875" style="40" customWidth="1"/>
    <col min="15" max="18" width="6.42578125" style="40" customWidth="1"/>
    <col min="19" max="16384" width="9" style="40"/>
  </cols>
  <sheetData>
    <row r="1" spans="1:14">
      <c r="A1" s="41" t="s">
        <v>140</v>
      </c>
      <c r="B1" s="42">
        <f>'S1'!B1</f>
        <v>2019</v>
      </c>
    </row>
    <row r="3" spans="1:14">
      <c r="A3" s="198" t="s">
        <v>125</v>
      </c>
      <c r="B3" s="197">
        <v>1850</v>
      </c>
      <c r="C3" s="197">
        <v>1851</v>
      </c>
      <c r="D3" s="197">
        <v>1852</v>
      </c>
      <c r="E3" s="197">
        <v>1853</v>
      </c>
    </row>
    <row r="4" spans="1:14">
      <c r="A4" s="50" t="s">
        <v>126</v>
      </c>
      <c r="B4" s="43">
        <f>'1850'!G4-'1850'!F4+'1850'!G6-'1850'!F6+'1850'!G8-'1850'!F8+'1850'!G10-'1850'!F10+'1850'!G12-'1850'!F12+'1850'!G14-'1850'!F14+'1850'!G16-'1850'!F16+'1850'!G18-'1850'!F18+'1850'!G20-'1850'!F20+'1850'!G22-'1850'!F22</f>
        <v>58.558999999999997</v>
      </c>
      <c r="C4" s="43">
        <f>'1851'!H4-'1851'!G4+'1851'!H6-'1851'!G6+'1851'!H8-'1851'!G8+'1851'!H10-'1851'!G10+'1851'!H12-'1851'!G12+'1851'!H14-'1851'!G14+'1851'!H16-'1851'!G16+'1851'!H18-'1851'!G18+'1851'!H20-'1851'!G20+'1851'!H22-'1851'!G22+'1851'!H33-'1851'!G33+'1851'!H34-'1851'!G34+'1851'!H35-'1851'!G35+'1851'!H36-'1851'!G36+'1851'!H37-'1851'!G37+'1851'!H40-'1851'!G40+'1851'!H41-'1851'!G41+'1851'!H42-'1851'!G42+'1851'!H43-'1851'!G43+'1851'!H44-'1851'!G44+'1851'!H45-'1851'!G45+'1851'!H46-'1851'!G46+'1851'!H47-'1851'!G47+'1851'!H48-'1851'!G48+'1851'!H49-'1851'!G49</f>
        <v>98.150000000000091</v>
      </c>
      <c r="D4" s="43">
        <f>'1852'!G4-'1852'!F4+'1852'!G6-'1852'!F6+'1852'!G8-'1852'!F8+'1852'!G10-'1852'!F10+'1852'!G12-'1852'!F12+'1852'!G14-'1852'!F14+'1852'!G16-'1852'!F16+'1852'!G18-'1852'!F18+'1852'!G20-'1852'!F20+'1852'!G22-'1852'!F22</f>
        <v>76.367999999999967</v>
      </c>
      <c r="E4" s="43">
        <f>'1853'!G4-'1853'!F4+'1853'!G6-'1853'!F6+'1853'!G8-'1853'!F8+'1853'!G10-'1853'!F10+'1853'!G12-'1853'!F12+'1853'!G14-'1853'!F14+'1853'!G16-'1853'!F16+'1853'!G18-'1853'!F18+'1853'!G20-'1853'!F20+'1853'!G22-'1853'!F22+'1853'!G26-'1853'!F26</f>
        <v>82.621000000000095</v>
      </c>
      <c r="G4" s="214">
        <f>1-B4/B5</f>
        <v>7.7811023622047282E-2</v>
      </c>
      <c r="H4" s="214">
        <f t="shared" ref="H4:J4" si="0">1-C4/C5</f>
        <v>6.8785578747628029E-2</v>
      </c>
      <c r="I4" s="214">
        <f t="shared" si="0"/>
        <v>0.12422018348624164</v>
      </c>
      <c r="J4" s="214">
        <f t="shared" si="0"/>
        <v>6.3253968253970116E-2</v>
      </c>
    </row>
    <row r="5" spans="1:14">
      <c r="A5" s="50" t="s">
        <v>127</v>
      </c>
      <c r="B5" s="43">
        <f>'1850'!G26-'1850'!F26</f>
        <v>63.5</v>
      </c>
      <c r="C5" s="43">
        <f>'1851'!H26-'1851'!G26</f>
        <v>105.40000000000009</v>
      </c>
      <c r="D5" s="43">
        <f>'1852'!G26-'1852'!F26</f>
        <v>87.200000000000273</v>
      </c>
      <c r="E5" s="43">
        <f>'1853'!G27-'1853'!F27</f>
        <v>88.200000000000273</v>
      </c>
    </row>
    <row r="6" spans="1:14">
      <c r="A6" s="50" t="s">
        <v>128</v>
      </c>
      <c r="B6" s="281">
        <f>SUM(B5:E5)</f>
        <v>344.30000000000064</v>
      </c>
      <c r="C6" s="281"/>
      <c r="D6" s="281"/>
      <c r="E6" s="281"/>
      <c r="G6" s="214">
        <f>1-B6/B7</f>
        <v>4.5467147213748782E-2</v>
      </c>
    </row>
    <row r="7" spans="1:14">
      <c r="A7" s="50" t="s">
        <v>129</v>
      </c>
      <c r="B7" s="281">
        <f>'1850'!G29-'1850'!F29</f>
        <v>360.69999999999982</v>
      </c>
      <c r="C7" s="281"/>
      <c r="D7" s="281"/>
      <c r="E7" s="281"/>
    </row>
    <row r="8" spans="1:14">
      <c r="A8" s="198" t="s">
        <v>130</v>
      </c>
      <c r="B8" s="201"/>
      <c r="C8" s="199"/>
      <c r="D8" s="199"/>
      <c r="E8" s="200"/>
    </row>
    <row r="9" spans="1:14">
      <c r="A9" s="43" t="s">
        <v>131</v>
      </c>
      <c r="B9" s="43">
        <f>'1850'!G5-'1850'!F5+'1850'!G7-'1850'!F7+'1850'!G9-'1850'!F9+'1850'!G11-'1850'!F11+'1850'!G13-'1850'!F13+'1850'!G15-'1850'!F15+'1850'!G17-'1850'!F17+'1850'!G19-'1850'!F19+'1850'!G21-'1850'!F21+'1850'!G23-'1850'!F23</f>
        <v>8.4449999999999861</v>
      </c>
      <c r="C9" s="43">
        <f>'1851'!H5-'1851'!G5+'1851'!H7-'1851'!G7+'1851'!H9-'1851'!G9+'1851'!H11-'1851'!G11+'1851'!H13-'1851'!G13+'1851'!H15-'1851'!G15+'1851'!H17-'1851'!G17+'1851'!H19-'1851'!G19+'1851'!H21-'1851'!G21+'1851'!H23-'1851'!G23</f>
        <v>17.556999999999988</v>
      </c>
      <c r="D9" s="43">
        <f>'1852'!G5-'1852'!F5+'1852'!G7-'1852'!F7+'1852'!G9-'1852'!F9+'1852'!G11-'1852'!F11+'1852'!G13-'1852'!F13+'1852'!G15-'1852'!F15+'1852'!G17-'1852'!F17+'1852'!G19-'1852'!F19+'1852'!G21-'1852'!F21+'1852'!G23-'1852'!F23</f>
        <v>13.112000000000013</v>
      </c>
      <c r="E9" s="43">
        <f>'1853'!G5-'1853'!F5+'1853'!G7-'1853'!F7+'1853'!G9-'1853'!F9+'1853'!G11-'1853'!F11+'1853'!G13-'1853'!F13+'1853'!G15-'1853'!F15+'1853'!G17-'1853'!F17+'1853'!G19-'1853'!F19+'1853'!G21-'1853'!F21+'1853'!G23-'1853'!F23</f>
        <v>9.7029999999999887</v>
      </c>
      <c r="G9" s="214">
        <f>1-B9/B10</f>
        <v>0.28914141414141781</v>
      </c>
      <c r="H9" s="214">
        <f t="shared" ref="H9:J9" si="1">1-C9/C10</f>
        <v>0.21212529168910454</v>
      </c>
      <c r="I9" s="214">
        <f t="shared" si="1"/>
        <v>0.14300653594771162</v>
      </c>
      <c r="J9" s="214">
        <f t="shared" si="1"/>
        <v>0.31937429854096733</v>
      </c>
    </row>
    <row r="10" spans="1:14">
      <c r="A10" s="43" t="s">
        <v>132</v>
      </c>
      <c r="B10" s="51">
        <f>('1850'!G27-'1850'!F27)*3.6</f>
        <v>11.880000000000042</v>
      </c>
      <c r="C10" s="43">
        <f>('1851'!H27-'1851'!G27)*3.6</f>
        <v>22.283999999999992</v>
      </c>
      <c r="D10" s="43">
        <f>('1852'!G27-'1852'!F27)*3.6</f>
        <v>15.3</v>
      </c>
      <c r="E10" s="43">
        <f>('1853'!G28-'1853'!F28)*3.6</f>
        <v>14.256000000000029</v>
      </c>
    </row>
    <row r="11" spans="1:14">
      <c r="A11" s="198" t="s">
        <v>138</v>
      </c>
      <c r="B11" s="199"/>
      <c r="C11" s="199"/>
      <c r="D11" s="199"/>
      <c r="E11" s="200"/>
    </row>
    <row r="12" spans="1:14">
      <c r="A12" s="43" t="s">
        <v>134</v>
      </c>
      <c r="B12" s="46">
        <f>'1850'!G25-'1850'!F25</f>
        <v>293</v>
      </c>
      <c r="C12" s="46">
        <f>'1851'!H24-'1851'!G24</f>
        <v>270</v>
      </c>
      <c r="D12" s="46">
        <f>'1852'!G25-'1852'!F25</f>
        <v>245</v>
      </c>
      <c r="E12" s="46">
        <f>'1853'!G24-'1853'!F24</f>
        <v>316</v>
      </c>
    </row>
    <row r="13" spans="1:14">
      <c r="A13" s="47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</row>
    <row r="14" spans="1:14">
      <c r="A14" s="47" t="s">
        <v>135</v>
      </c>
      <c r="B14" s="48">
        <f>'1853'!G25-'1853'!F25</f>
        <v>318</v>
      </c>
      <c r="C14" s="48"/>
      <c r="D14" s="48"/>
      <c r="E14" s="48"/>
      <c r="F14" s="48"/>
      <c r="G14" s="48"/>
      <c r="H14" s="48"/>
      <c r="I14" s="48"/>
      <c r="J14" s="48"/>
    </row>
    <row r="15" spans="1:14">
      <c r="A15" s="47" t="s">
        <v>136</v>
      </c>
      <c r="B15" s="49">
        <f>'1853'!G26-'1853'!F26</f>
        <v>15.426000000000045</v>
      </c>
      <c r="C15" s="48"/>
      <c r="D15" s="48"/>
      <c r="E15" s="48"/>
      <c r="F15" s="48"/>
      <c r="G15" s="48"/>
      <c r="H15" s="48"/>
      <c r="I15" s="48"/>
      <c r="J15" s="48"/>
      <c r="K15" s="48"/>
    </row>
    <row r="16" spans="1:14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</row>
    <row r="18" spans="1:10">
      <c r="A18" s="196" t="s">
        <v>125</v>
      </c>
      <c r="B18" s="197">
        <v>1854</v>
      </c>
      <c r="C18" s="197">
        <v>1855</v>
      </c>
      <c r="D18" s="197">
        <v>1856</v>
      </c>
      <c r="E18" s="197">
        <v>1857</v>
      </c>
    </row>
    <row r="19" spans="1:10">
      <c r="A19" s="43" t="s">
        <v>126</v>
      </c>
      <c r="B19" s="54">
        <f>'1854'!G4-'1854'!F4+'1854'!G6-'1854'!F6+'1854'!G8-'1854'!F8+'1854'!G10-'1854'!F10+'1854'!G12-'1854'!F12+'1854'!G14-'1854'!F14+'1854'!G16-'1854'!F16+'1854'!G18-'1854'!F18+'1854'!G20-'1854'!F20+'1854'!G22-'1854'!F22</f>
        <v>55.193000000000133</v>
      </c>
      <c r="C19" s="54">
        <f>'1855'!G4-'1855'!F4+'1855'!G6-'1855'!F6+'1855'!G8-'1855'!F8+'1855'!G10-'1855'!F10+'1855'!G12-'1855'!F12+'1855'!G14-'1855'!F14+'1855'!G16-'1855'!F16+'1855'!G18-'1855'!F18+'1855'!G20-'1855'!F20+'1855'!G22-'1855'!F22</f>
        <v>78.590000000000146</v>
      </c>
      <c r="D19" s="54">
        <f>'1856'!G4-'1856'!F4+'1856'!G6-'1856'!F6+'1856'!G8-'1856'!F8+'1856'!G10-'1856'!F10+'1856'!G12-'1856'!F12+'1856'!G14-'1856'!F14+'1856'!G16-'1856'!F16+'1856'!G18-'1856'!F18+'1856'!G20-'1856'!F20+'1856'!G22-'1856'!F22</f>
        <v>70.300000000000125</v>
      </c>
      <c r="E19" s="54">
        <f>'1857'!G4-'1857'!F4+'1857'!G6-'1857'!F6+'1857'!G8-'1857'!F8+'1857'!G10-'1857'!F10+'1857'!G12-'1857'!F12+'1857'!G14-'1857'!F14+'1857'!G16-'1857'!F16+'1857'!G18-'1857'!F18+'1857'!G20-'1857'!F20+'1857'!G22-'1857'!F22</f>
        <v>78.012000000000057</v>
      </c>
      <c r="F19" s="147"/>
      <c r="G19" s="214">
        <f>1-B19/B20</f>
        <v>6.4525423728811315E-2</v>
      </c>
      <c r="H19" s="214">
        <f t="shared" ref="H19:J19" si="2">1-C19/C20</f>
        <v>7.2136953955132088E-2</v>
      </c>
      <c r="I19" s="214">
        <f t="shared" si="2"/>
        <v>6.5159574468081183E-2</v>
      </c>
      <c r="J19" s="214">
        <f t="shared" si="2"/>
        <v>6.4604316546762908E-2</v>
      </c>
    </row>
    <row r="20" spans="1:10">
      <c r="A20" s="43" t="s">
        <v>127</v>
      </c>
      <c r="B20" s="54">
        <f>'1854'!G26-'1854'!F26</f>
        <v>59</v>
      </c>
      <c r="C20" s="54">
        <f>'1855'!G26-'1855'!F26</f>
        <v>84.699999999999818</v>
      </c>
      <c r="D20" s="54">
        <f>'1856'!G26-'1856'!F26</f>
        <v>75.199999999999818</v>
      </c>
      <c r="E20" s="54">
        <f>'1857'!G26-'1857'!F26</f>
        <v>83.400000000000091</v>
      </c>
      <c r="F20" s="147"/>
    </row>
    <row r="21" spans="1:10">
      <c r="A21" s="43" t="s">
        <v>128</v>
      </c>
      <c r="B21" s="281">
        <f>SUM(B20:E20)</f>
        <v>302.29999999999973</v>
      </c>
      <c r="C21" s="281"/>
      <c r="D21" s="281"/>
      <c r="E21" s="281"/>
      <c r="G21" s="214">
        <f>1-B21/B22</f>
        <v>-1.7845117845116887E-2</v>
      </c>
    </row>
    <row r="22" spans="1:10">
      <c r="A22" s="43" t="s">
        <v>129</v>
      </c>
      <c r="B22" s="281">
        <f>'1854'!G29-'1854'!F29</f>
        <v>297</v>
      </c>
      <c r="C22" s="281"/>
      <c r="D22" s="281"/>
      <c r="E22" s="281"/>
    </row>
    <row r="23" spans="1:10">
      <c r="A23" s="198" t="s">
        <v>130</v>
      </c>
      <c r="B23" s="199"/>
      <c r="C23" s="199"/>
      <c r="D23" s="199"/>
      <c r="E23" s="200"/>
    </row>
    <row r="24" spans="1:10">
      <c r="A24" s="43" t="s">
        <v>131</v>
      </c>
      <c r="B24" s="43">
        <f>'1854'!G5-'1854'!F5+'1854'!G7-'1854'!F7+'1854'!G9-'1854'!F9+'1854'!G11-'1854'!F11+'1854'!G13-'1854'!F13+'1854'!G15-'1854'!F15+'1854'!G17-'1854'!F17+'1854'!G19-'1854'!F19+'1854'!G21-'1854'!F21+'1854'!G23-'1854'!F23</f>
        <v>14.524000000000008</v>
      </c>
      <c r="C24" s="43">
        <f>'1855'!G5-'1855'!F5+'1855'!G7-'1855'!F7+'1855'!G9-'1855'!F9+'1855'!G11-'1855'!F11+'1855'!G13-'1855'!F13+'1855'!G15-'1855'!F15+'1855'!G17-'1855'!F17+'1855'!G19-'1855'!F19+'1855'!G21-'1855'!F21+'1855'!G23-'1855'!F23</f>
        <v>16.406999999999975</v>
      </c>
      <c r="D24" s="43">
        <f>'1856'!G5-'1856'!F5+'1856'!G7-'1856'!F7+'1856'!G9-'1856'!F9+'1856'!G11-'1856'!F11+'1856'!G13-'1856'!F13+'1856'!G15-'1856'!F15+'1856'!G17-'1856'!F17+'1856'!G19-'1856'!F19+'1856'!G21-'1856'!F21+'1856'!G23-'1856'!F23</f>
        <v>10.480000000000011</v>
      </c>
      <c r="E24" s="43">
        <f>'1857'!G5-'1857'!F5+'1857'!G7-'1857'!F7+'1857'!G9-'1857'!F9+'1857'!G11-'1857'!F11+'1857'!G13-'1857'!F13+'1857'!G15-'1857'!F15+'1857'!G17-'1857'!F17+'1857'!G19-'1857'!F19+'1857'!G21-'1857'!F21+'1857'!G23-'1857'!F23</f>
        <v>11.477000000000011</v>
      </c>
      <c r="G24" s="214">
        <f>1-B24/B25</f>
        <v>0.1506432748538008</v>
      </c>
      <c r="H24" s="214">
        <f t="shared" ref="H24:J24" si="3">1-C24/C25</f>
        <v>0.20876736111111505</v>
      </c>
      <c r="I24" s="214">
        <f t="shared" si="3"/>
        <v>0.1753226314132823</v>
      </c>
      <c r="J24" s="214">
        <f t="shared" si="3"/>
        <v>0.22993827160493507</v>
      </c>
    </row>
    <row r="25" spans="1:10">
      <c r="A25" s="43" t="s">
        <v>132</v>
      </c>
      <c r="B25" s="43">
        <f>('1854'!G27-'1854'!F27)*3.6</f>
        <v>17.100000000000001</v>
      </c>
      <c r="C25" s="43">
        <f>('1855'!G27-'1855'!F27)*3.6</f>
        <v>20.736000000000072</v>
      </c>
      <c r="D25" s="43">
        <f>('1856'!G27-'1856'!F27)*3.6</f>
        <v>12.708000000000004</v>
      </c>
      <c r="E25" s="43">
        <f>('1857'!G27-'1857'!F27)*3.6</f>
        <v>14.903999999999952</v>
      </c>
    </row>
    <row r="26" spans="1:10">
      <c r="A26" s="198" t="s">
        <v>138</v>
      </c>
      <c r="B26" s="199"/>
      <c r="C26" s="199"/>
      <c r="D26" s="199"/>
      <c r="E26" s="200"/>
    </row>
    <row r="27" spans="1:10">
      <c r="A27" s="43" t="s">
        <v>134</v>
      </c>
      <c r="B27" s="46">
        <f>'1854'!G25-'1854'!F25</f>
        <v>301</v>
      </c>
      <c r="C27" s="46">
        <f>'1855'!G25-'1855'!F25</f>
        <v>286</v>
      </c>
      <c r="D27" s="46">
        <f>'1856'!G25-'1856'!F25</f>
        <v>231</v>
      </c>
      <c r="E27" s="46">
        <f>'1857'!G25-'1857'!F25</f>
        <v>311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1:B1048576 C1:E5 C8:E13 C16:E20 C23:E65536">
    <cfRule type="cellIs" dxfId="638" priority="3" stopIfTrue="1" operator="lessThan">
      <formula>0</formula>
    </cfRule>
  </conditionalFormatting>
  <conditionalFormatting sqref="G1:J2 G13:J17 G28:J65536">
    <cfRule type="cellIs" dxfId="637" priority="2" stopIfTrue="1" operator="lessThan">
      <formula>0</formula>
    </cfRule>
  </conditionalFormatting>
  <conditionalFormatting sqref="G1:J2 G13:H17 G28:J65536 I13:J13 I16:J17">
    <cfRule type="cellIs" dxfId="636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27"/>
  <sheetViews>
    <sheetView workbookViewId="0">
      <selection activeCell="M15" sqref="M15"/>
    </sheetView>
  </sheetViews>
  <sheetFormatPr defaultColWidth="9" defaultRowHeight="18"/>
  <cols>
    <col min="1" max="1" width="35" style="40" customWidth="1"/>
    <col min="2" max="10" width="11.42578125" style="40" customWidth="1"/>
    <col min="11" max="17" width="9.85546875" style="40" customWidth="1"/>
    <col min="18" max="21" width="6.42578125" style="40" customWidth="1"/>
    <col min="22" max="16384" width="9" style="40"/>
  </cols>
  <sheetData>
    <row r="1" spans="1:17">
      <c r="A1" s="41" t="s">
        <v>141</v>
      </c>
      <c r="B1" s="42">
        <f>'S1'!B1</f>
        <v>2019</v>
      </c>
    </row>
    <row r="3" spans="1:17">
      <c r="A3" s="198" t="s">
        <v>125</v>
      </c>
      <c r="B3" s="197">
        <v>1850</v>
      </c>
      <c r="C3" s="197">
        <v>1851</v>
      </c>
      <c r="D3" s="197">
        <v>1852</v>
      </c>
      <c r="E3" s="197">
        <v>1853</v>
      </c>
    </row>
    <row r="4" spans="1:17">
      <c r="A4" s="50" t="s">
        <v>126</v>
      </c>
      <c r="B4" s="43">
        <f>'1850'!H4-'1850'!G4+'1850'!H6-'1850'!G6+'1850'!H8-'1850'!G8+'1850'!H10-'1850'!G10+'1850'!H12-'1850'!G12+'1850'!H14-'1850'!G14+'1850'!H16-'1850'!G16+'1850'!H18-'1850'!G18+'1850'!H20-'1850'!G20+'1850'!H22-'1850'!G22</f>
        <v>64.561000000000064</v>
      </c>
      <c r="C4" s="43">
        <f>'1851'!I4-'1851'!H4+'1851'!I6-'1851'!H6+'1851'!I8-'1851'!H8+'1851'!I10-'1851'!H10+'1851'!I12-'1851'!H12+'1851'!I14-'1851'!H14+'1851'!I16-'1851'!H16+'1851'!I18-'1851'!H18+'1851'!I20-'1851'!H20+'1851'!I22-'1851'!H22+'1851'!I33-'1851'!H33+'1851'!I34-'1851'!H34+'1851'!I35-'1851'!H35+'1851'!I36-'1851'!H36+'1851'!I37-'1851'!H37+'1851'!I40-'1851'!H40+'1851'!I41-'1851'!H41+'1851'!I42-'1851'!H42+'1851'!I43-'1851'!H43+'1851'!I44-'1851'!H44+'1851'!I45-'1851'!H45+'1851'!I46-'1851'!H46+'1851'!I47-'1851'!H47+'1851'!I48-'1851'!H48+'1851'!I49-'1851'!H49</f>
        <v>93.399000000000171</v>
      </c>
      <c r="D4" s="43">
        <f>'1852'!H4-'1852'!G4+'1852'!H6-'1852'!G6+'1852'!H8-'1852'!G8+'1852'!H10-'1852'!G10+'1852'!H12-'1852'!G12+'1852'!H14-'1852'!G14+'1852'!H16-'1852'!G16+'1852'!H18-'1852'!G18+'1852'!H20-'1852'!G20+'1852'!H22-'1852'!G22</f>
        <v>68.105000000000047</v>
      </c>
      <c r="E4" s="43">
        <f>'1853'!H4-'1853'!G4+'1853'!H6-'1853'!G6+'1853'!H8-'1853'!G8+'1853'!H10-'1853'!G10+'1853'!H12-'1853'!G12+'1853'!H14-'1853'!G14+'1853'!H16-'1853'!G16+'1853'!H18-'1853'!G18+'1853'!H20-'1853'!G20+'1853'!H22-'1853'!G22+'1853'!H26-'1853'!G26</f>
        <v>80.033999999999878</v>
      </c>
      <c r="G4" s="214">
        <f>1-B4/B5</f>
        <v>8.2940340909091193E-2</v>
      </c>
      <c r="H4" s="214">
        <f t="shared" ref="H4:J4" si="0">1-C4/C5</f>
        <v>6.7874251497002547E-2</v>
      </c>
      <c r="I4" s="214">
        <f t="shared" si="0"/>
        <v>0.14440954773869186</v>
      </c>
      <c r="J4" s="214">
        <f t="shared" si="0"/>
        <v>6.3929824561404947E-2</v>
      </c>
    </row>
    <row r="5" spans="1:17">
      <c r="A5" s="50" t="s">
        <v>127</v>
      </c>
      <c r="B5" s="43">
        <f>'1850'!H26-'1850'!G26</f>
        <v>70.400000000000091</v>
      </c>
      <c r="C5" s="43">
        <f>'1851'!I26-'1851'!H26</f>
        <v>100.19999999999982</v>
      </c>
      <c r="D5" s="43">
        <f>'1852'!H26-'1852'!G26</f>
        <v>79.599999999999909</v>
      </c>
      <c r="E5" s="43">
        <f>'1853'!H27-'1853'!G27</f>
        <v>85.5</v>
      </c>
    </row>
    <row r="6" spans="1:17">
      <c r="A6" s="50" t="s">
        <v>128</v>
      </c>
      <c r="B6" s="281">
        <f>SUM(B5:E5)</f>
        <v>335.69999999999982</v>
      </c>
      <c r="C6" s="281"/>
      <c r="D6" s="281"/>
      <c r="E6" s="281"/>
      <c r="G6" s="214">
        <f>1-B6/B7</f>
        <v>4.4950213371266479E-2</v>
      </c>
    </row>
    <row r="7" spans="1:17">
      <c r="A7" s="50" t="s">
        <v>129</v>
      </c>
      <c r="B7" s="281">
        <f>'1850'!H29-'1850'!G29</f>
        <v>351.5</v>
      </c>
      <c r="C7" s="281"/>
      <c r="D7" s="281"/>
      <c r="E7" s="281"/>
    </row>
    <row r="8" spans="1:17">
      <c r="A8" s="198" t="s">
        <v>130</v>
      </c>
      <c r="B8" s="201"/>
      <c r="C8" s="201"/>
      <c r="D8" s="199"/>
      <c r="E8" s="200"/>
    </row>
    <row r="9" spans="1:17">
      <c r="A9" s="43" t="s">
        <v>131</v>
      </c>
      <c r="B9" s="43">
        <f>'1850'!H5-'1850'!G5+'1850'!H7-'1850'!G7+'1850'!H9-'1850'!G9+'1850'!H11-'1850'!G11+'1850'!H13-'1850'!G13+'1850'!H15-'1850'!G15+'1850'!H17-'1850'!G17+'1850'!H19-'1850'!G19+'1850'!H21-'1850'!G21+'1850'!H23-'1850'!G23</f>
        <v>7.0460000000000065</v>
      </c>
      <c r="C9" s="43">
        <f>'1851'!I5-'1851'!H5+'1851'!I7-'1851'!H7+'1851'!I9-'1851'!H9+'1851'!I11-'1851'!H11+'1851'!I13-'1851'!H13+'1851'!I15-'1851'!H15+'1851'!I17-'1851'!H17+'1851'!I19-'1851'!H19+'1851'!I21-'1851'!H21+'1851'!I23-'1851'!H23</f>
        <v>13.414000000000012</v>
      </c>
      <c r="D9" s="43">
        <f>'1852'!H5-'1852'!G5+'1852'!H7-'1852'!G7+'1852'!H9-'1852'!G9+'1852'!H11-'1852'!G11+'1852'!H13-'1852'!G13+'1852'!H15-'1852'!G15+'1852'!H17-'1852'!G17+'1852'!H19-'1852'!G19+'1852'!H21-'1852'!G21+'1852'!H23-'1852'!G23</f>
        <v>10.443000000000005</v>
      </c>
      <c r="E9" s="43">
        <f>'1853'!H5-'1853'!G5+'1853'!H7-'1853'!G7+'1853'!H9-'1853'!G9+'1853'!H11-'1853'!G11+'1853'!H13-'1853'!G13+'1853'!H15-'1853'!G15+'1853'!H17-'1853'!G17+'1853'!H19-'1853'!G19+'1853'!H21-'1853'!G21+'1853'!H23-'1853'!G23</f>
        <v>8.195999999999998</v>
      </c>
      <c r="G9" s="214">
        <f>1-B9/B10</f>
        <v>0.30594956658786221</v>
      </c>
      <c r="H9" s="214">
        <f t="shared" ref="H9:J9" si="1">1-C9/C10</f>
        <v>0.26361440491875243</v>
      </c>
      <c r="I9" s="214">
        <f t="shared" si="1"/>
        <v>0.22020609318996354</v>
      </c>
      <c r="J9" s="214">
        <f t="shared" si="1"/>
        <v>0.34765998089780514</v>
      </c>
    </row>
    <row r="10" spans="1:17">
      <c r="A10" s="43" t="s">
        <v>132</v>
      </c>
      <c r="B10" s="51">
        <f>('1850'!H27-'1850'!G27)*3.6</f>
        <v>10.151999999999976</v>
      </c>
      <c r="C10" s="43">
        <f>('1851'!I27-'1851'!H27)*3.6</f>
        <v>18.216000000000008</v>
      </c>
      <c r="D10" s="43">
        <f>('1852'!H27-'1852'!G27)*3.6</f>
        <v>13.391999999999996</v>
      </c>
      <c r="E10" s="43">
        <f>('1853'!H28-'1853'!G28)*3.6</f>
        <v>12.564000000000034</v>
      </c>
    </row>
    <row r="11" spans="1:17">
      <c r="A11" s="198" t="s">
        <v>138</v>
      </c>
      <c r="B11" s="199"/>
      <c r="C11" s="199"/>
      <c r="D11" s="199"/>
      <c r="E11" s="200"/>
    </row>
    <row r="12" spans="1:17">
      <c r="A12" s="43" t="s">
        <v>134</v>
      </c>
      <c r="B12" s="46">
        <f>'1850'!H25-'1850'!G25</f>
        <v>292</v>
      </c>
      <c r="C12" s="46">
        <f>'1851'!I24-'1851'!H24</f>
        <v>254</v>
      </c>
      <c r="D12" s="46">
        <f>'1852'!H25-'1852'!G25</f>
        <v>227</v>
      </c>
      <c r="E12" s="46">
        <f>'1853'!H24-'1853'!G24</f>
        <v>274</v>
      </c>
    </row>
    <row r="13" spans="1:17">
      <c r="A13" s="47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</row>
    <row r="14" spans="1:17">
      <c r="A14" s="47" t="s">
        <v>135</v>
      </c>
      <c r="B14" s="48">
        <f>'1853'!H25-'1853'!G25</f>
        <v>274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spans="1:17">
      <c r="A15" s="47" t="s">
        <v>136</v>
      </c>
      <c r="B15" s="49">
        <f>'1853'!H26-'1853'!G26</f>
        <v>9.0119999999999436</v>
      </c>
      <c r="C15" s="49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</row>
    <row r="16" spans="1:17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</row>
    <row r="18" spans="1:10">
      <c r="A18" s="196" t="s">
        <v>125</v>
      </c>
      <c r="B18" s="197">
        <v>1854</v>
      </c>
      <c r="C18" s="197">
        <v>1855</v>
      </c>
      <c r="D18" s="197">
        <v>1856</v>
      </c>
      <c r="E18" s="197">
        <v>1857</v>
      </c>
    </row>
    <row r="19" spans="1:10">
      <c r="A19" s="43" t="s">
        <v>126</v>
      </c>
      <c r="B19" s="43">
        <f>'1854'!H4-'1854'!G4+'1854'!H6-'1854'!G6+'1854'!H8-'1854'!G8+'1854'!H10-'1854'!G10+'1854'!H12-'1854'!G12+'1854'!H14-'1854'!G14+'1854'!H16-'1854'!G16+'1854'!H18-'1854'!G18+'1854'!H20-'1854'!G20+'1854'!H22-'1854'!G22</f>
        <v>55.976999999999919</v>
      </c>
      <c r="C19" s="43">
        <f>'1855'!H4-'1855'!G4+'1855'!H6-'1855'!G6+'1855'!H8-'1855'!G8+'1855'!H10-'1855'!G10+'1855'!H12-'1855'!G12+'1855'!H14-'1855'!G14+'1855'!H16-'1855'!G16+'1855'!H18-'1855'!G18+'1855'!H20-'1855'!G20+'1855'!H22-'1855'!G22</f>
        <v>75.672000000000025</v>
      </c>
      <c r="D19" s="43">
        <f>'1856'!H4-'1856'!G4+'1856'!H6-'1856'!G6+'1856'!H8-'1856'!G8+'1856'!H10-'1856'!G10+'1856'!H12-'1856'!G12+'1856'!H14-'1856'!G14+'1856'!H16-'1856'!G16+'1856'!H18-'1856'!G18+'1856'!H20-'1856'!G20+'1856'!H22-'1856'!G22</f>
        <v>68.543999999999926</v>
      </c>
      <c r="E19" s="43">
        <f>'1857'!H4-'1857'!G4+'1857'!H6-'1857'!G6+'1857'!H8-'1857'!G8+'1857'!H10-'1857'!G10+'1857'!H12-'1857'!G12+'1857'!H14-'1857'!G14+'1857'!H16-'1857'!G16+'1857'!H18-'1857'!G18+'1857'!H20-'1857'!G20+'1857'!H22-'1857'!G22</f>
        <v>71.97099999999989</v>
      </c>
      <c r="G19" s="214">
        <f>1-B19/B20</f>
        <v>6.860232945092215E-2</v>
      </c>
      <c r="H19" s="214">
        <f t="shared" ref="H19:J19" si="2">1-C19/C20</f>
        <v>7.9416058394163325E-2</v>
      </c>
      <c r="I19" s="214">
        <f t="shared" si="2"/>
        <v>6.6158038147141163E-2</v>
      </c>
      <c r="J19" s="214">
        <f t="shared" si="2"/>
        <v>7.4922879177381496E-2</v>
      </c>
    </row>
    <row r="20" spans="1:10">
      <c r="A20" s="43" t="s">
        <v>127</v>
      </c>
      <c r="B20" s="43">
        <f>'1854'!H26-'1854'!G26</f>
        <v>60.100000000000364</v>
      </c>
      <c r="C20" s="43">
        <f>'1855'!H26-'1855'!G26</f>
        <v>82.200000000000273</v>
      </c>
      <c r="D20" s="43">
        <f>'1856'!H26-'1856'!G26</f>
        <v>73.400000000000091</v>
      </c>
      <c r="E20" s="43">
        <f>'1857'!H26-'1857'!G26</f>
        <v>77.800000000000182</v>
      </c>
    </row>
    <row r="21" spans="1:10">
      <c r="A21" s="43" t="s">
        <v>128</v>
      </c>
      <c r="B21" s="281">
        <f>SUM(B20:E20)</f>
        <v>293.50000000000091</v>
      </c>
      <c r="C21" s="281"/>
      <c r="D21" s="281"/>
      <c r="E21" s="281"/>
      <c r="G21" s="214">
        <f>1-B21/B22</f>
        <v>-1.2068965517244568E-2</v>
      </c>
    </row>
    <row r="22" spans="1:10">
      <c r="A22" s="43" t="s">
        <v>129</v>
      </c>
      <c r="B22" s="281">
        <f>'1854'!H29-'1854'!G29</f>
        <v>290</v>
      </c>
      <c r="C22" s="281"/>
      <c r="D22" s="281"/>
      <c r="E22" s="281"/>
    </row>
    <row r="23" spans="1:10">
      <c r="A23" s="198" t="s">
        <v>130</v>
      </c>
      <c r="B23" s="199"/>
      <c r="C23" s="199"/>
      <c r="D23" s="199"/>
      <c r="E23" s="200"/>
    </row>
    <row r="24" spans="1:10">
      <c r="A24" s="43" t="s">
        <v>131</v>
      </c>
      <c r="B24" s="43">
        <f>'1854'!H5-'1854'!G5+'1854'!H7-'1854'!G7+'1854'!H9-'1854'!G9+'1854'!H11-'1854'!G11+'1854'!H13-'1854'!G13+'1854'!H15-'1854'!G15+'1854'!H17-'1854'!G17+'1854'!H19-'1854'!G19+'1854'!H21-'1854'!G21+'1854'!H23-'1854'!G23</f>
        <v>12.050000000000008</v>
      </c>
      <c r="C24" s="43">
        <f>'1855'!H5-'1855'!G5+'1855'!H7-'1855'!G7+'1855'!H9-'1855'!G9+'1855'!H11-'1855'!G11+'1855'!H13-'1855'!G13+'1855'!H15-'1855'!G15+'1855'!H17-'1855'!G17+'1855'!H19-'1855'!G19+'1855'!H21-'1855'!G21+'1855'!H23-'1855'!G23</f>
        <v>14.181000000000019</v>
      </c>
      <c r="D24" s="43">
        <f>'1856'!H5-'1856'!G5+'1856'!H7-'1856'!G7+'1856'!H9-'1856'!G9+'1856'!H11-'1856'!G11+'1856'!H13-'1856'!G13+'1856'!H15-'1856'!G15+'1856'!H17-'1856'!G17+'1856'!H19-'1856'!G19+'1856'!H21-'1856'!G21+'1856'!H23-'1856'!G23</f>
        <v>8.8659999999999926</v>
      </c>
      <c r="E24" s="43">
        <f>'1857'!H5-'1857'!G5+'1857'!H7-'1857'!G7+'1857'!H9-'1857'!G9+'1857'!H11-'1857'!G11+'1857'!H13-'1857'!G13+'1857'!H15-'1857'!G15+'1857'!H17-'1857'!G17+'1857'!H19-'1857'!G19+'1857'!H21-'1857'!G21+'1857'!H23-'1857'!G23</f>
        <v>8.9440000000000097</v>
      </c>
      <c r="G24" s="214">
        <f>1-B24/B25</f>
        <v>0.17147964796479431</v>
      </c>
      <c r="H24" s="214">
        <f t="shared" ref="H24:J24" si="3">1-C24/C25</f>
        <v>0.2230440499671249</v>
      </c>
      <c r="I24" s="214">
        <f t="shared" si="3"/>
        <v>0.18987573099415067</v>
      </c>
      <c r="J24" s="214">
        <f t="shared" si="3"/>
        <v>0.28195247270391877</v>
      </c>
    </row>
    <row r="25" spans="1:10">
      <c r="A25" s="43" t="s">
        <v>132</v>
      </c>
      <c r="B25" s="43">
        <f>('1854'!H27-'1854'!G27)*3.6</f>
        <v>14.543999999999972</v>
      </c>
      <c r="C25" s="43">
        <f>('1855'!H27-'1855'!G27)*3.6</f>
        <v>18.251999999999978</v>
      </c>
      <c r="D25" s="43">
        <f>('1856'!H27-'1856'!G27)*3.6</f>
        <v>10.943999999999972</v>
      </c>
      <c r="E25" s="43">
        <f>('1857'!H27-'1857'!G27)*3.6</f>
        <v>12.45600000000003</v>
      </c>
    </row>
    <row r="26" spans="1:10">
      <c r="A26" s="198" t="s">
        <v>138</v>
      </c>
      <c r="B26" s="199"/>
      <c r="C26" s="199"/>
      <c r="D26" s="199"/>
      <c r="E26" s="200"/>
    </row>
    <row r="27" spans="1:10">
      <c r="A27" s="43" t="s">
        <v>134</v>
      </c>
      <c r="B27" s="46">
        <f>'1854'!H25-'1854'!G25</f>
        <v>291</v>
      </c>
      <c r="C27" s="46">
        <f>'1855'!H25-'1855'!G25</f>
        <v>278</v>
      </c>
      <c r="D27" s="46">
        <f>'1856'!H25-'1856'!G25</f>
        <v>234</v>
      </c>
      <c r="E27" s="46">
        <f>'1857'!H25-'1857'!G25</f>
        <v>350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1:B1048576 C1:E5 C8:E20 C23:E65536 F1:I2 F13:I13 F16:I17 F27:F65536 G28:I65536">
    <cfRule type="cellIs" dxfId="635" priority="3" stopIfTrue="1" operator="lessThan">
      <formula>0</formula>
    </cfRule>
  </conditionalFormatting>
  <conditionalFormatting sqref="G1:J2 G13:J17 G28:J65536">
    <cfRule type="cellIs" dxfId="634" priority="2" stopIfTrue="1" operator="lessThan">
      <formula>0</formula>
    </cfRule>
  </conditionalFormatting>
  <conditionalFormatting sqref="G1:J2 G13:H17 G28:J65536 I13:J13 I16:J17">
    <cfRule type="cellIs" dxfId="633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T27"/>
  <sheetViews>
    <sheetView workbookViewId="0">
      <selection activeCell="M15" sqref="M15"/>
    </sheetView>
  </sheetViews>
  <sheetFormatPr defaultColWidth="9" defaultRowHeight="18"/>
  <cols>
    <col min="1" max="1" width="35" style="40" customWidth="1"/>
    <col min="2" max="12" width="11.42578125" style="40" customWidth="1"/>
    <col min="13" max="20" width="9.85546875" style="40" customWidth="1"/>
    <col min="21" max="24" width="6.42578125" style="40" customWidth="1"/>
    <col min="25" max="16384" width="9" style="40"/>
  </cols>
  <sheetData>
    <row r="1" spans="1:20">
      <c r="A1" s="41" t="s">
        <v>142</v>
      </c>
      <c r="B1" s="42">
        <f>'S1'!B1</f>
        <v>2019</v>
      </c>
    </row>
    <row r="3" spans="1:20">
      <c r="A3" s="198" t="s">
        <v>125</v>
      </c>
      <c r="B3" s="197">
        <v>1850</v>
      </c>
      <c r="C3" s="197">
        <v>1851</v>
      </c>
      <c r="D3" s="197">
        <v>1852</v>
      </c>
      <c r="E3" s="197">
        <v>1853</v>
      </c>
    </row>
    <row r="4" spans="1:20">
      <c r="A4" s="50" t="s">
        <v>126</v>
      </c>
      <c r="B4" s="43">
        <f>'1850'!I4-'1850'!H4+'1850'!I6-'1850'!H6+'1850'!I8-'1850'!H8+'1850'!I10-'1850'!H10+'1850'!I12-'1850'!H12+'1850'!I14-'1850'!H14+'1850'!I16-'1850'!H16+'1850'!I18-'1850'!H18+'1850'!I20-'1850'!H20+'1850'!I22-'1850'!H22</f>
        <v>54.455000000000069</v>
      </c>
      <c r="C4" s="43">
        <f>'1851'!J4-'1851'!I4+'1851'!J6-'1851'!I6+'1851'!J8-'1851'!I8+'1851'!J10-'1851'!I10+'1851'!J12-'1851'!I12+'1851'!J14-'1851'!I14+'1851'!J16-'1851'!I16+'1851'!J18-'1851'!I18+'1851'!J20-'1851'!I20+'1851'!J22-'1851'!I22+'1851'!J33-'1851'!I33+'1851'!J34-'1851'!I34+'1851'!J35-'1851'!I35+'1851'!J36-'1851'!I36+'1851'!J37-'1851'!I37+'1851'!J40-'1851'!I40+'1851'!J41-'1851'!I41+'1851'!J42-'1851'!I42+'1851'!J43-'1851'!I43+'1851'!J44-'1851'!I44+'1851'!J45-'1851'!I45+'1851'!J46-'1851'!I46+'1851'!J47-'1851'!I47+'1851'!J48-'1851'!I48+'1851'!J49-'1851'!I49</f>
        <v>68.165999999999968</v>
      </c>
      <c r="D4" s="43">
        <f>'1852'!I4-'1852'!H4+'1852'!I6-'1852'!H6+'1852'!I8-'1852'!H8+'1852'!I10-'1852'!H10+'1852'!I12-'1852'!H12+'1852'!I14-'1852'!H14+'1852'!I16-'1852'!H16+'1852'!I18-'1852'!H18+'1852'!I20-'1852'!H20+'1852'!I22-'1852'!H22</f>
        <v>56.43799999999996</v>
      </c>
      <c r="E4" s="43">
        <f>'1853'!I4-'1853'!H4+'1853'!I6-'1853'!H6+'1853'!I8-'1853'!H8+'1853'!I10-'1853'!H10+'1853'!I12-'1853'!H12+'1853'!I14-'1853'!H14+'1853'!I16-'1853'!H16+'1853'!I18-'1853'!H18+'1853'!I20-'1853'!H20+'1853'!I22-'1853'!H22+'1853'!I26-'1853'!H26</f>
        <v>84.268000000000143</v>
      </c>
      <c r="G4" s="214">
        <f>1-B4/B5</f>
        <v>6.1120689655171256E-2</v>
      </c>
      <c r="H4" s="214">
        <f t="shared" ref="H4:J4" si="0">1-C4/C5</f>
        <v>7.3831521739129768E-2</v>
      </c>
      <c r="I4" s="214">
        <f t="shared" si="0"/>
        <v>0.17124816446402302</v>
      </c>
      <c r="J4" s="214">
        <f t="shared" si="0"/>
        <v>6.3688888888887352E-2</v>
      </c>
    </row>
    <row r="5" spans="1:20">
      <c r="A5" s="50" t="s">
        <v>127</v>
      </c>
      <c r="B5" s="43">
        <f>'1850'!I26-'1850'!H26</f>
        <v>58</v>
      </c>
      <c r="C5" s="43">
        <f>'1851'!J26-'1851'!I26</f>
        <v>73.599999999999909</v>
      </c>
      <c r="D5" s="43">
        <f>'1852'!I26-'1852'!H26</f>
        <v>68.099999999999909</v>
      </c>
      <c r="E5" s="43">
        <f>'1853'!I27-'1853'!H27</f>
        <v>90</v>
      </c>
    </row>
    <row r="6" spans="1:20">
      <c r="A6" s="50" t="s">
        <v>128</v>
      </c>
      <c r="B6" s="281">
        <f>SUM(B5:E5)</f>
        <v>289.69999999999982</v>
      </c>
      <c r="C6" s="281"/>
      <c r="D6" s="281"/>
      <c r="E6" s="281"/>
      <c r="G6" s="214">
        <f>1-B6/B7</f>
        <v>3.9456233421752418E-2</v>
      </c>
    </row>
    <row r="7" spans="1:20">
      <c r="A7" s="50" t="s">
        <v>129</v>
      </c>
      <c r="B7" s="281">
        <f>'1850'!I29-'1850'!H29</f>
        <v>301.60000000000036</v>
      </c>
      <c r="C7" s="281"/>
      <c r="D7" s="281"/>
      <c r="E7" s="281"/>
    </row>
    <row r="8" spans="1:20">
      <c r="A8" s="198" t="s">
        <v>130</v>
      </c>
      <c r="B8" s="199"/>
      <c r="C8" s="199"/>
      <c r="D8" s="199"/>
      <c r="E8" s="200"/>
    </row>
    <row r="9" spans="1:20">
      <c r="A9" s="43" t="s">
        <v>131</v>
      </c>
      <c r="B9" s="43">
        <f>'1850'!I5-'1850'!H5+'1850'!I7-'1850'!H7+'1850'!I9-'1850'!H9+'1850'!I11-'1850'!H11+'1850'!I13-'1850'!H13+'1850'!I15-'1850'!H15+'1850'!I17-'1850'!H17+'1850'!I19-'1850'!H19+'1850'!I21-'1850'!H21+'1850'!I23-'1850'!H23</f>
        <v>3.0700000000000074</v>
      </c>
      <c r="C9" s="43">
        <f>'1851'!J5-'1851'!I5+'1851'!J7-'1851'!I7+'1851'!J9-'1851'!I9+'1851'!J11-'1851'!I11+'1851'!J13-'1851'!I13+'1851'!J15-'1851'!I15+'1851'!J17-'1851'!I17+'1851'!J19-'1851'!I19+'1851'!J21-'1851'!I21+'1851'!J23-'1851'!I23</f>
        <v>4.6119999999999912</v>
      </c>
      <c r="D9" s="43">
        <f>'1852'!I5-'1852'!H5+'1852'!I7-'1852'!H7+'1852'!I9-'1852'!H9+'1852'!I11-'1852'!H11+'1852'!I13-'1852'!H13+'1852'!I15-'1852'!H15+'1852'!I17-'1852'!H17+'1852'!I19-'1852'!H19+'1852'!I21-'1852'!H21+'1852'!I23-'1852'!H23</f>
        <v>4.0390000000000157</v>
      </c>
      <c r="E9" s="43">
        <f>'1853'!I5-'1853'!H5+'1853'!I7-'1853'!H7+'1853'!I9-'1853'!H9+'1853'!I11-'1853'!H11+'1853'!I13-'1853'!H13+'1853'!I15-'1853'!H15+'1853'!I17-'1853'!H17+'1853'!I19-'1853'!H19+'1853'!I21-'1853'!H21+'1853'!I23-'1853'!H23</f>
        <v>2.7180000000000035</v>
      </c>
      <c r="G9" s="214">
        <f>1-B9/B10</f>
        <v>0.30668473351401038</v>
      </c>
      <c r="H9" s="214">
        <f t="shared" ref="H9:J9" si="1">1-C9/C10</f>
        <v>0.38702817650187127</v>
      </c>
      <c r="I9" s="214">
        <f t="shared" si="1"/>
        <v>0.33217592592592604</v>
      </c>
      <c r="J9" s="214">
        <f t="shared" si="1"/>
        <v>0.47569444444444298</v>
      </c>
    </row>
    <row r="10" spans="1:20">
      <c r="A10" s="43" t="s">
        <v>132</v>
      </c>
      <c r="B10" s="45">
        <f>('1850'!I27+'1850'!M32-'1850'!H27)*3.6</f>
        <v>4.4280000000000657</v>
      </c>
      <c r="C10" s="43">
        <f>('1851'!J27+'1851'!N51-'1851'!I27)*3.6</f>
        <v>7.5240000000001146</v>
      </c>
      <c r="D10" s="43">
        <f>('1852'!I27+'1852'!M31-'1852'!H27)*3.6</f>
        <v>6.0480000000000249</v>
      </c>
      <c r="E10" s="43">
        <f>('1853'!I28+'1853'!M32-'1853'!H28)*3.6</f>
        <v>5.1839999999999922</v>
      </c>
    </row>
    <row r="11" spans="1:20">
      <c r="A11" s="198" t="s">
        <v>138</v>
      </c>
      <c r="B11" s="199"/>
      <c r="C11" s="199"/>
      <c r="D11" s="199"/>
      <c r="E11" s="200"/>
    </row>
    <row r="12" spans="1:20">
      <c r="A12" s="43" t="s">
        <v>134</v>
      </c>
      <c r="B12" s="46">
        <f>'1850'!I25-'1850'!H25</f>
        <v>277</v>
      </c>
      <c r="C12" s="46">
        <f>'1851'!J24-'1851'!I24</f>
        <v>426</v>
      </c>
      <c r="D12" s="46">
        <f>'1852'!I25-'1852'!H25</f>
        <v>228</v>
      </c>
      <c r="E12" s="46">
        <f>'1853'!I24-'1853'!H24</f>
        <v>217</v>
      </c>
    </row>
    <row r="13" spans="1:20">
      <c r="A13" s="47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</row>
    <row r="14" spans="1:20">
      <c r="A14" s="47" t="s">
        <v>135</v>
      </c>
      <c r="B14" s="48">
        <f>'1853'!I25-'1853'!H25</f>
        <v>207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</row>
    <row r="15" spans="1:20">
      <c r="A15" s="47" t="s">
        <v>136</v>
      </c>
      <c r="B15" s="49">
        <f>'1853'!I26-'1853'!H26</f>
        <v>32.118000000000052</v>
      </c>
      <c r="C15" s="49"/>
      <c r="D15" s="49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</row>
    <row r="16" spans="1:20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</row>
    <row r="18" spans="1:10">
      <c r="A18" s="196" t="s">
        <v>125</v>
      </c>
      <c r="B18" s="197">
        <v>1854</v>
      </c>
      <c r="C18" s="197">
        <v>1855</v>
      </c>
      <c r="D18" s="197">
        <v>1856</v>
      </c>
      <c r="E18" s="197">
        <v>1857</v>
      </c>
    </row>
    <row r="19" spans="1:10">
      <c r="A19" s="43" t="s">
        <v>126</v>
      </c>
      <c r="B19" s="43">
        <f>'1854'!I4-'1854'!H4+'1854'!I6-'1854'!H6+'1854'!I8-'1854'!H8+'1854'!I10-'1854'!H10+'1854'!I12-'1854'!H12+'1854'!I14-'1854'!H14+'1854'!I16-'1854'!H16+'1854'!I18-'1854'!H18+'1854'!I20-'1854'!H20+'1854'!I22-'1854'!H22</f>
        <v>48.980000000000032</v>
      </c>
      <c r="C19" s="43">
        <f>'1855'!I4-'1855'!H4+'1855'!I6-'1855'!H6+'1855'!I8-'1855'!H8+'1855'!I10-'1855'!H10+'1855'!I12-'1855'!H12+'1855'!I14-'1855'!H14+'1855'!I16-'1855'!H16+'1855'!I18-'1855'!H18+'1855'!I20-'1855'!H20+'1855'!I22-'1855'!H22</f>
        <v>59.442000000000007</v>
      </c>
      <c r="D19" s="43">
        <f>'1856'!I4-'1856'!H4+'1856'!I6-'1856'!H6+'1856'!I8-'1856'!H8+'1856'!I10-'1856'!H10+'1856'!I12-'1856'!H12+'1856'!I14-'1856'!H14+'1856'!I16-'1856'!H16+'1856'!I18-'1856'!H18+'1856'!I20-'1856'!H20+'1856'!I22-'1856'!H22</f>
        <v>54.501000000000033</v>
      </c>
      <c r="E19" s="43">
        <f>'1857'!I4-'1857'!H4+'1857'!I6-'1857'!H6+'1857'!I8-'1857'!H8+'1857'!I10-'1857'!H10+'1857'!I12-'1857'!H12+'1857'!I14-'1857'!H14+'1857'!I16-'1857'!H16+'1857'!I18-'1857'!H18+'1857'!I20-'1857'!H20+'1857'!I22-'1857'!H22</f>
        <v>63.280999999999949</v>
      </c>
      <c r="G19" s="214">
        <f>1-B19/B20</f>
        <v>6.3479923518158898E-2</v>
      </c>
      <c r="H19" s="214">
        <f t="shared" ref="H19:J19" si="2">1-C19/C20</f>
        <v>6.9765258215963688E-2</v>
      </c>
      <c r="I19" s="214">
        <f t="shared" si="2"/>
        <v>6.1944922547330195E-2</v>
      </c>
      <c r="J19" s="214">
        <f t="shared" si="2"/>
        <v>7.3484626647141948E-2</v>
      </c>
    </row>
    <row r="20" spans="1:10">
      <c r="A20" s="43" t="s">
        <v>127</v>
      </c>
      <c r="B20" s="43">
        <f>'1854'!I26-'1854'!H26</f>
        <v>52.299999999999727</v>
      </c>
      <c r="C20" s="44">
        <f>'1855'!I26-'1855'!H26</f>
        <v>63.900000000000091</v>
      </c>
      <c r="D20" s="43">
        <f>'1856'!I26-'1856'!H26</f>
        <v>58.099999999999909</v>
      </c>
      <c r="E20" s="43">
        <f>'1857'!I26-'1857'!H26</f>
        <v>68.299999999999727</v>
      </c>
    </row>
    <row r="21" spans="1:10">
      <c r="A21" s="43" t="s">
        <v>128</v>
      </c>
      <c r="B21" s="281">
        <f>SUM(B20:E20)</f>
        <v>242.59999999999945</v>
      </c>
      <c r="C21" s="281"/>
      <c r="D21" s="281"/>
      <c r="E21" s="281"/>
      <c r="G21" s="214">
        <f>1-B21/B22</f>
        <v>-1.8471872376149001E-2</v>
      </c>
    </row>
    <row r="22" spans="1:10">
      <c r="A22" s="43" t="s">
        <v>129</v>
      </c>
      <c r="B22" s="281">
        <f>'1854'!I29-'1854'!H29</f>
        <v>238.20000000000073</v>
      </c>
      <c r="C22" s="281"/>
      <c r="D22" s="281"/>
      <c r="E22" s="281"/>
    </row>
    <row r="23" spans="1:10">
      <c r="A23" s="198" t="s">
        <v>130</v>
      </c>
      <c r="B23" s="199"/>
      <c r="C23" s="199"/>
      <c r="D23" s="199"/>
      <c r="E23" s="200"/>
    </row>
    <row r="24" spans="1:10">
      <c r="A24" s="43" t="s">
        <v>131</v>
      </c>
      <c r="B24" s="43">
        <f>'1854'!I5-'1854'!H5+'1854'!I7-'1854'!H7+'1854'!I9-'1854'!H9+'1854'!I11-'1854'!H11+'1854'!I13-'1854'!H13+'1854'!I15-'1854'!H15+'1854'!I17-'1854'!H17+'1854'!I19-'1854'!H19+'1854'!I21-'1854'!H21+'1854'!I23-'1854'!H23</f>
        <v>3.0679999999999876</v>
      </c>
      <c r="C24" s="43">
        <f>'1855'!I5-'1855'!H5+'1855'!I7-'1855'!H7+'1855'!I9-'1855'!H9+'1855'!I11-'1855'!H11+'1855'!I13-'1855'!H13+'1855'!I15-'1855'!H15+'1855'!I17-'1855'!H17+'1855'!I19-'1855'!H19+'1855'!I21-'1855'!H21+'1855'!I23-'1855'!H23</f>
        <v>3.4809999999999803</v>
      </c>
      <c r="D24" s="43">
        <f>'1856'!I5-'1856'!H5+'1856'!I7-'1856'!H7+'1856'!I9-'1856'!H9+'1856'!I11-'1856'!H11+'1856'!I13-'1856'!H13+'1856'!I15-'1856'!H15+'1856'!I17-'1856'!H17+'1856'!I19-'1856'!H19+'1856'!I21-'1856'!H21+'1856'!I23-'1856'!H23</f>
        <v>3.3710000000000022</v>
      </c>
      <c r="E24" s="43">
        <f>'1857'!I5-'1857'!H5+'1857'!I7-'1857'!H7+'1857'!I9-'1857'!H9+'1857'!I11-'1857'!H11+'1857'!I13-'1857'!H13+'1857'!I15-'1857'!H15+'1857'!I17-'1857'!H17+'1857'!I19-'1857'!H19+'1857'!I21-'1857'!H21+'1857'!I23-'1857'!H23</f>
        <v>3.0700000000000003</v>
      </c>
      <c r="G24" s="214">
        <f>1-B24/B25</f>
        <v>0.30145719489982004</v>
      </c>
      <c r="H24" s="214">
        <f t="shared" ref="H24:J24" si="3">1-C24/C25</f>
        <v>0.23258377425043975</v>
      </c>
      <c r="I24" s="214">
        <f t="shared" si="3"/>
        <v>0.25088888888888838</v>
      </c>
      <c r="J24" s="214">
        <f t="shared" si="3"/>
        <v>0.46026722925456554</v>
      </c>
    </row>
    <row r="25" spans="1:10">
      <c r="A25" s="43" t="s">
        <v>132</v>
      </c>
      <c r="B25" s="43">
        <f>('1854'!I27-'1854'!H27)*3.6</f>
        <v>4.3919999999999959</v>
      </c>
      <c r="C25" s="43">
        <f>('1855'!I27-'1855'!H27)*3.6</f>
        <v>4.5359999999999676</v>
      </c>
      <c r="D25" s="43">
        <f>('1856'!I27-'1856'!H27)*3.6</f>
        <v>4.5</v>
      </c>
      <c r="E25" s="43">
        <f>('1857'!I27-'1857'!H27)*3.6</f>
        <v>5.6879999999999429</v>
      </c>
    </row>
    <row r="26" spans="1:10">
      <c r="A26" s="198" t="s">
        <v>138</v>
      </c>
      <c r="B26" s="199"/>
      <c r="C26" s="199"/>
      <c r="D26" s="199"/>
      <c r="E26" s="200"/>
    </row>
    <row r="27" spans="1:10">
      <c r="A27" s="43" t="s">
        <v>134</v>
      </c>
      <c r="B27" s="46">
        <f>'1854'!I25-'1854'!H25</f>
        <v>257</v>
      </c>
      <c r="C27" s="46">
        <f>'1855'!I25-'1855'!H25</f>
        <v>216</v>
      </c>
      <c r="D27" s="46">
        <f>'1856'!I25-'1856'!H25</f>
        <v>192</v>
      </c>
      <c r="E27" s="46">
        <f>'1857'!I25-'1857'!H25</f>
        <v>261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2:B65536 C1:E5 C8:E20 C23:E65536 F1:L2 F13:H17 F28:L65536 I13:L13 I16:L17">
    <cfRule type="cellIs" dxfId="632" priority="1" stopIfTrue="1" operator="lessThan">
      <formula>0</formula>
    </cfRule>
  </conditionalFormatting>
  <conditionalFormatting sqref="B1">
    <cfRule type="cellIs" dxfId="631" priority="2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W27"/>
  <sheetViews>
    <sheetView workbookViewId="0">
      <selection activeCell="M15" sqref="M15"/>
    </sheetView>
  </sheetViews>
  <sheetFormatPr defaultColWidth="9" defaultRowHeight="18"/>
  <cols>
    <col min="1" max="1" width="36.140625" style="40" customWidth="1"/>
    <col min="2" max="15" width="11.42578125" style="40" customWidth="1"/>
    <col min="16" max="23" width="9.85546875" style="40" customWidth="1"/>
    <col min="24" max="27" width="6.42578125" style="40" customWidth="1"/>
    <col min="28" max="16384" width="9" style="40"/>
  </cols>
  <sheetData>
    <row r="1" spans="1:23">
      <c r="A1" s="53" t="s">
        <v>143</v>
      </c>
      <c r="B1" s="42">
        <f>'S1'!B1</f>
        <v>2019</v>
      </c>
    </row>
    <row r="3" spans="1:23">
      <c r="A3" s="198" t="s">
        <v>125</v>
      </c>
      <c r="B3" s="197">
        <v>1850</v>
      </c>
      <c r="C3" s="197">
        <v>1851</v>
      </c>
      <c r="D3" s="197">
        <v>1852</v>
      </c>
      <c r="E3" s="197">
        <v>1853</v>
      </c>
    </row>
    <row r="4" spans="1:23">
      <c r="A4" s="50" t="s">
        <v>126</v>
      </c>
      <c r="B4" s="43">
        <f>'1850'!J4-'1850'!I4+'1850'!J6-'1850'!I6+'1850'!J8-'1850'!I8+'1850'!J10-'1850'!I10+'1850'!J12-'1850'!I12+'1850'!J14-'1850'!I14+'1850'!J16-'1850'!I16+'1850'!J18-'1850'!I18+'1850'!J20-'1850'!I20+'1850'!J22-'1850'!I22</f>
        <v>47.774000000000029</v>
      </c>
      <c r="C4" s="43">
        <f>'1851'!K4-'1851'!J4+'1851'!K6-'1851'!J6+'1851'!K8-'1851'!J8+'1851'!K10-'1851'!J10+'1851'!K12-'1851'!J12+'1851'!K14-'1851'!J14+'1851'!K16-'1851'!J16+'1851'!K18-'1851'!J18+'1851'!K20-'1851'!J20+'1851'!K22-'1851'!J22+'1851'!K33-'1851'!J33+'1851'!K34-'1851'!J34+'1851'!K35-'1851'!J35+'1851'!K36-'1851'!J36+'1851'!K37-'1851'!J37+'1851'!K40-'1851'!J40+'1851'!K41-'1851'!J41+'1851'!K42-'1851'!J42+'1851'!K43-'1851'!J43+'1851'!K44-'1851'!J44+'1851'!K45-'1851'!J45+'1851'!K46-'1851'!J46+'1851'!K47-'1851'!J47+'1851'!K48-'1851'!J48+'1851'!K49-'1851'!J49</f>
        <v>82.744999999999919</v>
      </c>
      <c r="D4" s="43">
        <f>'1852'!J4-'1852'!I4+'1852'!J6-'1852'!I6+'1852'!J8-'1852'!I8+'1852'!J10-'1852'!I10+'1852'!J12-'1852'!I12+'1852'!J14-'1852'!I14+'1852'!J16-'1852'!I16+'1852'!J18-'1852'!I18+'1852'!J20-'1852'!I20+'1852'!J22-'1852'!I22</f>
        <v>52.899000000000058</v>
      </c>
      <c r="E4" s="43">
        <f>'1853'!J4-'1853'!I4+'1853'!J6-'1853'!I6+'1853'!J8-'1853'!I8+'1853'!J10-'1853'!I10+'1853'!J12-'1853'!I12+'1853'!J14-'1853'!I14+'1853'!J16-'1853'!I16+'1853'!J18-'1853'!I18+'1853'!J20-'1853'!I20+'1853'!J22-'1853'!I22+'1853'!J26-'1853'!I26</f>
        <v>88.211000000000013</v>
      </c>
      <c r="G4" s="214">
        <f>1-B4/B5</f>
        <v>9.1749049429655671E-2</v>
      </c>
      <c r="H4" s="214">
        <f t="shared" ref="H4:J4" si="0">1-C4/C5</f>
        <v>7.0280898876405429E-2</v>
      </c>
      <c r="I4" s="214">
        <f t="shared" si="0"/>
        <v>0.19114678899082593</v>
      </c>
      <c r="J4" s="214">
        <f t="shared" si="0"/>
        <v>3.5945355191256745E-2</v>
      </c>
    </row>
    <row r="5" spans="1:23">
      <c r="A5" s="50" t="s">
        <v>127</v>
      </c>
      <c r="B5" s="43">
        <f>'1850'!J26-'1850'!I26</f>
        <v>52.599999999999909</v>
      </c>
      <c r="C5" s="43">
        <f>'1851'!K26-'1851'!J26</f>
        <v>89</v>
      </c>
      <c r="D5" s="43">
        <f>'1852'!J26-'1852'!I26</f>
        <v>65.400000000000091</v>
      </c>
      <c r="E5" s="43">
        <f>'1853'!J27-'1853'!I27</f>
        <v>91.5</v>
      </c>
    </row>
    <row r="6" spans="1:23">
      <c r="A6" s="50" t="s">
        <v>128</v>
      </c>
      <c r="B6" s="281">
        <f>SUM(B5:E5)</f>
        <v>298.5</v>
      </c>
      <c r="C6" s="281"/>
      <c r="D6" s="281"/>
      <c r="E6" s="281"/>
      <c r="G6" s="214">
        <f>1-B6/B7</f>
        <v>7.0961718020542075E-2</v>
      </c>
    </row>
    <row r="7" spans="1:23">
      <c r="A7" s="50" t="s">
        <v>129</v>
      </c>
      <c r="B7" s="281">
        <f>'1850'!J29-'1850'!I29</f>
        <v>321.30000000000018</v>
      </c>
      <c r="C7" s="281"/>
      <c r="D7" s="281"/>
      <c r="E7" s="281"/>
    </row>
    <row r="8" spans="1:23">
      <c r="A8" s="198" t="s">
        <v>130</v>
      </c>
      <c r="B8" s="199"/>
      <c r="C8" s="199"/>
      <c r="D8" s="199"/>
      <c r="E8" s="200"/>
    </row>
    <row r="9" spans="1:23">
      <c r="A9" s="43" t="s">
        <v>131</v>
      </c>
      <c r="B9" s="43">
        <f>'1850'!J5-'1850'!I5+'1850'!J7-'1850'!I7+'1850'!J9-'1850'!I9+'1850'!J11-'1850'!I11+'1850'!J13-'1850'!I13+'1850'!J15-'1850'!I15+'1850'!J17-'1850'!I17+'1850'!J19-'1850'!I19+'1850'!J21-'1850'!I21+'1850'!J23-'1850'!I23</f>
        <v>2.8150000000000048</v>
      </c>
      <c r="C9" s="43">
        <f>'1851'!K5-'1851'!J5+'1851'!K7-'1851'!J7+'1851'!K9-'1851'!J9+'1851'!K11-'1851'!J11+'1851'!K13-'1851'!J13+'1851'!K15-'1851'!J15+'1851'!K17-'1851'!J17+'1851'!K19-'1851'!J19+'1851'!K21-'1851'!J21+'1851'!K23-'1851'!J23</f>
        <v>5.5600000000000129</v>
      </c>
      <c r="D9" s="43">
        <f>'1852'!J5-'1852'!I5+'1852'!J7-'1852'!I7+'1852'!J9-'1852'!I9+'1852'!J11-'1852'!I11+'1852'!J13-'1852'!I13+'1852'!J15-'1852'!I15+'1852'!J17-'1852'!I17+'1852'!J19-'1852'!I19+'1852'!J21-'1852'!I21+'1852'!J23-'1852'!I23</f>
        <v>4.0819999999999936</v>
      </c>
      <c r="E9" s="43">
        <f>'1853'!J5-'1853'!I5+'1853'!J7-'1853'!I7+'1853'!J9-'1853'!I9+'1853'!J11-'1853'!I11+'1853'!J13-'1853'!I13+'1853'!J15-'1853'!I15+'1853'!J17-'1853'!I17+'1853'!J19-'1853'!I19+'1853'!J21-'1853'!I21+'1853'!J23-'1853'!I23</f>
        <v>3.1880000000000095</v>
      </c>
      <c r="G9" s="214">
        <f>1-B9/B10</f>
        <v>0.44933489827855932</v>
      </c>
      <c r="H9" s="214">
        <f t="shared" ref="H9:J9" si="1">1-C9/C10</f>
        <v>0.43633414436334017</v>
      </c>
      <c r="I9" s="214">
        <f t="shared" si="1"/>
        <v>0.42732884399551152</v>
      </c>
      <c r="J9" s="214">
        <f t="shared" si="1"/>
        <v>0.51343101343101194</v>
      </c>
    </row>
    <row r="10" spans="1:23">
      <c r="A10" s="43" t="s">
        <v>132</v>
      </c>
      <c r="B10" s="51">
        <f>('1850'!J27-'1850'!I27)*3.6</f>
        <v>5.1120000000000001</v>
      </c>
      <c r="C10" s="51">
        <f>('1851'!K27-'1851'!J27)*3.6</f>
        <v>9.8640000000000008</v>
      </c>
      <c r="D10" s="43">
        <f>('1852'!J27-'1852'!I27)*3.6</f>
        <v>7.1280000000000001</v>
      </c>
      <c r="E10" s="43">
        <f>('1853'!J28-'1853'!I28)*3.6</f>
        <v>6.5519999999999996</v>
      </c>
    </row>
    <row r="11" spans="1:23">
      <c r="A11" s="198" t="s">
        <v>138</v>
      </c>
      <c r="B11" s="199"/>
      <c r="C11" s="199"/>
      <c r="D11" s="199"/>
      <c r="E11" s="200"/>
    </row>
    <row r="12" spans="1:23">
      <c r="A12" s="43" t="s">
        <v>134</v>
      </c>
      <c r="B12" s="46">
        <f>'1850'!J25-'1850'!I25</f>
        <v>271</v>
      </c>
      <c r="C12" s="46">
        <f>'1851'!K24-'1851'!J24</f>
        <v>294</v>
      </c>
      <c r="D12" s="46">
        <f>'1852'!J25-'1852'!I25</f>
        <v>220</v>
      </c>
      <c r="E12" s="46">
        <f>'1853'!J24-'1853'!I24</f>
        <v>296</v>
      </c>
    </row>
    <row r="13" spans="1:23">
      <c r="A13" s="47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</row>
    <row r="14" spans="1:23">
      <c r="A14" s="47" t="s">
        <v>135</v>
      </c>
      <c r="B14" s="48">
        <f>'1853'!J25-'1853'!I25</f>
        <v>245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</row>
    <row r="15" spans="1:23">
      <c r="A15" s="47" t="s">
        <v>136</v>
      </c>
      <c r="B15" s="49">
        <f>'1853'!J26-'1853'!I26</f>
        <v>30.603999999999928</v>
      </c>
      <c r="C15" s="49"/>
      <c r="D15" s="49"/>
      <c r="E15" s="49"/>
      <c r="F15" s="49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</row>
    <row r="16" spans="1:23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</row>
    <row r="18" spans="1:10">
      <c r="A18" s="196" t="s">
        <v>125</v>
      </c>
      <c r="B18" s="197">
        <v>1854</v>
      </c>
      <c r="C18" s="197">
        <v>1855</v>
      </c>
      <c r="D18" s="197">
        <v>1856</v>
      </c>
      <c r="E18" s="197">
        <v>1857</v>
      </c>
    </row>
    <row r="19" spans="1:10">
      <c r="A19" s="43" t="s">
        <v>126</v>
      </c>
      <c r="B19" s="43">
        <f>'1854'!J4-'1854'!I4+'1854'!J6-'1854'!I6+'1854'!J8-'1854'!I8+'1854'!J10-'1854'!I10+'1854'!J12-'1854'!I12+'1854'!J14-'1854'!I14+'1854'!J16-'1854'!I16+'1854'!J18-'1854'!I18+'1854'!J20-'1854'!I20+'1854'!J22-'1854'!I22</f>
        <v>50.757999999999967</v>
      </c>
      <c r="C19" s="43">
        <f>'1855'!J4-'1855'!I4+'1855'!J6-'1855'!I6+'1855'!J8-'1855'!I8+'1855'!J10-'1855'!I10+'1855'!J12-'1855'!I12+'1855'!J14-'1855'!I14+'1855'!J16-'1855'!I16+'1855'!J18-'1855'!I18+'1855'!J20-'1855'!I20+'1855'!J22-'1855'!I22</f>
        <v>57.331000000000131</v>
      </c>
      <c r="D19" s="43">
        <f>'1856'!J4-'1856'!I4+'1856'!J6-'1856'!I6+'1856'!J8-'1856'!I8+'1856'!J10-'1856'!I10+'1856'!J12-'1856'!I12+'1856'!J14-'1856'!I14+'1856'!J16-'1856'!I16+'1856'!J18-'1856'!I18+'1856'!J20-'1856'!I20+'1856'!J22-'1856'!I22</f>
        <v>55.33499999999998</v>
      </c>
      <c r="E19" s="43">
        <f>'1857'!J4-'1857'!I4+'1857'!J6-'1857'!I6+'1857'!J8-'1857'!I8+'1857'!J10-'1857'!I10+'1857'!J12-'1857'!I12+'1857'!J14-'1857'!I14+'1857'!J16-'1857'!I16+'1857'!J18-'1857'!I18+'1857'!J20-'1857'!I20+'1857'!J22-'1857'!I22</f>
        <v>55.091000000000122</v>
      </c>
      <c r="G19" s="214">
        <f>1-B19/B20</f>
        <v>6.1774491682069277E-2</v>
      </c>
      <c r="H19" s="214">
        <f t="shared" ref="H19:J19" si="2">1-C19/C20</f>
        <v>7.8279742765268501E-2</v>
      </c>
      <c r="I19" s="214">
        <f t="shared" si="2"/>
        <v>6.0526315789475538E-2</v>
      </c>
      <c r="J19" s="214">
        <f t="shared" si="2"/>
        <v>8.3344425956735302E-2</v>
      </c>
    </row>
    <row r="20" spans="1:10">
      <c r="A20" s="43" t="s">
        <v>127</v>
      </c>
      <c r="B20" s="43">
        <f>'1854'!J26-'1854'!I26</f>
        <v>54.099999999999909</v>
      </c>
      <c r="C20" s="43">
        <f>'1855'!J26-'1855'!I26</f>
        <v>62.199999999999818</v>
      </c>
      <c r="D20" s="43">
        <f>'1856'!J26-'1856'!I26</f>
        <v>58.900000000000091</v>
      </c>
      <c r="E20" s="43">
        <f>'1857'!J26-'1857'!I26</f>
        <v>60.099999999999909</v>
      </c>
    </row>
    <row r="21" spans="1:10">
      <c r="A21" s="43" t="s">
        <v>128</v>
      </c>
      <c r="B21" s="281">
        <f>SUM(B20:E20)</f>
        <v>235.29999999999973</v>
      </c>
      <c r="C21" s="281"/>
      <c r="D21" s="281"/>
      <c r="E21" s="281"/>
      <c r="G21" s="214">
        <f>1-B21/B22</f>
        <v>-1.7293558149591215E-2</v>
      </c>
    </row>
    <row r="22" spans="1:10">
      <c r="A22" s="43" t="s">
        <v>129</v>
      </c>
      <c r="B22" s="281">
        <f>'1854'!J29-'1854'!I29</f>
        <v>231.29999999999927</v>
      </c>
      <c r="C22" s="281"/>
      <c r="D22" s="281"/>
      <c r="E22" s="281"/>
    </row>
    <row r="23" spans="1:10">
      <c r="A23" s="198" t="s">
        <v>130</v>
      </c>
      <c r="B23" s="199"/>
      <c r="C23" s="199"/>
      <c r="D23" s="199"/>
      <c r="E23" s="200"/>
    </row>
    <row r="24" spans="1:10">
      <c r="A24" s="43" t="s">
        <v>131</v>
      </c>
      <c r="B24" s="43">
        <f>'1854'!J5-'1854'!I5+'1854'!J7-'1854'!I7+'1854'!J9-'1854'!I9+'1854'!J11-'1854'!I11+'1854'!J13-'1854'!I13+'1854'!J15-'1854'!I15+'1854'!J17-'1854'!I17+'1854'!J19-'1854'!I19+'1854'!J21-'1854'!I21+'1854'!J23-'1854'!I23</f>
        <v>3.1340000000000146</v>
      </c>
      <c r="C24" s="43">
        <f>'1855'!J5-'1855'!I5+'1855'!J7-'1855'!I7+'1855'!J9-'1855'!I9+'1855'!J11-'1855'!I11+'1855'!J13-'1855'!I13+'1855'!J15-'1855'!I15+'1855'!J17-'1855'!I17+'1855'!J19-'1855'!I19+'1855'!J21-'1855'!I21+'1855'!J23-'1855'!I23</f>
        <v>3.4660000000000082</v>
      </c>
      <c r="D24" s="43">
        <f>'1856'!J5-'1856'!I5+'1856'!J7-'1856'!I7+'1856'!J9-'1856'!I9+'1856'!J11-'1856'!I11+'1856'!J13-'1856'!I13+'1856'!J15-'1856'!I15+'1856'!J17-'1856'!I17+'1856'!J19-'1856'!I19+'1856'!J21-'1856'!I21+'1856'!J23-'1856'!I23</f>
        <v>3.1450000000000102</v>
      </c>
      <c r="E24" s="43">
        <f>'1857'!J5-'1857'!I5+'1857'!J7-'1857'!I7+'1857'!J9-'1857'!I9+'1857'!J11-'1857'!I11+'1857'!J13-'1857'!I13+'1857'!J15-'1857'!I15+'1857'!J17-'1857'!I17+'1857'!J19-'1857'!I19+'1857'!J21-'1857'!I21+'1857'!J23-'1857'!I23</f>
        <v>2.8109999999999928</v>
      </c>
      <c r="G24" s="214">
        <f>1-B24/B25</f>
        <v>0.36455798864557909</v>
      </c>
      <c r="H24" s="214">
        <f t="shared" ref="H24:J24" si="3">1-C24/C25</f>
        <v>0.28150912106135995</v>
      </c>
      <c r="I24" s="214">
        <f t="shared" si="3"/>
        <v>0.28974706413731621</v>
      </c>
      <c r="J24" s="214">
        <f t="shared" si="3"/>
        <v>0.53796844181460401</v>
      </c>
    </row>
    <row r="25" spans="1:10">
      <c r="A25" s="43" t="s">
        <v>132</v>
      </c>
      <c r="B25" s="43">
        <f>('1854'!J27-'1854'!I27)*3.6</f>
        <v>4.9320000000000164</v>
      </c>
      <c r="C25" s="43">
        <f>('1855'!J27-'1855'!I27)*3.6</f>
        <v>4.8240000000000123</v>
      </c>
      <c r="D25" s="43">
        <f>('1856'!J27-'1856'!I27)*3.6</f>
        <v>4.4280000000000657</v>
      </c>
      <c r="E25" s="43">
        <f>('1857'!J27-'1857'!I27)*3.6</f>
        <v>6.0840000000000947</v>
      </c>
    </row>
    <row r="26" spans="1:10">
      <c r="A26" s="198" t="s">
        <v>138</v>
      </c>
      <c r="B26" s="199"/>
      <c r="C26" s="199"/>
      <c r="D26" s="199"/>
      <c r="E26" s="200"/>
    </row>
    <row r="27" spans="1:10">
      <c r="A27" s="43" t="s">
        <v>134</v>
      </c>
      <c r="B27" s="46">
        <f>'1854'!J25-'1854'!I25</f>
        <v>275</v>
      </c>
      <c r="C27" s="46">
        <f>'1855'!J25-'1855'!I25</f>
        <v>229</v>
      </c>
      <c r="D27" s="46">
        <f>'1856'!J25-'1856'!I25</f>
        <v>220</v>
      </c>
      <c r="E27" s="46">
        <f>'1857'!J25-'1857'!I25</f>
        <v>285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2:B65536 C1:E5 C8:E20 C23:E65536 F1:O2 F13:J17 F28:O65536 K13:N13 K16:O17">
    <cfRule type="cellIs" dxfId="630" priority="2" stopIfTrue="1" operator="lessThan">
      <formula>0</formula>
    </cfRule>
  </conditionalFormatting>
  <conditionalFormatting sqref="B1">
    <cfRule type="cellIs" dxfId="629" priority="3" stopIfTrue="1" operator="lessThan">
      <formula>0</formula>
    </cfRule>
  </conditionalFormatting>
  <conditionalFormatting sqref="G1:J2 G13:H17 G28:J65536 I13:J13 I16:J17">
    <cfRule type="cellIs" dxfId="628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Z27"/>
  <sheetViews>
    <sheetView workbookViewId="0">
      <selection activeCell="M15" sqref="M15"/>
    </sheetView>
  </sheetViews>
  <sheetFormatPr defaultColWidth="9" defaultRowHeight="18"/>
  <cols>
    <col min="1" max="1" width="35" style="40" customWidth="1"/>
    <col min="2" max="18" width="11.42578125" style="40" customWidth="1"/>
    <col min="19" max="26" width="9.85546875" style="40" customWidth="1"/>
    <col min="27" max="30" width="6.42578125" style="40" customWidth="1"/>
    <col min="31" max="16384" width="9" style="40"/>
  </cols>
  <sheetData>
    <row r="1" spans="1:26">
      <c r="A1" s="41" t="s">
        <v>144</v>
      </c>
      <c r="B1" s="42">
        <f>'S1'!B1</f>
        <v>2019</v>
      </c>
    </row>
    <row r="3" spans="1:26">
      <c r="A3" s="198" t="s">
        <v>125</v>
      </c>
      <c r="B3" s="197">
        <v>1850</v>
      </c>
      <c r="C3" s="197">
        <v>1851</v>
      </c>
      <c r="D3" s="197">
        <v>1852</v>
      </c>
      <c r="E3" s="197">
        <v>1853</v>
      </c>
    </row>
    <row r="4" spans="1:26">
      <c r="A4" s="50" t="s">
        <v>126</v>
      </c>
      <c r="B4" s="43">
        <f>'1850'!K4-'1850'!J4+'1850'!K6-'1850'!J6+'1850'!K8-'1850'!J8+'1850'!K10-'1850'!J10+'1850'!K12-'1850'!J12+'1850'!K14-'1850'!J14+'1850'!K16-'1850'!J16+'1850'!K18-'1850'!J18+'1850'!K20-'1850'!J20+'1850'!K22-'1850'!J22</f>
        <v>45.391999999999911</v>
      </c>
      <c r="C4" s="54">
        <f>'1851'!L4-'1851'!K4+'1851'!L6-'1851'!K6+'1851'!L8-'1851'!K8+'1851'!L10-'1851'!K10+'1851'!L12-'1851'!K12+'1851'!L14-'1851'!K14+'1851'!L16-'1851'!K16+'1851'!L18-'1851'!K18+'1851'!L20-'1851'!K20+'1851'!L22-'1851'!K22+'1851'!L33-'1851'!K33+'1851'!L34-'1851'!K34+'1851'!L35-'1851'!K35+'1851'!L36-'1851'!K36+'1851'!L37-'1851'!K37+'1851'!L40-'1851'!K40+'1851'!L41-'1851'!K41+'1851'!L42-'1851'!K42+'1851'!L43-'1851'!K43+'1851'!L44-'1851'!K44+'1851'!L45-'1851'!K45+'1851'!L46-'1851'!K46+'1851'!L47-'1851'!K47+'1851'!L48-'1851'!K48+'1851'!L49-'1851'!K49</f>
        <v>83.602000000000089</v>
      </c>
      <c r="D4" s="43">
        <f>'1852'!K4-'1852'!J4+'1852'!K6-'1852'!J6+'1852'!K8-'1852'!J8+'1852'!K10-'1852'!J10+'1852'!K12-'1852'!J12+'1852'!K14-'1852'!J14+'1852'!K16-'1852'!J16+'1852'!K18-'1852'!J18+'1852'!K20-'1852'!J20+'1852'!K22-'1852'!J22</f>
        <v>45.764999999999986</v>
      </c>
      <c r="E4" s="43">
        <f>'1853'!K4-'1853'!J4+'1853'!K6-'1853'!J6+'1853'!K8-'1853'!J8+'1853'!K10-'1853'!J10+'1853'!K12-'1853'!J12+'1853'!K14-'1853'!J14+'1853'!K16-'1853'!J16+'1853'!K18-'1853'!J18+'1853'!K20-'1853'!J20+'1853'!K22-'1853'!J22+'1853'!K26-'1853'!J26</f>
        <v>77.059999999999945</v>
      </c>
      <c r="G4" s="214">
        <f>1-B4/B5</f>
        <v>8.2989898989900834E-2</v>
      </c>
      <c r="H4" s="214">
        <f t="shared" ref="H4:J4" si="0">1-C4/C5</f>
        <v>7.1088888888892643E-2</v>
      </c>
      <c r="I4" s="214">
        <f t="shared" si="0"/>
        <v>0.26892971246006303</v>
      </c>
      <c r="J4" s="214">
        <f t="shared" si="0"/>
        <v>5.2152521525212769E-2</v>
      </c>
    </row>
    <row r="5" spans="1:26">
      <c r="A5" s="50" t="s">
        <v>127</v>
      </c>
      <c r="B5" s="43">
        <f>'1850'!K26-'1850'!J26</f>
        <v>49.5</v>
      </c>
      <c r="C5" s="43">
        <f>'1851'!L26-'1851'!K26</f>
        <v>90.000000000000455</v>
      </c>
      <c r="D5" s="43">
        <f>'1852'!K26-'1852'!J26</f>
        <v>62.599999999999909</v>
      </c>
      <c r="E5" s="43">
        <f>'1853'!K27-'1853'!J27</f>
        <v>81.299999999999727</v>
      </c>
    </row>
    <row r="6" spans="1:26">
      <c r="A6" s="50" t="s">
        <v>128</v>
      </c>
      <c r="B6" s="281">
        <f>SUM(B5:E5)</f>
        <v>283.40000000000009</v>
      </c>
      <c r="C6" s="281"/>
      <c r="D6" s="281"/>
      <c r="E6" s="281"/>
      <c r="G6" s="214">
        <f>1-B6/B7</f>
        <v>5.9096945551127988E-2</v>
      </c>
    </row>
    <row r="7" spans="1:26">
      <c r="A7" s="50" t="s">
        <v>129</v>
      </c>
      <c r="B7" s="281">
        <f>'1850'!K29-'1850'!J29</f>
        <v>301.19999999999982</v>
      </c>
      <c r="C7" s="281"/>
      <c r="D7" s="281"/>
      <c r="E7" s="281"/>
    </row>
    <row r="8" spans="1:26">
      <c r="A8" s="198" t="s">
        <v>130</v>
      </c>
      <c r="B8" s="199"/>
      <c r="C8" s="199"/>
      <c r="D8" s="199"/>
      <c r="E8" s="200"/>
    </row>
    <row r="9" spans="1:26">
      <c r="A9" s="43" t="s">
        <v>131</v>
      </c>
      <c r="B9" s="54">
        <f>'1850'!K5-'1850'!J5+'1850'!K7-'1850'!J7+'1850'!K9-'1850'!J9+'1850'!K11-'1850'!J11+'1850'!K13-'1850'!J13+'1850'!K15-'1850'!J15+'1850'!K17-'1850'!J17+'1850'!K19-'1850'!J19+'1850'!K21-'1850'!J21+'1850'!K23-'1850'!J23</f>
        <v>2.5519999999999996</v>
      </c>
      <c r="C9" s="54">
        <f>'1851'!L5-'1851'!K5+'1851'!L7-'1851'!K7+'1851'!L9-'1851'!K9+'1851'!L11-'1851'!K11+'1851'!L13-'1851'!K13+'1851'!L15-'1851'!K15+'1851'!L17-'1851'!K17+'1851'!L19-'1851'!K19+'1851'!L21-'1851'!K21+'1851'!L23-'1851'!K23</f>
        <v>5.8409999999999975</v>
      </c>
      <c r="D9" s="54">
        <f>'1852'!K5-'1852'!J5+'1852'!K7-'1852'!J7+'1852'!K9-'1852'!J9+'1852'!K11-'1852'!J11+'1852'!K13-'1852'!J13+'1852'!K15-'1852'!J15+'1852'!K17-'1852'!J17+'1852'!K19-'1852'!J19+'1852'!K21-'1852'!J21+'1852'!K23-'1852'!J23</f>
        <v>4.0389999999999944</v>
      </c>
      <c r="E9" s="54">
        <f>'1853'!K5-'1853'!J5+'1853'!K7-'1853'!J7+'1853'!K9-'1853'!J9+'1853'!K11-'1853'!J11+'1853'!K13-'1853'!J13+'1853'!K15-'1853'!J15+'1853'!K17-'1853'!J17+'1853'!K19-'1853'!J19+'1853'!K21-'1853'!J21+'1853'!K23-'1853'!J23</f>
        <v>3.1879999999999882</v>
      </c>
      <c r="F9" s="147"/>
      <c r="G9" s="214">
        <f>1-B9/B10</f>
        <v>0.48631239935587778</v>
      </c>
      <c r="H9" s="214">
        <f t="shared" ref="H9:J9" si="1">1-C9/C10</f>
        <v>0.42053571428571457</v>
      </c>
      <c r="I9" s="214">
        <f t="shared" si="1"/>
        <v>0.44181868435599858</v>
      </c>
      <c r="J9" s="214">
        <f t="shared" si="1"/>
        <v>0.53145208700764435</v>
      </c>
    </row>
    <row r="10" spans="1:26">
      <c r="A10" s="43" t="s">
        <v>132</v>
      </c>
      <c r="B10" s="55">
        <f>('1850'!K27-'1850'!J27)*3.6</f>
        <v>4.9680000000000009</v>
      </c>
      <c r="C10" s="54">
        <f>('1851'!L27-'1851'!K27)*3.6</f>
        <v>10.08</v>
      </c>
      <c r="D10" s="54">
        <f>('1852'!K27-'1852'!J27)*3.6</f>
        <v>7.2360000000000007</v>
      </c>
      <c r="E10" s="54">
        <f>('1853'!K28-'1853'!J28)*3.6</f>
        <v>6.8040000000000003</v>
      </c>
    </row>
    <row r="11" spans="1:26">
      <c r="A11" s="198" t="s">
        <v>138</v>
      </c>
      <c r="B11" s="199"/>
      <c r="C11" s="199"/>
      <c r="D11" s="199"/>
      <c r="E11" s="200"/>
    </row>
    <row r="12" spans="1:26">
      <c r="A12" s="43" t="s">
        <v>134</v>
      </c>
      <c r="B12" s="46">
        <f>'1850'!K25-'1850'!J25</f>
        <v>275</v>
      </c>
      <c r="C12" s="46">
        <f>'1851'!L24-'1851'!K24</f>
        <v>304</v>
      </c>
      <c r="D12" s="46">
        <f>'1852'!K25-'1852'!J25</f>
        <v>236</v>
      </c>
      <c r="E12" s="46">
        <f>'1853'!K24-'1853'!J24</f>
        <v>220</v>
      </c>
    </row>
    <row r="13" spans="1:26">
      <c r="A13" s="47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</row>
    <row r="14" spans="1:26">
      <c r="A14" s="47" t="s">
        <v>135</v>
      </c>
      <c r="B14" s="48">
        <f>'1853'!K25-'1853'!J25</f>
        <v>299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</row>
    <row r="15" spans="1:26">
      <c r="A15" s="47" t="s">
        <v>136</v>
      </c>
      <c r="B15" s="49">
        <f>'1853'!K26-'1853'!J26</f>
        <v>18.158000000000015</v>
      </c>
      <c r="C15" s="49"/>
      <c r="D15" s="49"/>
      <c r="E15" s="49"/>
      <c r="F15" s="49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</row>
    <row r="16" spans="1:26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8" spans="1:10">
      <c r="A18" s="196" t="s">
        <v>125</v>
      </c>
      <c r="B18" s="197">
        <v>1854</v>
      </c>
      <c r="C18" s="197">
        <v>1855</v>
      </c>
      <c r="D18" s="197">
        <v>1856</v>
      </c>
      <c r="E18" s="197">
        <v>1857</v>
      </c>
    </row>
    <row r="19" spans="1:10">
      <c r="A19" s="43" t="s">
        <v>126</v>
      </c>
      <c r="B19" s="43">
        <f>'1854'!K4-'1854'!J4+'1854'!K6-'1854'!J6+'1854'!K8-'1854'!J8+'1854'!K10-'1854'!J10+'1854'!K12-'1854'!J12+'1854'!K14-'1854'!J14+'1854'!K16-'1854'!J16+'1854'!K18-'1854'!J18+'1854'!K20-'1854'!J20+'1854'!K22-'1854'!J22</f>
        <v>51.230999999999895</v>
      </c>
      <c r="C19" s="43">
        <f>'1855'!K4-'1855'!J4+'1855'!K6-'1855'!J6+'1855'!K8-'1855'!J8+'1855'!K10-'1855'!J10+'1855'!K12-'1855'!J12+'1855'!K14-'1855'!J14+'1855'!K16-'1855'!J16+'1855'!K18-'1855'!J18+'1855'!K20-'1855'!J20+'1855'!K22-'1855'!J22</f>
        <v>71.034000000000106</v>
      </c>
      <c r="D19" s="43">
        <f>'1856'!K4-'1856'!J4+'1856'!K6-'1856'!J6+'1856'!K8-'1856'!J8+'1856'!K10-'1856'!J10+'1856'!K12-'1856'!J12+'1856'!K14-'1856'!J14+'1856'!K16-'1856'!J16+'1856'!K18-'1856'!J18+'1856'!K20-'1856'!J20+'1856'!K22-'1856'!J22</f>
        <v>60.135999999999967</v>
      </c>
      <c r="E19" s="43">
        <f>'1857'!K4-'1857'!J4+'1857'!K6-'1857'!J6+'1857'!K8-'1857'!J8+'1857'!K10-'1857'!J10+'1857'!K12-'1857'!J12+'1857'!K14-'1857'!J14+'1857'!K16-'1857'!J16+'1857'!K18-'1857'!J18+'1857'!K20-'1857'!J20+'1857'!K22-'1857'!J22</f>
        <v>64.911999999999921</v>
      </c>
      <c r="G19" s="214">
        <f>1-B19/B20</f>
        <v>6.5127737226282401E-2</v>
      </c>
      <c r="H19" s="214">
        <f t="shared" ref="H19:J19" si="2">1-C19/C20</f>
        <v>7.5078125000000773E-2</v>
      </c>
      <c r="I19" s="214">
        <f t="shared" si="2"/>
        <v>6.4758942457234903E-2</v>
      </c>
      <c r="J19" s="214">
        <f t="shared" si="2"/>
        <v>7.6642958748225465E-2</v>
      </c>
    </row>
    <row r="20" spans="1:10">
      <c r="A20" s="43" t="s">
        <v>127</v>
      </c>
      <c r="B20" s="43">
        <f>'1854'!K26-'1854'!J26</f>
        <v>54.800000000000182</v>
      </c>
      <c r="C20" s="43">
        <f>'1855'!K26-'1855'!J26</f>
        <v>76.800000000000182</v>
      </c>
      <c r="D20" s="43">
        <f>'1856'!K26-'1856'!J26</f>
        <v>64.300000000000182</v>
      </c>
      <c r="E20" s="43">
        <f>'1857'!K26-'1857'!J26</f>
        <v>70.300000000000182</v>
      </c>
    </row>
    <row r="21" spans="1:10">
      <c r="A21" s="43" t="s">
        <v>128</v>
      </c>
      <c r="B21" s="281">
        <f>SUM(B20:E20)</f>
        <v>266.20000000000073</v>
      </c>
      <c r="C21" s="281"/>
      <c r="D21" s="281"/>
      <c r="E21" s="281"/>
      <c r="G21" s="214">
        <f>1-B21/B22</f>
        <v>-2.3452518262215394E-2</v>
      </c>
    </row>
    <row r="22" spans="1:10">
      <c r="A22" s="43" t="s">
        <v>129</v>
      </c>
      <c r="B22" s="281">
        <f>'1854'!K29-'1854'!J29</f>
        <v>260.09999999999854</v>
      </c>
      <c r="C22" s="281"/>
      <c r="D22" s="281"/>
      <c r="E22" s="281"/>
    </row>
    <row r="23" spans="1:10">
      <c r="A23" s="198" t="s">
        <v>130</v>
      </c>
      <c r="B23" s="199"/>
      <c r="C23" s="199"/>
      <c r="D23" s="199"/>
      <c r="E23" s="200"/>
    </row>
    <row r="24" spans="1:10">
      <c r="A24" s="43" t="s">
        <v>131</v>
      </c>
      <c r="B24" s="43">
        <f>'1854'!K5-'1854'!J5+'1854'!K7-'1854'!J7+'1854'!K9-'1854'!J9+'1854'!K11-'1854'!J11+'1854'!K13-'1854'!J13+'1854'!K15-'1854'!J15+'1854'!K17-'1854'!J17+'1854'!K19-'1854'!J19+'1854'!K21-'1854'!J21+'1854'!K23-'1854'!J23</f>
        <v>3.1889999999999974</v>
      </c>
      <c r="C24" s="43">
        <f>'1855'!K5-'1855'!J5+'1855'!K7-'1855'!J7+'1855'!K9-'1855'!J9+'1855'!K11-'1855'!J11+'1855'!K13-'1855'!J13+'1855'!K15-'1855'!J15+'1855'!K17-'1855'!J17+'1855'!K19-'1855'!J19+'1855'!K21-'1855'!J21+'1855'!K23-'1855'!J23</f>
        <v>4.0710000000000122</v>
      </c>
      <c r="D24" s="43">
        <f>'1856'!K5-'1856'!J5+'1856'!K7-'1856'!J7+'1856'!K9-'1856'!J9+'1856'!K11-'1856'!J11+'1856'!K13-'1856'!J13+'1856'!K15-'1856'!J15+'1856'!K17-'1856'!J17+'1856'!K19-'1856'!J19+'1856'!K21-'1856'!J21+'1856'!K23-'1856'!J23</f>
        <v>3.3349999999999866</v>
      </c>
      <c r="E24" s="43">
        <f>'1857'!K5-'1857'!J5+'1857'!K7-'1857'!J7+'1857'!K9-'1857'!J9+'1857'!K11-'1857'!J11+'1857'!K13-'1857'!J13+'1857'!K15-'1857'!J15+'1857'!K17-'1857'!J17+'1857'!K19-'1857'!J19+'1857'!K21-'1857'!J21+'1857'!K23-'1857'!J23</f>
        <v>3.1459999999999937</v>
      </c>
      <c r="G24" s="214">
        <f>1-B24/B25</f>
        <v>0.37174940898345055</v>
      </c>
      <c r="H24" s="214">
        <f t="shared" ref="H24:J24" si="3">1-C24/C25</f>
        <v>0.2560307017543888</v>
      </c>
      <c r="I24" s="214">
        <f t="shared" si="3"/>
        <v>0.26477072310405414</v>
      </c>
      <c r="J24" s="214">
        <f t="shared" si="3"/>
        <v>0.49192506459948382</v>
      </c>
    </row>
    <row r="25" spans="1:10">
      <c r="A25" s="43" t="s">
        <v>132</v>
      </c>
      <c r="B25" s="55">
        <f>('1854'!K27-'1854'!J27)*3.6</f>
        <v>5.0759999999999881</v>
      </c>
      <c r="C25" s="54">
        <f>('1855'!K27-'1855'!J27)*3.6</f>
        <v>5.4720000000000368</v>
      </c>
      <c r="D25" s="54">
        <f>('1856'!K27-'1856'!J27)*3.6</f>
        <v>4.5359999999999676</v>
      </c>
      <c r="E25" s="54">
        <f>('1857'!K27-'1857'!J27)*3.6</f>
        <v>6.1919999999999957</v>
      </c>
    </row>
    <row r="26" spans="1:10">
      <c r="A26" s="198" t="s">
        <v>138</v>
      </c>
      <c r="B26" s="199"/>
      <c r="C26" s="199"/>
      <c r="D26" s="199"/>
      <c r="E26" s="200"/>
    </row>
    <row r="27" spans="1:10">
      <c r="A27" s="43" t="s">
        <v>134</v>
      </c>
      <c r="B27" s="46">
        <f>'1854'!K25-'1854'!J25</f>
        <v>320</v>
      </c>
      <c r="C27" s="46">
        <f>'1855'!K25-'1855'!J25</f>
        <v>276</v>
      </c>
      <c r="D27" s="46">
        <f>'1856'!K25-'1856'!J25</f>
        <v>241</v>
      </c>
      <c r="E27" s="46">
        <f>'1857'!K25-'1857'!J25</f>
        <v>319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2:B65536 C1:E5 C8:E20 C23:E65536 F1:R2 F13:L17 F28:R65536 M13:P13 M16:R17">
    <cfRule type="cellIs" dxfId="627" priority="3" stopIfTrue="1" operator="lessThan">
      <formula>0</formula>
    </cfRule>
  </conditionalFormatting>
  <conditionalFormatting sqref="B1">
    <cfRule type="cellIs" dxfId="626" priority="4" stopIfTrue="1" operator="lessThan">
      <formula>0</formula>
    </cfRule>
  </conditionalFormatting>
  <conditionalFormatting sqref="G1:J2 G13:J17 G28:J65536">
    <cfRule type="cellIs" dxfId="625" priority="2" stopIfTrue="1" operator="lessThan">
      <formula>0</formula>
    </cfRule>
  </conditionalFormatting>
  <conditionalFormatting sqref="G1:J2 G13:H17 G28:J65536 I13:J13 I16:J17">
    <cfRule type="cellIs" dxfId="624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27"/>
  <sheetViews>
    <sheetView workbookViewId="0">
      <selection activeCell="M15" sqref="M15"/>
    </sheetView>
  </sheetViews>
  <sheetFormatPr defaultColWidth="9" defaultRowHeight="18"/>
  <cols>
    <col min="1" max="1" width="35" style="40" customWidth="1"/>
    <col min="2" max="21" width="11.42578125" style="40" customWidth="1"/>
    <col min="22" max="29" width="9.85546875" style="40" customWidth="1"/>
    <col min="30" max="33" width="6.42578125" style="40" customWidth="1"/>
    <col min="34" max="16384" width="9" style="40"/>
  </cols>
  <sheetData>
    <row r="1" spans="1:29">
      <c r="A1" s="41" t="s">
        <v>145</v>
      </c>
      <c r="B1" s="42">
        <f>'S1'!B1</f>
        <v>2019</v>
      </c>
    </row>
    <row r="3" spans="1:29">
      <c r="A3" s="198" t="s">
        <v>125</v>
      </c>
      <c r="B3" s="197">
        <v>1850</v>
      </c>
      <c r="C3" s="197">
        <v>1851</v>
      </c>
      <c r="D3" s="197">
        <v>1852</v>
      </c>
      <c r="E3" s="197">
        <v>1853</v>
      </c>
    </row>
    <row r="4" spans="1:29">
      <c r="A4" s="50" t="s">
        <v>126</v>
      </c>
      <c r="B4" s="43">
        <f>'1850'!L4-'1850'!K4+'1850'!L6-'1850'!K6+'1850'!L8-'1850'!K8+'1850'!L10-'1850'!K10+'1850'!L12-'1850'!K12+'1850'!L14-'1850'!K14+'1850'!L16-'1850'!K16+'1850'!L18-'1850'!K18+'1850'!L20-'1850'!K20+'1850'!L22-'1850'!K22</f>
        <v>53.081000000000131</v>
      </c>
      <c r="C4" s="43">
        <f>'1851'!M4-'1851'!L4+'1851'!M6-'1851'!L6+'1851'!M8-'1851'!L8+'1851'!M10-'1851'!L10+'1851'!M12-'1851'!L12+'1851'!M14-'1851'!L14+'1851'!M16-'1851'!L16+'1851'!M18-'1851'!L18+'1851'!M20-'1851'!L20+'1851'!M22-'1851'!L22+'1851'!M33-'1851'!L33+'1851'!M34-'1851'!L34+'1851'!M35-'1851'!L35+'1851'!M36-'1851'!L36+'1851'!M37-'1851'!L37+'1851'!M40-'1851'!L40+'1851'!M41-'1851'!L41+'1851'!M42-'1851'!L42+'1851'!M43-'1851'!L43+'1851'!M44-'1851'!L44+'1851'!M45-'1851'!L45+'1851'!M46-'1851'!L46+'1851'!M47-'1851'!L47+'1851'!M48-'1851'!L48+'1851'!M49-'1851'!L49</f>
        <v>93.498999999999995</v>
      </c>
      <c r="D4" s="43">
        <f>'1852'!L4-'1852'!K4+'1852'!L6-'1852'!K6+'1852'!L8-'1852'!K8+'1852'!L10-'1852'!K10+'1852'!L12-'1852'!K12+'1852'!L14-'1852'!K14+'1852'!L16-'1852'!K16+'1852'!L18-'1852'!K18+'1852'!L20-'1852'!K20+'1852'!L22-'1852'!K22</f>
        <v>54.006999999999977</v>
      </c>
      <c r="E4" s="43">
        <f>'1853'!L4-'1853'!K4+'1853'!L6-'1853'!K6+'1853'!L8-'1853'!K8+'1853'!L10-'1853'!K10+'1853'!L12-'1853'!K12+'1853'!L14-'1853'!K14+'1853'!L16-'1853'!K16+'1853'!L18-'1853'!K18+'1853'!L20-'1853'!K20+'1853'!L22-'1853'!K22+'1853'!L26-'1853'!K26</f>
        <v>72.898000000000138</v>
      </c>
      <c r="G4" s="214">
        <f>1-B4/B5</f>
        <v>7.0385288966721249E-2</v>
      </c>
      <c r="H4" s="214">
        <f t="shared" ref="H4:J4" si="0">1-C4/C5</f>
        <v>6.8735059760952844E-2</v>
      </c>
      <c r="I4" s="214">
        <f t="shared" si="0"/>
        <v>0.24571229050279264</v>
      </c>
      <c r="J4" s="214">
        <f t="shared" si="0"/>
        <v>4.9569752281618307E-2</v>
      </c>
    </row>
    <row r="5" spans="1:29">
      <c r="A5" s="50" t="s">
        <v>127</v>
      </c>
      <c r="B5" s="43">
        <f>'1850'!L26-'1850'!K26</f>
        <v>57.099999999999909</v>
      </c>
      <c r="C5" s="43">
        <f>'1851'!M26-'1851'!L26</f>
        <v>100.39999999999964</v>
      </c>
      <c r="D5" s="43">
        <f>'1852'!L26-'1852'!K26</f>
        <v>71.599999999999909</v>
      </c>
      <c r="E5" s="43">
        <f>'1853'!L27-'1853'!K27</f>
        <v>76.700000000000273</v>
      </c>
    </row>
    <row r="6" spans="1:29">
      <c r="A6" s="50" t="s">
        <v>128</v>
      </c>
      <c r="B6" s="281">
        <f>SUM(B5:E5)</f>
        <v>305.79999999999973</v>
      </c>
      <c r="C6" s="281"/>
      <c r="D6" s="281"/>
      <c r="E6" s="281"/>
      <c r="G6" s="214">
        <f>1-B6/B7</f>
        <v>-4.9776862341227357E-2</v>
      </c>
    </row>
    <row r="7" spans="1:29">
      <c r="A7" s="50" t="s">
        <v>129</v>
      </c>
      <c r="B7" s="281">
        <f>'1850'!L29-'1850'!K29</f>
        <v>291.30000000000018</v>
      </c>
      <c r="C7" s="281"/>
      <c r="D7" s="281"/>
      <c r="E7" s="281"/>
    </row>
    <row r="8" spans="1:29">
      <c r="A8" s="198" t="s">
        <v>130</v>
      </c>
      <c r="B8" s="199"/>
      <c r="C8" s="199"/>
      <c r="D8" s="199"/>
      <c r="E8" s="200"/>
    </row>
    <row r="9" spans="1:29">
      <c r="A9" s="43" t="s">
        <v>131</v>
      </c>
      <c r="B9" s="43">
        <f>'1850'!L5-'1850'!K5+'1850'!L7-'1850'!K7+'1850'!L9-'1850'!K9+'1850'!L11-'1850'!K11+'1850'!L13-'1850'!K13+'1850'!L15-'1850'!K15+'1850'!L17-'1850'!K17+'1850'!L19-'1850'!K19+'1850'!L21-'1850'!K21+'1850'!L23-'1850'!K23</f>
        <v>3.1210000000000022</v>
      </c>
      <c r="C9" s="43">
        <f>'1851'!M5-'1851'!L5+'1851'!M7-'1851'!L7+'1851'!M9-'1851'!L9+'1851'!M11-'1851'!L11+'1851'!M13-'1851'!L13+'1851'!M15-'1851'!L15+'1851'!M17-'1851'!L17+'1851'!M19-'1851'!L19+'1851'!M21-'1851'!L21+'1851'!M23-'1851'!L23</f>
        <v>-28.349000000000014</v>
      </c>
      <c r="D9" s="54">
        <f>'1852'!L5-'1852'!K5+'1852'!L7-'1852'!K7+'1852'!L9-'1852'!K9+'1852'!L11-'1852'!K11+'1852'!L13-'1852'!K13+'1852'!L15-'1852'!K15+'1852'!L17-'1852'!K17+'1852'!L19-'1852'!K19+'1852'!L21-'1852'!K21+'1852'!L23-'1852'!K23</f>
        <v>6.8890000000000065</v>
      </c>
      <c r="E9" s="54">
        <f>'1853'!L5-'1853'!K5+'1853'!L7-'1853'!K7+'1853'!L9-'1853'!K9+'1853'!L11-'1853'!K11+'1853'!L13-'1853'!K13+'1853'!L15-'1853'!K15+'1853'!L17-'1853'!K17+'1853'!L19-'1853'!K19+'1853'!L21-'1853'!K21+'1853'!L23-'1853'!K23</f>
        <v>3.5989999999999966</v>
      </c>
      <c r="F9" s="147"/>
      <c r="G9" s="214">
        <f>1-B9/B10</f>
        <v>0.42586460632818202</v>
      </c>
      <c r="H9" s="214">
        <f t="shared" ref="H9:J9" si="1">1-C9/C10</f>
        <v>3.3647814481147824</v>
      </c>
      <c r="I9" s="214">
        <f t="shared" si="1"/>
        <v>0.30666264090177064</v>
      </c>
      <c r="J9" s="214">
        <f t="shared" si="1"/>
        <v>0.48732193732193785</v>
      </c>
    </row>
    <row r="10" spans="1:29">
      <c r="A10" s="43" t="s">
        <v>132</v>
      </c>
      <c r="B10" s="45">
        <f>('1850'!L27-'1850'!K27)*3.6</f>
        <v>5.4359999999999991</v>
      </c>
      <c r="C10" s="43">
        <f>('1851'!M27-'1851'!L27)*3.6</f>
        <v>11.988000000000001</v>
      </c>
      <c r="D10" s="43">
        <f>('1852'!L27-'1852'!K27)*3.6</f>
        <v>9.9359999999999999</v>
      </c>
      <c r="E10" s="43">
        <f>('1853'!L28-'1853'!K28)*3.6</f>
        <v>7.0200000000000005</v>
      </c>
    </row>
    <row r="11" spans="1:29">
      <c r="A11" s="198" t="s">
        <v>138</v>
      </c>
      <c r="B11" s="199"/>
      <c r="C11" s="199"/>
      <c r="D11" s="199"/>
      <c r="E11" s="200"/>
    </row>
    <row r="12" spans="1:29">
      <c r="A12" s="43" t="s">
        <v>134</v>
      </c>
      <c r="B12" s="46">
        <f>'1850'!L25-'1850'!K25</f>
        <v>296</v>
      </c>
      <c r="C12" s="46">
        <f>'1851'!M24-'1851'!L24</f>
        <v>268</v>
      </c>
      <c r="D12" s="46">
        <f>'1852'!L25-'1852'!K25</f>
        <v>222</v>
      </c>
      <c r="E12" s="46">
        <f>'1853'!L24-'1853'!K24</f>
        <v>237</v>
      </c>
    </row>
    <row r="13" spans="1:29">
      <c r="A13" s="47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</row>
    <row r="14" spans="1:29">
      <c r="A14" s="47" t="s">
        <v>135</v>
      </c>
      <c r="B14" s="48">
        <f>'1853'!L25-'1853'!K25</f>
        <v>320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</row>
    <row r="15" spans="1:29">
      <c r="A15" s="47" t="s">
        <v>136</v>
      </c>
      <c r="B15" s="49">
        <f>'1853'!L26-'1853'!K26</f>
        <v>9.4990000000000236</v>
      </c>
      <c r="C15" s="49"/>
      <c r="D15" s="49"/>
      <c r="E15" s="49"/>
      <c r="F15" s="49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</row>
    <row r="16" spans="1:29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8" spans="1:10">
      <c r="A18" s="196" t="s">
        <v>125</v>
      </c>
      <c r="B18" s="197">
        <v>1854</v>
      </c>
      <c r="C18" s="197">
        <v>1855</v>
      </c>
      <c r="D18" s="197">
        <v>1856</v>
      </c>
      <c r="E18" s="197">
        <v>1857</v>
      </c>
    </row>
    <row r="19" spans="1:10">
      <c r="A19" s="43" t="s">
        <v>126</v>
      </c>
      <c r="B19" s="43">
        <f>'1854'!L4-'1854'!K4+'1854'!L6-'1854'!K6+'1854'!L8-'1854'!K8+'1854'!L10-'1854'!K10+'1854'!L12-'1854'!K12+'1854'!L14-'1854'!K14+'1854'!L16-'1854'!K16+'1854'!L18-'1854'!K18+'1854'!L20-'1854'!K20+'1854'!L22-'1854'!K22</f>
        <v>55.694999999999986</v>
      </c>
      <c r="C19" s="43">
        <f>'1855'!L4-'1855'!K4+'1855'!L6-'1855'!K6+'1855'!L8-'1855'!K8+'1855'!L10-'1855'!K10+'1855'!L12-'1855'!K12+'1855'!L14-'1855'!K14+'1855'!L16-'1855'!K16+'1855'!L18-'1855'!K18+'1855'!L20-'1855'!K20+'1855'!L22-'1855'!K22</f>
        <v>72.402000000000044</v>
      </c>
      <c r="D19" s="43">
        <f>'1856'!L4-'1856'!K4+'1856'!L6-'1856'!K6+'1856'!L8-'1856'!K8+'1856'!L10-'1856'!K10+'1856'!L12-'1856'!K12+'1856'!L14-'1856'!K14+'1856'!L16-'1856'!K16+'1856'!L18-'1856'!K18+'1856'!L20-'1856'!K20+'1856'!L22-'1856'!K22</f>
        <v>66.485999999999933</v>
      </c>
      <c r="E19" s="43">
        <f>'1857'!L4-'1857'!K4+'1857'!L6-'1857'!K6+'1857'!L8-'1857'!K8+'1857'!L10-'1857'!K10+'1857'!L12-'1857'!K12+'1857'!L14-'1857'!K14+'1857'!L16-'1857'!K16+'1857'!L18-'1857'!K18+'1857'!L20-'1857'!K20+'1857'!L22-'1857'!K22</f>
        <v>74.592000000000098</v>
      </c>
      <c r="G19" s="214">
        <f>1-B19/B20</f>
        <v>7.3294509151413112E-2</v>
      </c>
      <c r="H19" s="214">
        <f t="shared" ref="H19:J19" si="2">1-C19/C20</f>
        <v>7.7681528662419841E-2</v>
      </c>
      <c r="I19" s="214">
        <f t="shared" si="2"/>
        <v>6.0932203389827855E-2</v>
      </c>
      <c r="J19" s="214">
        <f t="shared" si="2"/>
        <v>7.5687732342004099E-2</v>
      </c>
    </row>
    <row r="20" spans="1:10">
      <c r="A20" s="43" t="s">
        <v>127</v>
      </c>
      <c r="B20" s="43">
        <f>'1854'!L26-'1854'!K26</f>
        <v>60.099999999999909</v>
      </c>
      <c r="C20" s="43">
        <f>'1855'!L26-'1855'!K26</f>
        <v>78.5</v>
      </c>
      <c r="D20" s="43">
        <f>'1856'!L26-'1856'!K26</f>
        <v>70.799999999999727</v>
      </c>
      <c r="E20" s="43">
        <f>'1857'!L26-'1857'!K26</f>
        <v>80.699999999999818</v>
      </c>
    </row>
    <row r="21" spans="1:10">
      <c r="A21" s="43" t="s">
        <v>128</v>
      </c>
      <c r="B21" s="281">
        <f>SUM(B20:E20)</f>
        <v>290.09999999999945</v>
      </c>
      <c r="C21" s="281"/>
      <c r="D21" s="281"/>
      <c r="E21" s="281"/>
      <c r="G21" s="214">
        <f>1-B21/B22</f>
        <v>-0.10979342004589832</v>
      </c>
    </row>
    <row r="22" spans="1:10">
      <c r="A22" s="43" t="s">
        <v>129</v>
      </c>
      <c r="B22" s="281">
        <f>'1854'!L29-'1854'!K29</f>
        <v>261.40000000000146</v>
      </c>
      <c r="C22" s="281"/>
      <c r="D22" s="281"/>
      <c r="E22" s="281"/>
    </row>
    <row r="23" spans="1:10">
      <c r="A23" s="198" t="s">
        <v>130</v>
      </c>
      <c r="B23" s="199"/>
      <c r="C23" s="199"/>
      <c r="D23" s="199"/>
      <c r="E23" s="200"/>
    </row>
    <row r="24" spans="1:10">
      <c r="A24" s="43" t="s">
        <v>131</v>
      </c>
      <c r="B24" s="54">
        <f>'1854'!L5-'1854'!K5+'1854'!L7-'1854'!K7+'1854'!L9-'1854'!K9+'1854'!L11-'1854'!K11+'1854'!L13-'1854'!K13+'1854'!L15-'1854'!K15+'1854'!L17-'1854'!K17+'1854'!L19-'1854'!K19+'1854'!L21-'1854'!K21+'1854'!L23-'1854'!K23</f>
        <v>4.6960000000000015</v>
      </c>
      <c r="C24" s="43">
        <f>'1855'!L5-'1855'!K5+'1855'!L7-'1855'!K7+'1855'!L9-'1855'!K9+'1855'!L11-'1855'!K11+'1855'!L13-'1855'!K13+'1855'!L15-'1855'!K15+'1855'!L17-'1855'!K17+'1855'!L19-'1855'!K19+'1855'!L21-'1855'!K21+'1855'!L23-'1855'!K23</f>
        <v>6.9339999999999833</v>
      </c>
      <c r="D24" s="43">
        <f>'1856'!L5-'1856'!K5+'1856'!L7-'1856'!K7+'1856'!L9-'1856'!K9+'1856'!L11-'1856'!K11+'1856'!L13-'1856'!K13+'1856'!L15-'1856'!K15+'1856'!L17-'1856'!K17+'1856'!L19-'1856'!K19+'1856'!L21-'1856'!K21+'1856'!L23-'1856'!K23</f>
        <v>4.0839999999999961</v>
      </c>
      <c r="E24" s="43">
        <f>'1857'!L5-'1857'!K5+'1857'!L7-'1857'!K7+'1857'!L9-'1857'!K9+'1857'!L11-'1857'!K11+'1857'!L13-'1857'!K13+'1857'!L15-'1857'!K15+'1857'!L17-'1857'!K17+'1857'!L19-'1857'!K19+'1857'!L21-'1857'!K21+'1857'!L23-'1857'!K23</f>
        <v>4.4780000000000015</v>
      </c>
      <c r="G24" s="214">
        <f>1-B24/B25</f>
        <v>0.25883838383837976</v>
      </c>
      <c r="H24" s="214">
        <f t="shared" ref="H24:J24" si="3">1-C24/C25</f>
        <v>0.24761284722222465</v>
      </c>
      <c r="I24" s="214">
        <f t="shared" si="3"/>
        <v>0.24370370370370453</v>
      </c>
      <c r="J24" s="214">
        <f t="shared" si="3"/>
        <v>0.38724685276409432</v>
      </c>
    </row>
    <row r="25" spans="1:10">
      <c r="A25" s="43" t="s">
        <v>132</v>
      </c>
      <c r="B25" s="43">
        <f>('1854'!L27-'1854'!K27)*3.6</f>
        <v>6.3359999999999674</v>
      </c>
      <c r="C25" s="43">
        <f>('1855'!L27-'1855'!K27)*3.6</f>
        <v>9.2160000000000082</v>
      </c>
      <c r="D25" s="43">
        <f>('1856'!L27-'1856'!K27)*3.6</f>
        <v>5.4</v>
      </c>
      <c r="E25" s="43">
        <f>('1857'!L27-'1857'!K27)*3.6</f>
        <v>7.3080000000000043</v>
      </c>
    </row>
    <row r="26" spans="1:10">
      <c r="A26" s="198" t="s">
        <v>138</v>
      </c>
      <c r="B26" s="199"/>
      <c r="C26" s="199"/>
      <c r="D26" s="199"/>
      <c r="E26" s="200"/>
    </row>
    <row r="27" spans="1:10">
      <c r="A27" s="43" t="s">
        <v>134</v>
      </c>
      <c r="B27" s="46">
        <f>'1854'!L25-'1854'!K25</f>
        <v>263</v>
      </c>
      <c r="C27" s="46">
        <f>'1855'!L25-'1855'!K25</f>
        <v>235</v>
      </c>
      <c r="D27" s="46">
        <f>'1856'!L25-'1856'!K25</f>
        <v>209</v>
      </c>
      <c r="E27" s="46">
        <f>'1857'!L25-'1857'!K25</f>
        <v>264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2:B65536 C1:E5 C8:E20 C23:E65536 F1:U2 F13:N17 F28:U65536 O13:R13 O16:U17">
    <cfRule type="cellIs" dxfId="623" priority="5" stopIfTrue="1" operator="lessThan">
      <formula>0</formula>
    </cfRule>
  </conditionalFormatting>
  <conditionalFormatting sqref="B1">
    <cfRule type="cellIs" dxfId="622" priority="4" stopIfTrue="1" operator="lessThan">
      <formula>0</formula>
    </cfRule>
  </conditionalFormatting>
  <conditionalFormatting sqref="G1:J2 G13:J17 G28:J65536">
    <cfRule type="cellIs" dxfId="621" priority="3" stopIfTrue="1" operator="lessThan">
      <formula>0</formula>
    </cfRule>
  </conditionalFormatting>
  <conditionalFormatting sqref="G1:J2 G13:J17 G28:J65536">
    <cfRule type="cellIs" dxfId="620" priority="2" stopIfTrue="1" operator="lessThan">
      <formula>0</formula>
    </cfRule>
  </conditionalFormatting>
  <conditionalFormatting sqref="G1:J2 G13:H17 G28:J65536 I13:J13 I16:J17">
    <cfRule type="cellIs" dxfId="619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27"/>
  <sheetViews>
    <sheetView workbookViewId="0">
      <selection activeCell="N15" sqref="N15"/>
    </sheetView>
  </sheetViews>
  <sheetFormatPr defaultColWidth="9" defaultRowHeight="18"/>
  <cols>
    <col min="1" max="1" width="35" style="40" customWidth="1"/>
    <col min="2" max="21" width="11.42578125" style="40" customWidth="1"/>
    <col min="22" max="29" width="9.85546875" style="40" customWidth="1"/>
    <col min="30" max="33" width="6.42578125" style="40" customWidth="1"/>
    <col min="34" max="16384" width="9" style="40"/>
  </cols>
  <sheetData>
    <row r="1" spans="1:29">
      <c r="A1" s="41" t="s">
        <v>146</v>
      </c>
      <c r="B1" s="42">
        <f>'S1'!B1</f>
        <v>2019</v>
      </c>
      <c r="C1" s="42"/>
    </row>
    <row r="3" spans="1:29">
      <c r="A3" s="198" t="s">
        <v>125</v>
      </c>
      <c r="B3" s="197">
        <v>1850</v>
      </c>
      <c r="C3" s="197">
        <v>1851</v>
      </c>
      <c r="D3" s="197">
        <v>1852</v>
      </c>
      <c r="E3" s="197">
        <v>1853</v>
      </c>
      <c r="G3" s="244" t="s">
        <v>324</v>
      </c>
      <c r="H3" s="244"/>
      <c r="I3" s="244"/>
    </row>
    <row r="4" spans="1:29">
      <c r="A4" s="50" t="s">
        <v>126</v>
      </c>
      <c r="B4" s="43">
        <f>'1850'!N4-'1850'!M4+'1850'!N6-'1850'!M6+'1850'!N8-'1850'!M8+'1850'!N10-'1850'!M10+'1850'!N12-'1850'!M12+'1850'!N14-'1850'!M14+'1850'!N16-'1850'!M16+'1850'!N18-'1850'!M18+'1850'!N20-'1850'!M20+'1850'!N22-'1850'!M22</f>
        <v>45.700999999999993</v>
      </c>
      <c r="C4" s="43">
        <f>'1851'!O4-'1851'!N4+'1851'!O6-'1851'!N6+'1851'!O8-'1851'!N8+'1851'!O10-'1851'!N10+'1851'!O12-'1851'!N12+'1851'!O14-'1851'!N14+'1851'!O16-'1851'!N16+'1851'!O18-'1851'!N18+'1851'!O20-'1851'!N20+'1851'!O22-'1851'!N22+'1851'!O33-'1851'!N33+'1851'!O34-'1851'!N34+'1851'!O35-'1851'!N35+'1851'!O36-'1851'!N36+'1851'!O37-'1851'!N37+'1851'!O40-'1851'!N40+'1851'!O41-'1851'!N41+'1851'!O42-'1851'!N42+'1851'!O43-'1851'!N43+'1851'!O44-'1851'!N44+'1851'!O45-'1851'!N45+'1851'!O46-'1851'!N46+'1851'!O47-'1851'!N47+'1851'!O48-'1851'!N48+'1851'!O49-'1851'!N49</f>
        <v>72.858999999999966</v>
      </c>
      <c r="D4" s="43">
        <f>'1852'!N4-'1852'!M4+'1852'!N6-'1852'!M6+'1852'!N8-'1852'!M8+'1852'!N10-'1852'!M10+'1852'!N12-'1852'!M12+'1852'!N14-'1852'!M14+'1852'!N16-'1852'!M16+'1852'!N18-'1852'!M18+'1852'!N20-'1852'!M20+'1852'!N22-'1852'!M22</f>
        <v>58.173000000000002</v>
      </c>
      <c r="E4" s="43">
        <f>'1853'!N4-'1853'!M4+'1853'!N6-'1853'!M6+'1853'!N8-'1853'!M8+'1853'!N10-'1853'!M10+'1853'!N12-'1853'!M12+'1853'!N14-'1853'!M14+'1853'!N16-'1853'!M16+'1853'!N18-'1853'!M18+'1853'!N20-'1853'!M20+'1853'!N22-'1853'!M22+'1853'!N26-'1853'!L26</f>
        <v>66.27800000000002</v>
      </c>
      <c r="G4" s="241">
        <f>1-B4/B5</f>
        <v>0.15368518518518526</v>
      </c>
      <c r="H4" s="241">
        <f t="shared" ref="H4:J4" si="0">1-C4/C5</f>
        <v>0.11578883495145675</v>
      </c>
      <c r="I4" s="241">
        <f t="shared" si="0"/>
        <v>0.13174626865671635</v>
      </c>
      <c r="J4" s="214">
        <f t="shared" si="0"/>
        <v>7.5620641562063939E-2</v>
      </c>
    </row>
    <row r="5" spans="1:29">
      <c r="A5" s="50" t="s">
        <v>127</v>
      </c>
      <c r="B5" s="43">
        <f>'1850'!N26-'1850'!M26</f>
        <v>54</v>
      </c>
      <c r="C5" s="43">
        <f>'1851'!O26-'1851'!N26</f>
        <v>82.4</v>
      </c>
      <c r="D5" s="43">
        <f>'1852'!N26-'1852'!M26</f>
        <v>67</v>
      </c>
      <c r="E5" s="43">
        <f>'1853'!N27-'1853'!M27</f>
        <v>71.7</v>
      </c>
    </row>
    <row r="6" spans="1:29">
      <c r="A6" s="50" t="s">
        <v>128</v>
      </c>
      <c r="B6" s="281">
        <f>SUM(B5:E5)</f>
        <v>275.10000000000002</v>
      </c>
      <c r="C6" s="281"/>
      <c r="D6" s="281"/>
      <c r="E6" s="281"/>
      <c r="G6" s="214">
        <f>1-B6/B7</f>
        <v>0.13327032136105754</v>
      </c>
    </row>
    <row r="7" spans="1:29">
      <c r="A7" s="50" t="s">
        <v>129</v>
      </c>
      <c r="B7" s="281">
        <f>'1850'!N29-'1850'!L29</f>
        <v>317.39999999999964</v>
      </c>
      <c r="C7" s="281"/>
      <c r="D7" s="281"/>
      <c r="E7" s="281"/>
    </row>
    <row r="8" spans="1:29">
      <c r="A8" s="198" t="s">
        <v>130</v>
      </c>
      <c r="B8" s="199"/>
      <c r="C8" s="199"/>
      <c r="D8" s="199"/>
      <c r="E8" s="200"/>
    </row>
    <row r="9" spans="1:29">
      <c r="A9" s="43" t="s">
        <v>131</v>
      </c>
      <c r="B9" s="43">
        <f>'1850'!N5-'1850'!L5+'1850'!N7-'1850'!L7+'1850'!N9-'1850'!L9+'1850'!N11-'1850'!L11+'1850'!N13-'1850'!L13+'1850'!N15-'1850'!L15+'1850'!N17-'1850'!L17+'1850'!N19-'1850'!L19+'1850'!N21-'1850'!L21+'1850'!N23-'1850'!L23</f>
        <v>6.5629999999999953</v>
      </c>
      <c r="C9" s="43">
        <f>'1851'!O5-'1851'!M5+'1851'!O7-'1851'!M7+'1851'!O9-'1851'!M9+'1851'!O11-'1851'!M11+'1851'!O13-'1851'!M13+'1851'!O15-'1851'!M15+'1851'!O17-'1851'!M17+'1851'!O19-'1851'!M19+'1851'!O21-'1851'!M21+'1851'!O23-'1851'!M23</f>
        <v>50.31900000000001</v>
      </c>
      <c r="D9" s="54">
        <f>'1852'!N5-'1852'!L5+'1852'!N7-'1852'!L7+'1852'!N9-'1852'!L9+'1852'!N11-'1852'!L11+'1852'!N13-'1852'!L13+'1852'!N15-'1852'!L15+'1852'!N17-'1852'!L17+'1852'!N19-'1852'!L19+'1852'!N21-'1852'!L21+'1852'!N23-'1852'!L23</f>
        <v>12.545999999999999</v>
      </c>
      <c r="E9" s="54">
        <f>'1853'!N5-'1853'!L5+'1853'!N7-'1853'!L7+'1853'!N9-'1853'!L9+'1853'!N11-'1853'!L11+'1853'!N13-'1853'!L13+'1853'!N15-'1853'!L15+'1853'!N17-'1853'!L17+'1853'!N19-'1853'!L19+'1853'!N21-'1853'!L21+'1853'!N23-'1853'!L23</f>
        <v>8.7449999999999974</v>
      </c>
      <c r="F9" s="147"/>
      <c r="G9" s="214">
        <f>1-B9/B10</f>
        <v>0.31205450733752682</v>
      </c>
      <c r="H9" s="214">
        <f t="shared" ref="H9:J9" si="1">1-C9/C10</f>
        <v>-1.6372641509433965</v>
      </c>
      <c r="I9" s="214">
        <f t="shared" si="1"/>
        <v>0.16825775656324571</v>
      </c>
      <c r="J9" s="214">
        <f t="shared" si="1"/>
        <v>0.32523148148148184</v>
      </c>
    </row>
    <row r="10" spans="1:29">
      <c r="A10" s="43" t="s">
        <v>132</v>
      </c>
      <c r="B10" s="46">
        <f>('1850'!N27-'1850'!L27)*3.6</f>
        <v>9.5400000000000009</v>
      </c>
      <c r="C10" s="43">
        <f>('1851'!O27-'1851'!M27)*3.6</f>
        <v>19.080000000000002</v>
      </c>
      <c r="D10" s="43">
        <f>('1852'!N27-'1852'!L27)*3.6</f>
        <v>15.083999999999998</v>
      </c>
      <c r="E10" s="43">
        <f>('1853'!N28-'1853'!L28)*3.6</f>
        <v>12.960000000000003</v>
      </c>
    </row>
    <row r="11" spans="1:29">
      <c r="A11" s="198" t="s">
        <v>138</v>
      </c>
      <c r="B11" s="199"/>
      <c r="C11" s="199"/>
      <c r="D11" s="199"/>
      <c r="E11" s="200"/>
    </row>
    <row r="12" spans="1:29">
      <c r="A12" s="43" t="s">
        <v>134</v>
      </c>
      <c r="B12" s="46">
        <f>'1850'!N25-'1850'!L25</f>
        <v>262</v>
      </c>
      <c r="C12" s="46">
        <f>'1851'!O24-'1851'!M24</f>
        <v>309</v>
      </c>
      <c r="D12" s="46">
        <f>'1852'!N25-'1852'!L25</f>
        <v>242</v>
      </c>
      <c r="E12" s="46">
        <f>'1853'!N24-'1853'!L24</f>
        <v>368</v>
      </c>
    </row>
    <row r="13" spans="1:29">
      <c r="A13" s="47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</row>
    <row r="14" spans="1:29">
      <c r="A14" s="47" t="s">
        <v>135</v>
      </c>
      <c r="B14" s="48">
        <f>'1853'!N25-'1853'!L25</f>
        <v>418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</row>
    <row r="15" spans="1:29">
      <c r="A15" s="47" t="s">
        <v>136</v>
      </c>
      <c r="B15" s="49">
        <f>'1853'!N26-'1853'!L26</f>
        <v>1.8740000000000236</v>
      </c>
      <c r="C15" s="49"/>
      <c r="D15" s="49"/>
      <c r="E15" s="49"/>
      <c r="F15" s="49"/>
      <c r="G15" s="48"/>
      <c r="H15" s="48"/>
      <c r="I15" s="48"/>
      <c r="J15" s="48"/>
      <c r="K15" s="49"/>
      <c r="L15" s="48"/>
      <c r="M15" s="48"/>
      <c r="N15" s="48"/>
      <c r="O15" s="48"/>
      <c r="P15" s="48"/>
      <c r="Q15" s="48"/>
      <c r="R15" s="48"/>
      <c r="S15" s="48"/>
      <c r="T15" s="48"/>
      <c r="U15" s="48"/>
    </row>
    <row r="16" spans="1:29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8" spans="1:11">
      <c r="A18" s="196" t="s">
        <v>125</v>
      </c>
      <c r="B18" s="197">
        <v>1854</v>
      </c>
      <c r="C18" s="197">
        <v>1855</v>
      </c>
      <c r="D18" s="197">
        <v>1856</v>
      </c>
      <c r="E18" s="197">
        <v>1857</v>
      </c>
      <c r="G18" s="243" t="s">
        <v>323</v>
      </c>
      <c r="H18" s="243"/>
      <c r="I18" s="243"/>
      <c r="J18" s="243"/>
    </row>
    <row r="19" spans="1:11">
      <c r="A19" s="43" t="s">
        <v>126</v>
      </c>
      <c r="B19" s="43">
        <f>'1854'!N4-'1854'!M4+'1854'!N6-'1854'!M6+'1854'!N8-'1854'!M8+'1854'!N10-'1854'!M10+'1854'!N12-'1854'!M12+'1854'!N14-'1854'!M14+'1854'!N16-'1854'!M16+'1854'!N18-'1854'!M18+'1854'!N20-'1854'!M20+'1854'!N22-'1854'!M22</f>
        <v>43.260999999999996</v>
      </c>
      <c r="C19" s="43">
        <f>'1855'!N4-'1855'!M4+'1855'!N6-'1855'!M6+'1855'!N8-'1855'!M8+'1855'!N10-'1855'!M10+'1855'!N12-'1855'!M12+'1855'!N14-'1855'!M14+'1855'!N16-'1855'!M16+'1855'!N18-'1855'!M18+'1855'!N20-'1855'!M20+'1855'!N22-'1855'!M22</f>
        <v>34.129000000000005</v>
      </c>
      <c r="D19" s="43">
        <f>'1856'!N4-'1856'!M4+'1856'!N6-'1856'!M6+'1856'!N8-'1856'!M8+'1856'!N10-'1856'!M10+'1856'!N12-'1856'!M12+'1856'!N14-'1856'!M14+'1856'!N16-'1856'!M16+'1856'!N18-'1856'!M18+'1856'!N20-'1856'!M20+'1856'!N22-'1856'!M22</f>
        <v>48.023999999999994</v>
      </c>
      <c r="E19" s="43">
        <f>'1857'!N4-'1857'!M4+'1857'!N6-'1857'!M6+'1857'!N8-'1857'!M8+'1857'!N10-'1857'!M10+'1857'!N12-'1857'!M12+'1857'!N14-'1857'!M14+'1857'!N16-'1857'!M16+'1857'!N18-'1857'!M18+'1857'!N20-'1857'!M20+'1857'!N22-'1857'!M22</f>
        <v>29.890999999999998</v>
      </c>
      <c r="G19" s="242">
        <f>1-B19/B20</f>
        <v>0.19887037037037048</v>
      </c>
      <c r="H19" s="242">
        <f t="shared" ref="H19:J19" si="2">1-C19/C20</f>
        <v>0.52400278940027889</v>
      </c>
      <c r="I19" s="242">
        <f t="shared" si="2"/>
        <v>0.21785016286644965</v>
      </c>
      <c r="J19" s="242">
        <f t="shared" si="2"/>
        <v>0.5784062059238364</v>
      </c>
    </row>
    <row r="20" spans="1:11">
      <c r="A20" s="43" t="s">
        <v>127</v>
      </c>
      <c r="B20" s="43">
        <f>'1854'!N26-'1854'!M26</f>
        <v>54</v>
      </c>
      <c r="C20" s="43">
        <f>'1855'!N26-'1855'!M26</f>
        <v>71.7</v>
      </c>
      <c r="D20" s="43">
        <f>'1856'!N26-'1856'!M26</f>
        <v>61.4</v>
      </c>
      <c r="E20" s="43">
        <f>'1857'!N26-'1857'!M26</f>
        <v>70.900000000000006</v>
      </c>
    </row>
    <row r="21" spans="1:11">
      <c r="A21" s="43" t="s">
        <v>128</v>
      </c>
      <c r="B21" s="281">
        <f>SUM(B20:E20)</f>
        <v>258</v>
      </c>
      <c r="C21" s="281"/>
      <c r="D21" s="281"/>
      <c r="E21" s="281"/>
      <c r="G21" s="214">
        <f>1-B21/B22</f>
        <v>6.5217391304347783E-2</v>
      </c>
    </row>
    <row r="22" spans="1:11">
      <c r="A22" s="43" t="s">
        <v>129</v>
      </c>
      <c r="B22" s="281">
        <f>'1854'!N29-'1854'!L29</f>
        <v>276</v>
      </c>
      <c r="C22" s="281"/>
      <c r="D22" s="281"/>
      <c r="E22" s="281"/>
    </row>
    <row r="23" spans="1:11">
      <c r="A23" s="198" t="s">
        <v>130</v>
      </c>
      <c r="B23" s="199"/>
      <c r="C23" s="199"/>
      <c r="D23" s="199"/>
      <c r="E23" s="200"/>
      <c r="F23" s="147"/>
      <c r="K23" s="147"/>
    </row>
    <row r="24" spans="1:11">
      <c r="A24" s="43" t="s">
        <v>131</v>
      </c>
      <c r="B24" s="54">
        <f>'1854'!N5-'1854'!L5+'1854'!N7-'1854'!L7+'1854'!N9-'1854'!L9+'1854'!N11-'1854'!L11+'1854'!N13-'1854'!L13+'1854'!N15-'1854'!L15+'1854'!N17-'1854'!L17+'1854'!N19-'1854'!L19+'1854'!N21-'1854'!L21+'1854'!N23-'1854'!L23</f>
        <v>10.715000000000005</v>
      </c>
      <c r="C24" s="54">
        <f>'1855'!N5-'1855'!L5+'1855'!N7-'1855'!L7+'1855'!N9-'1855'!L9+'1855'!N11-'1855'!L11+'1855'!N13-'1855'!L13+'1855'!N15-'1855'!L15+'1855'!N17-'1855'!L17+'1855'!N19-'1855'!L19+'1855'!N21-'1855'!L21+'1855'!N23-'1855'!L23</f>
        <v>19.884000000000007</v>
      </c>
      <c r="D24" s="54">
        <f>'1856'!N5-'1856'!L5+'1856'!N7-'1856'!L7+'1856'!N9-'1856'!L9+'1856'!N11-'1856'!L11+'1856'!N13-'1856'!L13+'1856'!N15-'1856'!L15+'1856'!N17-'1856'!L17+'1856'!N19-'1856'!L19+'1856'!N21-'1856'!L21+'1856'!N23-'1856'!L23</f>
        <v>11.885000000000012</v>
      </c>
      <c r="E24" s="54">
        <f>'1857'!N5-'1857'!L5+'1857'!N7-'1857'!L7+'1857'!N9-'1857'!L9+'1857'!N11-'1857'!L11+'1857'!N13-'1857'!L13+'1857'!N15-'1857'!L15+'1857'!N17-'1857'!L17+'1857'!N19-'1857'!L19+'1857'!N21-'1857'!L21+'1857'!N23-'1857'!L23</f>
        <v>12.445000000000014</v>
      </c>
      <c r="F24" s="147"/>
      <c r="G24" s="214">
        <f>1-B24/B25</f>
        <v>0.16860645561763132</v>
      </c>
      <c r="H24" s="214">
        <f t="shared" ref="H24:J24" si="3">1-C24/C25</f>
        <v>0.20527577937649721</v>
      </c>
      <c r="I24" s="214">
        <f t="shared" si="3"/>
        <v>0.14026331018518512</v>
      </c>
      <c r="J24" s="214">
        <f t="shared" si="3"/>
        <v>0.17691798941798631</v>
      </c>
      <c r="K24" s="147"/>
    </row>
    <row r="25" spans="1:11">
      <c r="A25" s="43" t="s">
        <v>132</v>
      </c>
      <c r="B25" s="43">
        <f>('1854'!N27-'1854'!L27)*3.6</f>
        <v>12.888000000000046</v>
      </c>
      <c r="C25" s="43">
        <f>('1855'!N27-'1855'!L27)*3.6</f>
        <v>25.01999999999996</v>
      </c>
      <c r="D25" s="43">
        <f>('1856'!N27-'1856'!L27)*3.6</f>
        <v>13.824000000000012</v>
      </c>
      <c r="E25" s="43">
        <f>('1857'!N27-'1857'!L27)*3.6</f>
        <v>15.11999999999996</v>
      </c>
    </row>
    <row r="26" spans="1:11">
      <c r="A26" s="198" t="s">
        <v>138</v>
      </c>
      <c r="B26" s="199"/>
      <c r="C26" s="199"/>
      <c r="D26" s="199"/>
      <c r="E26" s="200"/>
    </row>
    <row r="27" spans="1:11">
      <c r="A27" s="43" t="s">
        <v>134</v>
      </c>
      <c r="B27" s="46">
        <f>'1854'!N25-'1854'!L25</f>
        <v>266</v>
      </c>
      <c r="C27" s="46">
        <f>'1855'!N25-'1855'!L25</f>
        <v>259</v>
      </c>
      <c r="D27" s="46">
        <f>'1856'!N25-'1856'!L25</f>
        <v>232</v>
      </c>
      <c r="E27" s="46">
        <f>'1857'!N25-'1857'!L25</f>
        <v>260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N13:Q13 N16:U17 B1:B1048576 C1:E5 C8:E20 C23:E65536 F1:U2 F28:U65536 F13:M17">
    <cfRule type="cellIs" dxfId="618" priority="7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27"/>
  <sheetViews>
    <sheetView workbookViewId="0">
      <selection activeCell="B4" sqref="B4"/>
    </sheetView>
  </sheetViews>
  <sheetFormatPr defaultColWidth="9" defaultRowHeight="18"/>
  <cols>
    <col min="1" max="1" width="35" style="40" customWidth="1"/>
    <col min="2" max="25" width="11.42578125" style="40" customWidth="1"/>
    <col min="26" max="33" width="9.85546875" style="40" customWidth="1"/>
    <col min="34" max="37" width="6.42578125" style="40" customWidth="1"/>
    <col min="38" max="16384" width="9" style="40"/>
  </cols>
  <sheetData>
    <row r="1" spans="1:33">
      <c r="A1" s="41" t="s">
        <v>147</v>
      </c>
      <c r="B1" s="42">
        <f>'S1'!B1</f>
        <v>2019</v>
      </c>
      <c r="C1" s="42"/>
      <c r="D1" s="42"/>
      <c r="E1" s="42"/>
    </row>
    <row r="3" spans="1:33">
      <c r="A3" s="198" t="s">
        <v>125</v>
      </c>
      <c r="B3" s="197">
        <v>1850</v>
      </c>
      <c r="C3" s="197">
        <v>1851</v>
      </c>
      <c r="D3" s="197">
        <v>1852</v>
      </c>
      <c r="E3" s="197">
        <v>1853</v>
      </c>
      <c r="G3" s="252" t="s">
        <v>341</v>
      </c>
      <c r="H3" s="244" t="s">
        <v>340</v>
      </c>
      <c r="I3" s="244"/>
    </row>
    <row r="4" spans="1:33">
      <c r="A4" s="50" t="s">
        <v>126</v>
      </c>
      <c r="B4" s="43">
        <f>'1850'!O4-'1850'!N4+'1850'!O6-'1850'!N6+'1850'!O8-'1850'!N8+'1850'!O10-'1850'!N10+'1850'!O12-'1850'!N12+'1850'!O14-'1850'!N14+'1850'!O16-'1850'!N16+'1850'!O18-'1850'!N18+'1850'!O20-'1850'!N20+'1850'!O22-'1850'!N22</f>
        <v>45.605999999999995</v>
      </c>
      <c r="C4" s="43">
        <f>'1851'!P4-'1851'!O4+'1851'!P6-'1851'!O6+'1851'!P8-'1851'!O8+'1851'!P10-'1851'!O10+'1851'!P12-'1851'!O12+'1851'!P14-'1851'!O14+'1851'!P16-'1851'!O16+'1851'!P18-'1851'!O18+'1851'!P20-'1851'!O20+'1851'!P22-'1851'!O22+'1851'!P33-'1851'!O33+'1851'!P34-'1851'!O34+'1851'!P35-'1851'!O35+'1851'!P36-'1851'!O36+'1851'!P37-'1851'!O37+'1851'!P40-'1851'!O40+'1851'!P41-'1851'!O41+'1851'!P42-'1851'!O42+'1851'!P43-'1851'!O43+'1851'!P44-'1851'!O44+'1851'!P45-'1851'!O45+'1851'!P46-'1851'!O46+'1851'!P47-'1851'!O47+'1851'!P48-'1851'!O48+'1851'!P49-'1851'!O49</f>
        <v>75.703999999999979</v>
      </c>
      <c r="D4" s="43">
        <f>'1852'!O4-'1852'!N4+'1852'!O6-'1852'!N6+'1852'!O8-'1852'!N8+'1852'!O10-'1852'!N10+'1852'!O12-'1852'!N12+'1852'!O14-'1852'!N14+'1852'!O16-'1852'!N16+'1852'!O18-'1852'!N18+'1852'!O20-'1852'!N20+'1852'!O22-'1852'!N22</f>
        <v>57.61699999999999</v>
      </c>
      <c r="E4" s="43">
        <f>'1853'!O4-'1853'!N4+'1853'!O6-'1853'!N6+'1853'!O8-'1853'!N8+'1853'!O10-'1853'!N10+'1853'!O12-'1853'!N12+'1853'!O14-'1853'!N14+'1853'!O16-'1853'!N16+'1853'!O18-'1853'!N18+'1853'!O20-'1853'!N20+'1853'!O22-'1853'!N22+'1853'!O26-'1853'!N26</f>
        <v>71.847999999999956</v>
      </c>
      <c r="G4" s="242">
        <f>1-B4/B5</f>
        <v>0.24116472545757073</v>
      </c>
      <c r="H4" s="241">
        <f t="shared" ref="H4:J4" si="0">1-C4/C5</f>
        <v>0.14843644544431978</v>
      </c>
      <c r="I4" s="241">
        <f t="shared" si="0"/>
        <v>0.16254360465116302</v>
      </c>
      <c r="J4" s="214">
        <f t="shared" si="0"/>
        <v>7.6503856041131635E-2</v>
      </c>
    </row>
    <row r="5" spans="1:33">
      <c r="A5" s="50" t="s">
        <v>127</v>
      </c>
      <c r="B5" s="43">
        <f>'1850'!O26-'1850'!N26</f>
        <v>60.099999999999994</v>
      </c>
      <c r="C5" s="43">
        <f>'1851'!P26-'1851'!O26</f>
        <v>88.9</v>
      </c>
      <c r="D5" s="43">
        <f>'1852'!O26-'1852'!N26</f>
        <v>68.800000000000011</v>
      </c>
      <c r="E5" s="43">
        <f>'1853'!O27-'1853'!N27</f>
        <v>77.8</v>
      </c>
    </row>
    <row r="6" spans="1:33">
      <c r="A6" s="50" t="s">
        <v>128</v>
      </c>
      <c r="B6" s="281">
        <f>SUM(B5:E5)</f>
        <v>295.60000000000002</v>
      </c>
      <c r="C6" s="281"/>
      <c r="D6" s="281"/>
      <c r="E6" s="281"/>
      <c r="G6" s="214">
        <f>1-B6/B7</f>
        <v>4.5836023240801049E-2</v>
      </c>
    </row>
    <row r="7" spans="1:33">
      <c r="A7" s="50" t="s">
        <v>129</v>
      </c>
      <c r="B7" s="282">
        <f>'1850'!O29-'1850'!N29</f>
        <v>309.80000000000018</v>
      </c>
      <c r="C7" s="282"/>
      <c r="D7" s="282"/>
      <c r="E7" s="282"/>
    </row>
    <row r="8" spans="1:33">
      <c r="A8" s="198" t="s">
        <v>130</v>
      </c>
      <c r="B8" s="199"/>
      <c r="C8" s="199"/>
      <c r="D8" s="199"/>
      <c r="E8" s="200"/>
    </row>
    <row r="9" spans="1:33">
      <c r="A9" s="43" t="s">
        <v>131</v>
      </c>
      <c r="B9" s="43">
        <f>'1850'!O5-'1850'!N5+'1850'!O7-'1850'!N7+'1850'!O9-'1850'!N9+'1850'!O11-'1850'!N11+'1850'!O13-'1850'!N13+'1850'!O15-'1850'!N15+'1850'!O17-'1850'!N17+'1850'!O19-'1850'!N19+'1850'!O21-'1850'!N21+'1850'!O23-'1850'!N23</f>
        <v>17.150000000000006</v>
      </c>
      <c r="C9" s="43">
        <f>'1851'!P5-'1851'!O5+'1851'!P7-'1851'!O7+'1851'!P9-'1851'!O9+'1851'!P11-'1851'!O11+'1851'!P13-'1851'!O13+'1851'!P15-'1851'!O15+'1851'!P17-'1851'!O17+'1851'!P19-'1851'!O19+'1851'!P21-'1851'!O21+'1851'!P23-'1851'!O23</f>
        <v>25.954000000000015</v>
      </c>
      <c r="D9" s="43">
        <f>'1852'!O5-'1852'!N5+'1852'!O7-'1852'!N7+'1852'!O9-'1852'!N9+'1852'!O11-'1852'!N11+'1852'!O13-'1852'!N13+'1852'!O15-'1852'!N15+'1852'!O17-'1852'!N17+'1852'!O19-'1852'!N19+'1852'!O21-'1852'!N21+'1852'!O23-'1852'!N23</f>
        <v>26.516000000000016</v>
      </c>
      <c r="E9" s="43">
        <f>'1853'!O5-'1853'!N5+'1853'!O7-'1853'!N7+'1853'!O9-'1853'!N9+'1853'!O11-'1853'!N11+'1853'!O13-'1853'!N13+'1853'!O15-'1853'!N15+'1853'!O17-'1853'!N17+'1853'!O19-'1853'!N19+'1853'!O21-'1853'!N21+'1853'!O23-'1853'!N23</f>
        <v>20.06600000000001</v>
      </c>
      <c r="G9" s="214">
        <f>1-B9/B10</f>
        <v>0.21775223499361385</v>
      </c>
      <c r="H9" s="214">
        <f t="shared" ref="H9:J9" si="1">1-C9/C10</f>
        <v>0.1447871358903382</v>
      </c>
      <c r="I9" s="214">
        <f t="shared" si="1"/>
        <v>4.4675025219771625E-2</v>
      </c>
      <c r="J9" s="214">
        <f t="shared" si="1"/>
        <v>0.1827142391658515</v>
      </c>
    </row>
    <row r="10" spans="1:33">
      <c r="A10" s="43" t="s">
        <v>132</v>
      </c>
      <c r="B10" s="46">
        <f>('1850'!O27-'1850'!N27)*3.6</f>
        <v>21.923999999999996</v>
      </c>
      <c r="C10" s="43">
        <f>('1851'!P27-'1851'!O27)*3.6</f>
        <v>30.347999999999999</v>
      </c>
      <c r="D10" s="43">
        <f>('1852'!O27-'1852'!N27)*3.6</f>
        <v>27.755999999999997</v>
      </c>
      <c r="E10" s="43">
        <f>('1853'!O28-'1853'!N28)*3.6</f>
        <v>24.551999999999996</v>
      </c>
    </row>
    <row r="11" spans="1:33">
      <c r="A11" s="198" t="s">
        <v>138</v>
      </c>
      <c r="B11" s="199"/>
      <c r="C11" s="199"/>
      <c r="D11" s="199"/>
      <c r="E11" s="200"/>
    </row>
    <row r="12" spans="1:33">
      <c r="A12" s="43" t="s">
        <v>134</v>
      </c>
      <c r="B12" s="46">
        <f>'1850'!O25-'1850'!N25</f>
        <v>237</v>
      </c>
      <c r="C12" s="46">
        <f>'1851'!P24-'1851'!O24</f>
        <v>345</v>
      </c>
      <c r="D12" s="46">
        <f>'1852'!O25-'1852'!N25</f>
        <v>216</v>
      </c>
      <c r="E12" s="46">
        <f>'1853'!O24-'1853'!N24</f>
        <v>265</v>
      </c>
    </row>
    <row r="13" spans="1:33">
      <c r="A13" s="47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33">
      <c r="A14" s="47" t="s">
        <v>135</v>
      </c>
      <c r="B14" s="48">
        <f>'1853'!O25-'1853'!N25</f>
        <v>442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</row>
    <row r="15" spans="1:33">
      <c r="A15" s="47" t="s">
        <v>136</v>
      </c>
      <c r="B15" s="49">
        <f>'1853'!O26-'1853'!N26</f>
        <v>11.656999999999925</v>
      </c>
      <c r="C15" s="49"/>
      <c r="D15" s="49"/>
      <c r="E15" s="49"/>
      <c r="F15" s="49"/>
      <c r="G15" s="48"/>
      <c r="H15" s="48"/>
      <c r="I15" s="48"/>
      <c r="J15" s="48"/>
      <c r="K15" s="49"/>
      <c r="L15" s="49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</row>
    <row r="16" spans="1:33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</row>
    <row r="18" spans="1:10">
      <c r="A18" s="196" t="s">
        <v>125</v>
      </c>
      <c r="B18" s="197">
        <v>1854</v>
      </c>
      <c r="C18" s="197">
        <v>1855</v>
      </c>
      <c r="D18" s="197">
        <v>1856</v>
      </c>
      <c r="E18" s="197">
        <v>1857</v>
      </c>
      <c r="G18" s="243" t="s">
        <v>323</v>
      </c>
      <c r="H18" s="243"/>
      <c r="I18" s="243"/>
      <c r="J18" s="243"/>
    </row>
    <row r="19" spans="1:10">
      <c r="A19" s="43" t="s">
        <v>126</v>
      </c>
      <c r="B19" s="43">
        <f>'1854'!O4-'1854'!N4+'1854'!O6-'1854'!N6+'1854'!O8-'1854'!N8+'1854'!O10-'1854'!N10+'1854'!O12-'1854'!N12+'1854'!O14-'1854'!N14+'1854'!O16-'1854'!N16+'1854'!O18-'1854'!N18+'1854'!O20-'1854'!N20+'1854'!O22-'1854'!N22</f>
        <v>42.714000000000006</v>
      </c>
      <c r="C19" s="43">
        <f>'1855'!O4-'1855'!N4+'1855'!O6-'1855'!N6+'1855'!O8-'1855'!N8+'1855'!O10-'1855'!N10+'1855'!O12-'1855'!N12+'1855'!O14-'1855'!N14+'1855'!O16-'1855'!N16+'1855'!O18-'1855'!N18+'1855'!O20-'1855'!N20+'1855'!O22-'1855'!N22</f>
        <v>32.407000000000011</v>
      </c>
      <c r="D19" s="43">
        <f>'1856'!O4-'1856'!N4+'1856'!O6-'1856'!N6+'1856'!O8-'1856'!N8+'1856'!O10-'1856'!N10+'1856'!O12-'1856'!N12+'1856'!O14-'1856'!N14+'1856'!O16-'1856'!N16+'1856'!O18-'1856'!N18+'1856'!O20-'1856'!N20+'1856'!O22-'1856'!N22</f>
        <v>47.569000000000003</v>
      </c>
      <c r="E19" s="43">
        <f>'1857'!O4-'1857'!N4+'1857'!O6-'1857'!N6+'1857'!O8-'1857'!N8+'1857'!O10-'1857'!N10+'1857'!O12-'1857'!N12+'1857'!O14-'1857'!N14+'1857'!O16-'1857'!N16+'1857'!O18-'1857'!N18+'1857'!O20-'1857'!N20+'1857'!O22-'1857'!N22</f>
        <v>26.201999999999998</v>
      </c>
      <c r="G19" s="242">
        <f>1-B19/B20</f>
        <v>0.18484732824427474</v>
      </c>
      <c r="H19" s="242">
        <f t="shared" ref="H19:J19" si="2">1-C19/C20</f>
        <v>0.60040690505548699</v>
      </c>
      <c r="I19" s="242">
        <f t="shared" si="2"/>
        <v>0.26135093167701862</v>
      </c>
      <c r="J19" s="242">
        <f t="shared" si="2"/>
        <v>0.65704188481675396</v>
      </c>
    </row>
    <row r="20" spans="1:10">
      <c r="A20" s="43" t="s">
        <v>127</v>
      </c>
      <c r="B20" s="43">
        <f>'1854'!O26-'1854'!N26</f>
        <v>52.400000000000006</v>
      </c>
      <c r="C20" s="43">
        <f>'1855'!O26-'1855'!N26</f>
        <v>81.100000000000009</v>
      </c>
      <c r="D20" s="43">
        <f>'1856'!O26-'1856'!N26</f>
        <v>64.400000000000006</v>
      </c>
      <c r="E20" s="43">
        <f>'1857'!O26-'1857'!N26</f>
        <v>76.400000000000006</v>
      </c>
    </row>
    <row r="21" spans="1:10">
      <c r="A21" s="43" t="s">
        <v>128</v>
      </c>
      <c r="B21" s="281">
        <f>SUM(B20:E20)</f>
        <v>274.3</v>
      </c>
      <c r="C21" s="281"/>
      <c r="D21" s="281"/>
      <c r="E21" s="281"/>
      <c r="G21" s="214">
        <f>1-B21/B22</f>
        <v>-4.3939948736779755E-3</v>
      </c>
    </row>
    <row r="22" spans="1:10">
      <c r="A22" s="43" t="s">
        <v>129</v>
      </c>
      <c r="B22" s="281">
        <f>'1854'!O29-'1854'!N29</f>
        <v>273.09999999999854</v>
      </c>
      <c r="C22" s="281"/>
      <c r="D22" s="281"/>
      <c r="E22" s="281"/>
    </row>
    <row r="23" spans="1:10">
      <c r="A23" s="198" t="s">
        <v>130</v>
      </c>
      <c r="B23" s="199"/>
      <c r="C23" s="199"/>
      <c r="D23" s="199"/>
      <c r="E23" s="200"/>
    </row>
    <row r="24" spans="1:10">
      <c r="A24" s="43" t="s">
        <v>131</v>
      </c>
      <c r="B24" s="43">
        <f>'1854'!O5-'1854'!N5+'1854'!O7-'1854'!N7+'1854'!O9-'1854'!N9+'1854'!O11-'1854'!N11+'1854'!O13-'1854'!N13+'1854'!O15-'1854'!N15+'1854'!O17-'1854'!N17+'1854'!O19-'1854'!N19+'1854'!O21-'1854'!N21+'1854'!O23-'1854'!N23</f>
        <v>22.29699999999999</v>
      </c>
      <c r="C24" s="43">
        <f>'1855'!O5-'1855'!N5+'1855'!O7-'1855'!N7+'1855'!O9-'1855'!N9+'1855'!O11-'1855'!N11+'1855'!O13-'1855'!N13+'1855'!O15-'1855'!N15+'1855'!O17-'1855'!N17+'1855'!O19-'1855'!N19+'1855'!O21-'1855'!N21+'1855'!O23-'1855'!N23</f>
        <v>29.012000000000029</v>
      </c>
      <c r="D24" s="43">
        <f>'1856'!O5-'1856'!N5+'1856'!O7-'1856'!N7+'1856'!O9-'1856'!N9+'1856'!O11-'1856'!N11+'1856'!O13-'1856'!N13+'1856'!O15-'1856'!N15+'1856'!O17-'1856'!N17+'1856'!O19-'1856'!N19+'1856'!O21-'1856'!N21+'1856'!O23-'1856'!N23</f>
        <v>23.835000000000022</v>
      </c>
      <c r="E24" s="43">
        <f>'1857'!O5-'1857'!N5+'1857'!O7-'1857'!N7+'1857'!O9-'1857'!N9+'1857'!O11-'1857'!N11+'1857'!O13-'1857'!N13+'1857'!O15-'1857'!N15+'1857'!O17-'1857'!N17+'1857'!O19-'1857'!N19+'1857'!O21-'1857'!N21+'1857'!O23-'1857'!N23</f>
        <v>25.088999999999992</v>
      </c>
      <c r="G24" s="214">
        <f>1-B24/B25</f>
        <v>9.7141237447358364E-2</v>
      </c>
      <c r="H24" s="214">
        <f t="shared" ref="H24:J24" si="3">1-C24/C25</f>
        <v>0.1981205085682699</v>
      </c>
      <c r="I24" s="214">
        <f t="shared" si="3"/>
        <v>9.79791099000904E-2</v>
      </c>
      <c r="J24" s="214">
        <f t="shared" si="3"/>
        <v>5.8220720720721819E-2</v>
      </c>
    </row>
    <row r="25" spans="1:10">
      <c r="A25" s="43" t="s">
        <v>132</v>
      </c>
      <c r="B25" s="43">
        <f>('1854'!O27-'1854'!N27)*3.6</f>
        <v>24.695999999999948</v>
      </c>
      <c r="C25" s="43">
        <f>('1855'!O27-'1855'!N27)*3.6</f>
        <v>36.180000000000042</v>
      </c>
      <c r="D25" s="43">
        <f>('1856'!O27-'1856'!N27)*3.6</f>
        <v>26.424000000000014</v>
      </c>
      <c r="E25" s="43">
        <f>('1857'!O27-'1857'!N27)*3.6</f>
        <v>26.640000000000022</v>
      </c>
    </row>
    <row r="26" spans="1:10">
      <c r="A26" s="198" t="s">
        <v>138</v>
      </c>
      <c r="B26" s="199"/>
      <c r="C26" s="199"/>
      <c r="D26" s="199"/>
      <c r="E26" s="200"/>
    </row>
    <row r="27" spans="1:10">
      <c r="A27" s="43" t="s">
        <v>134</v>
      </c>
      <c r="B27" s="46">
        <f>'1854'!O25-'1854'!N25</f>
        <v>228</v>
      </c>
      <c r="C27" s="46">
        <f>'1855'!O25-'1855'!N25</f>
        <v>216</v>
      </c>
      <c r="D27" s="46">
        <f>'1856'!O25-'1856'!N25</f>
        <v>213</v>
      </c>
      <c r="E27" s="46">
        <f>'1857'!O25-'1857'!N25</f>
        <v>225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Q13:T13 Q16:Y17 B1:B1048576 C1:E5 C8:E20 C23:E65536 F1:Y2 F28:Y65536 F13:P17">
    <cfRule type="cellIs" dxfId="617" priority="6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10"/>
  <sheetViews>
    <sheetView workbookViewId="0">
      <selection activeCell="E13" sqref="E13"/>
    </sheetView>
  </sheetViews>
  <sheetFormatPr defaultColWidth="9" defaultRowHeight="18"/>
  <cols>
    <col min="1" max="1" width="35" style="40" customWidth="1"/>
    <col min="2" max="25" width="11.42578125" style="40" customWidth="1"/>
    <col min="26" max="33" width="9.85546875" style="40" customWidth="1"/>
    <col min="34" max="37" width="6.42578125" style="40" customWidth="1"/>
    <col min="38" max="16384" width="9" style="40"/>
  </cols>
  <sheetData>
    <row r="1" spans="1:33" ht="18.75" thickBot="1">
      <c r="A1" s="42" t="s">
        <v>343</v>
      </c>
      <c r="B1" s="42"/>
      <c r="C1" s="42">
        <f>'S1'!B1</f>
        <v>2019</v>
      </c>
      <c r="D1" s="42"/>
      <c r="E1" s="42"/>
      <c r="G1" s="254"/>
      <c r="H1" s="255" t="s">
        <v>345</v>
      </c>
      <c r="I1" s="255"/>
      <c r="J1" s="256"/>
    </row>
    <row r="2" spans="1:33">
      <c r="G2" s="252" t="s">
        <v>341</v>
      </c>
      <c r="H2" s="244"/>
      <c r="I2" s="253" t="s">
        <v>344</v>
      </c>
      <c r="J2" s="244"/>
    </row>
    <row r="3" spans="1:33">
      <c r="A3" s="198" t="s">
        <v>125</v>
      </c>
      <c r="B3" s="197">
        <v>1850</v>
      </c>
      <c r="C3" s="197">
        <v>1851</v>
      </c>
      <c r="D3" s="197">
        <v>1852</v>
      </c>
      <c r="E3" s="197">
        <v>1853</v>
      </c>
      <c r="G3" s="197">
        <v>1850</v>
      </c>
      <c r="H3" s="197">
        <v>1851</v>
      </c>
      <c r="I3" s="197">
        <v>1852</v>
      </c>
      <c r="J3" s="197">
        <v>1853</v>
      </c>
    </row>
    <row r="4" spans="1:33">
      <c r="A4" s="50" t="s">
        <v>126</v>
      </c>
      <c r="B4" s="43">
        <f>'1850'!P4-'1850'!O4+'1850'!P6-'1850'!O6+'1850'!P8-'1850'!O8+'1850'!P10-'1850'!O10+'1850'!P12-'1850'!O12+'1850'!P14-'1850'!O14+'1850'!P16-'1850'!O16+'1850'!P18-'1850'!O18+'1850'!P20-'1850'!O20+'1850'!P22-'1850'!O22</f>
        <v>9.2930000000000028</v>
      </c>
      <c r="C4" s="245" t="s">
        <v>342</v>
      </c>
      <c r="D4" s="245" t="s">
        <v>342</v>
      </c>
      <c r="E4" s="245" t="s">
        <v>342</v>
      </c>
      <c r="G4" s="242">
        <f>1-B4/B5</f>
        <v>0.30127819548872214</v>
      </c>
      <c r="H4" s="241"/>
      <c r="I4" s="241"/>
      <c r="J4" s="241"/>
    </row>
    <row r="5" spans="1:33">
      <c r="A5" s="50" t="s">
        <v>127</v>
      </c>
      <c r="B5" s="43">
        <f>'1850'!P26-'1850'!O26</f>
        <v>13.300000000000011</v>
      </c>
      <c r="C5" s="245" t="s">
        <v>342</v>
      </c>
      <c r="D5" s="245" t="s">
        <v>342</v>
      </c>
      <c r="E5" s="245" t="s">
        <v>342</v>
      </c>
    </row>
    <row r="6" spans="1:33">
      <c r="A6" s="47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</row>
    <row r="7" spans="1:33">
      <c r="G7" s="243" t="s">
        <v>323</v>
      </c>
      <c r="H7" s="243"/>
      <c r="I7" s="243"/>
      <c r="J7" s="243"/>
    </row>
    <row r="8" spans="1:33">
      <c r="A8" s="196" t="s">
        <v>125</v>
      </c>
      <c r="B8" s="197">
        <v>1854</v>
      </c>
      <c r="C8" s="197">
        <v>1855</v>
      </c>
      <c r="D8" s="197">
        <v>1856</v>
      </c>
      <c r="E8" s="197">
        <v>1857</v>
      </c>
      <c r="G8" s="197">
        <v>1854</v>
      </c>
      <c r="H8" s="197">
        <v>1855</v>
      </c>
      <c r="I8" s="197">
        <v>1856</v>
      </c>
      <c r="J8" s="197">
        <v>1857</v>
      </c>
    </row>
    <row r="9" spans="1:33">
      <c r="A9" s="43" t="s">
        <v>126</v>
      </c>
      <c r="B9" s="43">
        <f>'1854'!P4-'1854'!O4+'1854'!P6-'1854'!O6+'1854'!P8-'1854'!O8+'1854'!P10-'1854'!O10+'1854'!P12-'1854'!O12+'1854'!P14-'1854'!O14+'1854'!P16-'1854'!O16+'1854'!P18-'1854'!O18+'1854'!P20-'1854'!O20+'1854'!P22-'1854'!O22</f>
        <v>8.6639999999999979</v>
      </c>
      <c r="C9" s="43">
        <f>'1854'!P4-'1854'!O4+'1854'!P6-'1854'!O6+'1854'!P8-'1854'!O8+'1854'!P10-'1854'!O10+'1854'!P12-'1854'!O12+'1854'!P14-'1854'!O14+'1854'!P16-'1854'!O16+'1854'!P18-'1854'!O18+'1854'!P20-'1854'!O20+'1854'!P22-'1854'!O22</f>
        <v>8.6639999999999979</v>
      </c>
      <c r="D9" s="43">
        <f>'1856'!P4-'1856'!O4+'1856'!P6-'1856'!O6+'1856'!P8-'1856'!O8+'1856'!P10-'1856'!O10+'1856'!P12-'1856'!O12+'1856'!P14-'1856'!O14+'1856'!P16-'1856'!O16+'1856'!P18-'1856'!O18+'1856'!P20-'1856'!O20+'1856'!P22-'1856'!O22</f>
        <v>10.489000000000003</v>
      </c>
      <c r="E9" s="43">
        <f>'1857'!P4-'1857'!O4+'1857'!P6-'1857'!O6+'1857'!P8-'1857'!O8+'1857'!P10-'1857'!O10+'1857'!P12-'1857'!O12+'1857'!P14-'1857'!O14+'1857'!P16-'1857'!O16+'1857'!P18-'1857'!O18+'1857'!P20-'1857'!O20+'1857'!P22-'1857'!O22</f>
        <v>4.4859999999999971</v>
      </c>
      <c r="G9" s="242">
        <f>1-B9/B10</f>
        <v>0.19777777777777772</v>
      </c>
      <c r="H9" s="242">
        <f t="shared" ref="H9:J9" si="0">1-C9/C10</f>
        <v>0.53419354838709676</v>
      </c>
      <c r="I9" s="242">
        <f t="shared" si="0"/>
        <v>0.22875000000000034</v>
      </c>
      <c r="J9" s="242">
        <f t="shared" si="0"/>
        <v>0.71058064516129049</v>
      </c>
    </row>
    <row r="10" spans="1:33">
      <c r="A10" s="43" t="s">
        <v>127</v>
      </c>
      <c r="B10" s="43">
        <f>'1854'!P26-'1854'!O26</f>
        <v>10.799999999999997</v>
      </c>
      <c r="C10" s="43">
        <f>'1855'!P26-'1855'!O26</f>
        <v>18.599999999999994</v>
      </c>
      <c r="D10" s="43">
        <f>'1856'!P26-'1856'!O26</f>
        <v>13.600000000000009</v>
      </c>
      <c r="E10" s="43">
        <f>'1857'!P26-'1857'!O26</f>
        <v>15.5</v>
      </c>
    </row>
  </sheetData>
  <sheetProtection selectLockedCells="1" selectUnlockedCells="1"/>
  <conditionalFormatting sqref="C11:Y65519 B11:B1048576 B1:E10 G1:J1 F1:F2 K1:Y2 F6:F7 K6:Y7 G6:J6 G3:J3">
    <cfRule type="cellIs" dxfId="616" priority="3" stopIfTrue="1" operator="lessThan">
      <formula>0</formula>
    </cfRule>
  </conditionalFormatting>
  <conditionalFormatting sqref="G8:J8">
    <cfRule type="cellIs" dxfId="615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L27"/>
  <sheetViews>
    <sheetView tabSelected="1" workbookViewId="0">
      <selection activeCell="N12" sqref="N12"/>
    </sheetView>
  </sheetViews>
  <sheetFormatPr defaultColWidth="9" defaultRowHeight="18"/>
  <cols>
    <col min="1" max="1" width="36.28515625" style="40" customWidth="1"/>
    <col min="2" max="30" width="11.42578125" style="40" customWidth="1"/>
    <col min="31" max="38" width="9.85546875" style="40" customWidth="1"/>
    <col min="39" max="42" width="6.42578125" style="40" customWidth="1"/>
    <col min="43" max="16384" width="9" style="40"/>
  </cols>
  <sheetData>
    <row r="1" spans="1:38">
      <c r="A1" s="41" t="s">
        <v>148</v>
      </c>
      <c r="B1" s="42">
        <f>'S1'!B1</f>
        <v>2019</v>
      </c>
      <c r="C1" s="42"/>
      <c r="D1" s="42"/>
      <c r="E1" s="42"/>
      <c r="F1" s="42"/>
      <c r="G1" s="244" t="s">
        <v>366</v>
      </c>
      <c r="H1" s="244"/>
      <c r="I1" s="244"/>
      <c r="J1" s="244"/>
    </row>
    <row r="2" spans="1:38">
      <c r="G2" s="244" t="s">
        <v>365</v>
      </c>
      <c r="H2" s="244"/>
      <c r="I2" s="244"/>
      <c r="J2" s="244"/>
    </row>
    <row r="3" spans="1:38">
      <c r="A3" s="198" t="s">
        <v>125</v>
      </c>
      <c r="B3" s="197">
        <v>1850</v>
      </c>
      <c r="C3" s="197">
        <v>1851</v>
      </c>
      <c r="D3" s="197">
        <v>1852</v>
      </c>
      <c r="E3" s="197">
        <v>1853</v>
      </c>
    </row>
    <row r="4" spans="1:38">
      <c r="A4" s="50" t="s">
        <v>126</v>
      </c>
      <c r="B4" s="43">
        <f>'1850'!R4-'1850'!Q4+'1850'!R6-'1850'!Q6+'1850'!R8-'1850'!Q8+'1850'!R10-'1850'!Q10+'1850'!R12-'1850'!Q12+'1850'!R14-'1850'!Q14+'1850'!R16-'1850'!Q16+'1850'!R18-'1850'!Q18+'1850'!R20-'1850'!Q20+'1850'!R22-'1850'!Q22</f>
        <v>44.125999999999991</v>
      </c>
      <c r="C4" s="43">
        <f>'1851'!Q4-'1851'!P4+'1851'!Q6-'1851'!P6+'1851'!Q8-'1851'!P8+'1851'!Q10-'1851'!P10+'1851'!Q12-'1851'!P12+'1851'!Q14-'1851'!P14+'1851'!Q16-'1851'!P16+'1851'!Q18-'1851'!P18+'1851'!Q20-'1851'!P20+'1851'!Q22-'1851'!P22+'1851'!Q33-'1851'!P33+'1851'!Q34-'1851'!P34+'1851'!Q35-'1851'!P35+'1851'!Q36-'1851'!P36+'1851'!Q37-'1851'!P37+'1851'!Q40-'1851'!P40+'1851'!Q41-'1851'!P41+'1851'!Q42-'1851'!P42+'1851'!Q43-'1851'!P43+'1851'!Q44-'1851'!P44+'1851'!Q45-'1851'!P45+'1851'!Q46-'1851'!P46+'1851'!Q47-'1851'!P47+'1851'!Q48-'1851'!P48+'1851'!Q49-'1851'!P49</f>
        <v>96.072000000000003</v>
      </c>
      <c r="D4" s="43">
        <f>'1852'!P4-'1852'!O4+'1852'!P6-'1852'!O6+'1852'!P8-'1852'!O8+'1852'!P10-'1852'!O10+'1852'!P12-'1852'!O12+'1852'!P14-'1852'!O14+'1852'!P16-'1852'!O16+'1852'!P18-'1852'!O18+'1852'!P20-'1852'!O20+'1852'!P22-'1852'!O22</f>
        <v>68.876000000000005</v>
      </c>
      <c r="E4" s="43">
        <f>'1853'!P4-'1853'!O4+'1853'!P6-'1853'!O6+'1853'!P8-'1853'!O8+'1853'!P10-'1853'!O10+'1853'!P12-'1853'!O12+'1853'!P14-'1853'!O14+'1853'!P16-'1853'!O16+'1853'!P18-'1853'!O18+'1853'!P20-'1853'!O20+'1853'!P22-'1853'!O22+'1853'!P26-'1853'!O26</f>
        <v>73.566000000000031</v>
      </c>
      <c r="G4" s="241">
        <f>1-B4/B5</f>
        <v>0.15467432950191573</v>
      </c>
      <c r="H4" s="241">
        <f t="shared" ref="H4:J4" si="0">1-C4/C5</f>
        <v>0.16604166666666653</v>
      </c>
      <c r="I4" s="241">
        <f t="shared" si="0"/>
        <v>0.16916767189384774</v>
      </c>
      <c r="J4" s="241">
        <f t="shared" si="0"/>
        <v>9.1777777777777403E-2</v>
      </c>
    </row>
    <row r="5" spans="1:38">
      <c r="A5" s="50" t="s">
        <v>127</v>
      </c>
      <c r="B5" s="43">
        <f>'1850'!R26-'1850'!Q26</f>
        <v>52.199999999999989</v>
      </c>
      <c r="C5" s="43">
        <f>'1851'!Q26-'1851'!P26</f>
        <v>115.19999999999999</v>
      </c>
      <c r="D5" s="43">
        <f>'1852'!P26-'1852'!O26</f>
        <v>82.899999999999977</v>
      </c>
      <c r="E5" s="43">
        <f>'1853'!P27-'1853'!O27</f>
        <v>81</v>
      </c>
    </row>
    <row r="6" spans="1:38">
      <c r="A6" s="50" t="s">
        <v>128</v>
      </c>
      <c r="B6" s="281">
        <f>SUM(B5:E5)+'S 29.11.-5.12.'!B5</f>
        <v>344.59999999999997</v>
      </c>
      <c r="C6" s="281"/>
      <c r="D6" s="281"/>
      <c r="E6" s="281"/>
      <c r="G6" s="214">
        <f>1-B6/B7</f>
        <v>4.5164865613742555E-2</v>
      </c>
    </row>
    <row r="7" spans="1:38">
      <c r="A7" s="50" t="s">
        <v>129</v>
      </c>
      <c r="B7" s="281">
        <f>'1850'!R29-'1850'!O29</f>
        <v>360.89999999999964</v>
      </c>
      <c r="C7" s="281"/>
      <c r="D7" s="281"/>
      <c r="E7" s="281"/>
    </row>
    <row r="8" spans="1:38">
      <c r="A8" s="198" t="s">
        <v>130</v>
      </c>
      <c r="B8" s="199"/>
      <c r="C8" s="199"/>
      <c r="D8" s="199"/>
      <c r="E8" s="200"/>
    </row>
    <row r="9" spans="1:38">
      <c r="A9" s="43" t="s">
        <v>131</v>
      </c>
      <c r="B9" s="43">
        <f>'1850'!R5-'1850'!O5+'1850'!R7-'1850'!O7+'1850'!R9-'1850'!O9+'1850'!R11-'1850'!O11+'1850'!R13-'1850'!O13+'1850'!R15-'1850'!O15+'1850'!R17-'1850'!O17+'1850'!R19-'1850'!O19+'1850'!R21-'1850'!O21+'1850'!R23-'1850'!O23</f>
        <v>26.514999999999993</v>
      </c>
      <c r="C9" s="43">
        <f>'1851'!Q5-'1851'!P5+'1851'!Q7-'1851'!P7+'1851'!Q9-'1851'!P9+'1851'!Q11-'1851'!P11+'1851'!Q13-'1851'!P13+'1851'!Q15-'1851'!P15+'1851'!Q17-'1851'!P17+'1851'!Q19-'1851'!P19+'1851'!Q21-'1851'!P21+'1851'!Q23-'1851'!P23</f>
        <v>39.977000000000039</v>
      </c>
      <c r="D9" s="43">
        <f>'1852'!P5-'1852'!O5+'1852'!P7-'1852'!O7+'1852'!P9-'1852'!O9+'1852'!P11-'1852'!O11+'1852'!P13-'1852'!O13+'1852'!P15-'1852'!O15+'1852'!P17-'1852'!O17+'1852'!P19-'1852'!O19+'1852'!P21-'1852'!O21+'1852'!P23-'1852'!O23</f>
        <v>38.516999999999996</v>
      </c>
      <c r="E9" s="43">
        <f>'1853'!P5-'1853'!O5+'1853'!P7-'1853'!O7+'1853'!P9-'1853'!O9+'1853'!P11-'1853'!O11+'1853'!P13-'1853'!O13+'1853'!P15-'1853'!O15+'1853'!P17-'1853'!O17+'1853'!P19-'1853'!O19+'1853'!P21-'1853'!O21+'1853'!P23-'1853'!O23</f>
        <v>30.349000000000004</v>
      </c>
      <c r="G9" s="214">
        <f>1-B9/B10</f>
        <v>0.15632556955581034</v>
      </c>
      <c r="H9" s="214">
        <f t="shared" ref="H9:J9" si="1">1-C9/C10</f>
        <v>0.12006955449903056</v>
      </c>
      <c r="I9" s="214">
        <f t="shared" si="1"/>
        <v>5.1492316784870207E-2</v>
      </c>
      <c r="J9" s="214">
        <f t="shared" si="1"/>
        <v>0.15865491239742735</v>
      </c>
    </row>
    <row r="10" spans="1:38">
      <c r="A10" s="43" t="s">
        <v>132</v>
      </c>
      <c r="B10" s="45">
        <f>('1850'!R27-'1850'!O27)*3.6</f>
        <v>31.428000000000001</v>
      </c>
      <c r="C10" s="43">
        <f>('1851'!Q27-'1851'!P27)*3.6</f>
        <v>45.431999999999995</v>
      </c>
      <c r="D10" s="43">
        <f>('1852'!P27-'1852'!O27)*3.6</f>
        <v>40.608000000000004</v>
      </c>
      <c r="E10" s="43">
        <f>('1853'!P28-'1853'!O28)*3.6</f>
        <v>36.072000000000003</v>
      </c>
    </row>
    <row r="11" spans="1:38">
      <c r="A11" s="198" t="s">
        <v>138</v>
      </c>
      <c r="B11" s="199"/>
      <c r="C11" s="199"/>
      <c r="D11" s="199"/>
      <c r="E11" s="200"/>
    </row>
    <row r="12" spans="1:38">
      <c r="A12" s="43" t="s">
        <v>134</v>
      </c>
      <c r="B12" s="46">
        <f>'1850'!R25-'1850'!O25</f>
        <v>314</v>
      </c>
      <c r="C12" s="46">
        <f>'1851'!Q24-'1851'!P24</f>
        <v>353</v>
      </c>
      <c r="D12" s="46">
        <f>'1852'!P25-'1852'!O25</f>
        <v>386</v>
      </c>
      <c r="E12" s="46">
        <f>'1853'!P24-'1853'!O24</f>
        <v>256</v>
      </c>
    </row>
    <row r="13" spans="1:38">
      <c r="A13" s="47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</row>
    <row r="14" spans="1:38">
      <c r="A14" s="47" t="s">
        <v>135</v>
      </c>
      <c r="B14" s="48">
        <f>'1853'!P25-'1853'!O25</f>
        <v>731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</row>
    <row r="15" spans="1:38">
      <c r="A15" s="47" t="s">
        <v>136</v>
      </c>
      <c r="B15" s="49">
        <f>'1853'!P26-'1853'!O26</f>
        <v>0</v>
      </c>
      <c r="C15" s="49"/>
      <c r="D15" s="49"/>
      <c r="E15" s="49"/>
      <c r="F15" s="49"/>
      <c r="G15" s="48"/>
      <c r="H15" s="48"/>
      <c r="I15" s="48"/>
      <c r="J15" s="48"/>
      <c r="K15" s="49"/>
      <c r="L15" s="49"/>
      <c r="M15" s="49"/>
      <c r="N15" s="49"/>
      <c r="O15" s="49"/>
      <c r="P15" s="49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</row>
    <row r="16" spans="1:38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</row>
    <row r="18" spans="1:10">
      <c r="A18" s="196" t="s">
        <v>125</v>
      </c>
      <c r="B18" s="197">
        <v>1854</v>
      </c>
      <c r="C18" s="197">
        <v>1855</v>
      </c>
      <c r="D18" s="197">
        <v>1856</v>
      </c>
      <c r="E18" s="197">
        <v>1857</v>
      </c>
      <c r="G18" s="147" t="s">
        <v>363</v>
      </c>
      <c r="H18" s="147"/>
      <c r="I18" s="147"/>
      <c r="J18" s="147"/>
    </row>
    <row r="19" spans="1:10">
      <c r="A19" s="43" t="s">
        <v>126</v>
      </c>
      <c r="B19" s="43">
        <f>'1854'!R4-'1854'!Q4+'1854'!R6-'1854'!Q6+'1854'!R8-'1854'!Q8+'1854'!R10-'1854'!Q10+'1854'!R12-'1854'!Q12+'1854'!R14-'1854'!Q14+'1854'!R16-'1854'!Q16+'1854'!R18-'1854'!Q18+'1854'!R20-'1854'!Q20+'1854'!R22-'1854'!Q22</f>
        <v>43.671999999999997</v>
      </c>
      <c r="C19" s="43">
        <f>'1855'!R4-'1855'!Q4+'1855'!R6-'1855'!Q6+'1855'!R8-'1855'!Q8+'1855'!R10-'1855'!Q10+'1855'!R12-'1855'!Q12+'1855'!R14-'1855'!Q14+'1855'!R16-'1855'!Q16+'1855'!R18-'1855'!Q18+'1855'!R20-'1855'!Q20+'1855'!R22-'1855'!Q22</f>
        <v>69.514999999999986</v>
      </c>
      <c r="D19" s="43">
        <f>'1856'!R4-'1856'!Q4+'1856'!R6-'1856'!Q6+'1856'!R8-'1856'!Q8+'1856'!R10-'1856'!Q10+'1856'!R12-'1856'!Q12+'1856'!R14-'1856'!Q14+'1856'!R16-'1856'!Q16+'1856'!R18-'1856'!Q18+'1856'!R20-'1856'!Q20+'1856'!R22-'1856'!Q22</f>
        <v>65.402000000000001</v>
      </c>
      <c r="E19" s="43">
        <f>'1857'!R4-'1857'!Q4+'1857'!R6-'1857'!Q6+'1857'!R8-'1857'!Q8+'1857'!R10-'1857'!Q10+'1857'!R12-'1857'!Q12+'1857'!R14-'1857'!Q14+'1857'!R16-'1857'!Q16+'1857'!R18-'1857'!Q18+'1857'!R20-'1857'!Q20+'1857'!R22-'1857'!Q22</f>
        <v>64.995999999999995</v>
      </c>
      <c r="G19" s="241">
        <f>1-B19/B20</f>
        <v>6.4839400428265637E-2</v>
      </c>
      <c r="H19" s="241">
        <f t="shared" ref="H19:J19" si="2">1-C19/C20</f>
        <v>8.6530880420499501E-2</v>
      </c>
      <c r="I19" s="241">
        <f t="shared" si="2"/>
        <v>7.7545839210155232E-2</v>
      </c>
      <c r="J19" s="241">
        <f t="shared" si="2"/>
        <v>0.10473829201101925</v>
      </c>
    </row>
    <row r="20" spans="1:10">
      <c r="A20" s="43" t="s">
        <v>127</v>
      </c>
      <c r="B20" s="43">
        <f>'1854'!R26-'1854'!Q26</f>
        <v>46.7</v>
      </c>
      <c r="C20" s="43">
        <f>'1855'!R26-'1855'!Q26</f>
        <v>76.099999999999994</v>
      </c>
      <c r="D20" s="43">
        <f>'1856'!R26-'1856'!Q26</f>
        <v>70.900000000000006</v>
      </c>
      <c r="E20" s="43">
        <f>'1857'!R26-'1857'!Q26</f>
        <v>72.599999999999994</v>
      </c>
    </row>
    <row r="21" spans="1:10">
      <c r="A21" s="43" t="s">
        <v>128</v>
      </c>
      <c r="B21" s="281">
        <f>SUM(B20:E20)+SUM('S 29.11.-5.12.'!B10:E10)</f>
        <v>324.79999999999995</v>
      </c>
      <c r="C21" s="281"/>
      <c r="D21" s="281"/>
      <c r="E21" s="281"/>
      <c r="G21" s="214">
        <f>1-B21/B22</f>
        <v>-4.6396535725241606E-3</v>
      </c>
    </row>
    <row r="22" spans="1:10">
      <c r="A22" s="43" t="s">
        <v>129</v>
      </c>
      <c r="B22" s="281">
        <f>'1854'!R29-'1854'!O29</f>
        <v>323.30000000000291</v>
      </c>
      <c r="C22" s="281"/>
      <c r="D22" s="281"/>
      <c r="E22" s="281"/>
    </row>
    <row r="23" spans="1:10">
      <c r="A23" s="198" t="s">
        <v>130</v>
      </c>
      <c r="B23" s="199"/>
      <c r="C23" s="199"/>
      <c r="D23" s="199"/>
      <c r="E23" s="200"/>
    </row>
    <row r="24" spans="1:10">
      <c r="A24" s="43" t="s">
        <v>131</v>
      </c>
      <c r="B24" s="43">
        <f>'1854'!R5-'1854'!O5+'1854'!R7-'1854'!O7+'1854'!R9-'1854'!O9+'1854'!R11-'1854'!O11+'1854'!R13-'1854'!O13+'1854'!R15-'1854'!O15+'1854'!R17-'1854'!O17+'1854'!R19-'1854'!O19+'1854'!R21-'1854'!O21+'1854'!R23-'1854'!O23</f>
        <v>32.397000000000034</v>
      </c>
      <c r="C24" s="43">
        <f>'1855'!R5-'1855'!O5+'1855'!R7-'1855'!O7+'1855'!R9-'1855'!O9+'1855'!R11-'1855'!O11+'1855'!R13-'1855'!O13+'1855'!R15-'1855'!O15+'1855'!R17-'1855'!O17+'1855'!R19-'1855'!O19+'1855'!R21-'1855'!O21+'1855'!R23-'1855'!O23</f>
        <v>39.461999999999982</v>
      </c>
      <c r="D24" s="43">
        <f>'1856'!R5-'1856'!O5+'1856'!R7-'1856'!O7+'1856'!R9-'1856'!O9+'1856'!R11-'1856'!O11+'1856'!R13-'1856'!O13+'1856'!R15-'1856'!O15+'1856'!R17-'1856'!O17+'1856'!R19-'1856'!O19+'1856'!R21-'1856'!O21+'1856'!R23-'1856'!O23</f>
        <v>34.052000000000007</v>
      </c>
      <c r="E24" s="43">
        <f>'1857'!R5-'1857'!O5+'1857'!R7-'1857'!O7+'1857'!R9-'1857'!O9+'1857'!R11-'1857'!O11+'1857'!R13-'1857'!O13+'1857'!R15-'1857'!O15+'1857'!R17-'1857'!O17+'1857'!R19-'1857'!O19+'1857'!R21-'1857'!O21+'1857'!R23-'1857'!O23</f>
        <v>34.47799999999998</v>
      </c>
      <c r="G24" s="214">
        <f>1-B24/B25</f>
        <v>9.0074148972026147E-2</v>
      </c>
      <c r="H24" s="214">
        <f t="shared" ref="H24:J24" si="3">1-C24/C25</f>
        <v>0.19812240916849511</v>
      </c>
      <c r="I24" s="214">
        <f t="shared" si="3"/>
        <v>0.10257221168037034</v>
      </c>
      <c r="J24" s="214">
        <f t="shared" si="3"/>
        <v>8.7014087490730807E-2</v>
      </c>
    </row>
    <row r="25" spans="1:10">
      <c r="A25" s="43" t="s">
        <v>132</v>
      </c>
      <c r="B25" s="43">
        <f>('1854'!R27-'1854'!O27)*3.6</f>
        <v>35.604000000000056</v>
      </c>
      <c r="C25" s="43">
        <f>('1855'!R27-'1855'!O27)*3.6</f>
        <v>49.211999999999954</v>
      </c>
      <c r="D25" s="43">
        <f>('1856'!R27-'1856'!O27)*3.6</f>
        <v>37.943999999999974</v>
      </c>
      <c r="E25" s="43">
        <f>('1857'!R27-'1857'!O27)*3.6</f>
        <v>37.763999999999932</v>
      </c>
    </row>
    <row r="26" spans="1:10">
      <c r="A26" s="198" t="s">
        <v>138</v>
      </c>
      <c r="B26" s="199"/>
      <c r="C26" s="199"/>
      <c r="D26" s="199"/>
      <c r="E26" s="200"/>
    </row>
    <row r="27" spans="1:10">
      <c r="A27" s="43" t="s">
        <v>134</v>
      </c>
      <c r="B27" s="46">
        <f>'1854'!R25-'1854'!O25</f>
        <v>264</v>
      </c>
      <c r="C27" s="46">
        <f>'1855'!R25-'1855'!O25</f>
        <v>258</v>
      </c>
      <c r="D27" s="46">
        <f>'1856'!R25-'1856'!O25</f>
        <v>275</v>
      </c>
      <c r="E27" s="46">
        <f>'1857'!R25-'1857'!O25</f>
        <v>265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1:B1048576 C1:E5 C8:E20 C23:E65536 U16:AD17 U13:Y13 F1:F2 F13:T17 F28:AD65536 J1:AD2 G1:I1">
    <cfRule type="cellIs" dxfId="0" priority="2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F27"/>
  <sheetViews>
    <sheetView workbookViewId="0">
      <selection activeCell="J19" sqref="J19"/>
    </sheetView>
  </sheetViews>
  <sheetFormatPr defaultColWidth="9" defaultRowHeight="18"/>
  <cols>
    <col min="1" max="1" width="36.28515625" style="40" customWidth="1"/>
    <col min="2" max="5" width="13.140625" style="40" customWidth="1"/>
    <col min="6" max="6" width="2.5703125" style="40" customWidth="1"/>
    <col min="7" max="7" width="11.42578125" style="40" customWidth="1"/>
    <col min="8" max="8" width="14.140625" style="40" customWidth="1"/>
    <col min="9" max="9" width="14.42578125" style="40" customWidth="1"/>
    <col min="10" max="11" width="15.5703125" style="40" customWidth="1"/>
    <col min="12" max="12" width="13.7109375" style="40" customWidth="1"/>
    <col min="13" max="13" width="14.140625" style="40" customWidth="1"/>
    <col min="14" max="14" width="4.85546875" style="40" customWidth="1"/>
    <col min="15" max="15" width="15.85546875" style="40" customWidth="1"/>
    <col min="16" max="17" width="9.28515625" style="40" customWidth="1"/>
    <col min="18" max="18" width="9.140625" style="40" customWidth="1"/>
    <col min="19" max="19" width="5.7109375" style="40" customWidth="1"/>
    <col min="20" max="20" width="2.7109375" style="40" customWidth="1"/>
    <col min="21" max="21" width="8.140625" style="40" customWidth="1"/>
    <col min="22" max="22" width="5.140625" style="40" customWidth="1"/>
    <col min="23" max="23" width="5.140625" style="149" customWidth="1"/>
    <col min="24" max="24" width="11.42578125" style="149" customWidth="1"/>
    <col min="25" max="27" width="9.85546875" style="149" customWidth="1"/>
    <col min="28" max="32" width="9.85546875" style="40" customWidth="1"/>
    <col min="33" max="36" width="6.42578125" style="40" customWidth="1"/>
    <col min="37" max="16384" width="9" style="40"/>
  </cols>
  <sheetData>
    <row r="1" spans="1:32">
      <c r="A1" s="41" t="s">
        <v>157</v>
      </c>
      <c r="B1" s="42">
        <f>'S1'!B1</f>
        <v>2019</v>
      </c>
      <c r="C1" s="42"/>
      <c r="D1" s="42"/>
      <c r="E1" s="42"/>
      <c r="F1" s="42"/>
    </row>
    <row r="3" spans="1:32">
      <c r="A3" s="198" t="s">
        <v>125</v>
      </c>
      <c r="B3" s="197">
        <v>1850</v>
      </c>
      <c r="C3" s="197">
        <v>1851</v>
      </c>
      <c r="D3" s="197">
        <v>1852</v>
      </c>
      <c r="E3" s="197">
        <v>1853</v>
      </c>
      <c r="F3" s="77"/>
    </row>
    <row r="4" spans="1:32">
      <c r="A4" s="50" t="s">
        <v>126</v>
      </c>
      <c r="B4" s="45">
        <f>'S1'!B4+'S2'!B4+'S3'!B4+'S4'!B4+'S5'!B4+'S6'!B4+'S7'!B4+'S8'!B4+'S9'!B4+'S10'!B4+'S11'!B4+'S12'!B4</f>
        <v>634.93799999999999</v>
      </c>
      <c r="C4" s="45">
        <f>'S1'!C4+'S2'!C4+'S3'!C4+'S4'!C4+'S5'!C4+'S6'!C4+'S7'!C4+'S8'!C4+'S9'!C4+'S10'!C4+'S11'!C4+'S12'!C4</f>
        <v>1046.5610000000001</v>
      </c>
      <c r="D4" s="45">
        <f>'S1'!D4+'S2'!D4+'S3'!D4+'S4'!D4+'S5'!D4+'S6'!D4+'S7'!D4+'S8'!D4+'S9'!D4+'S10'!D4+'S11'!D4+'S12'!D4</f>
        <v>752.75099999999986</v>
      </c>
      <c r="E4" s="45">
        <f>'S1'!E4+'S2'!E4+'S3'!E4+'S4'!E4+'S5'!E4+'S6'!E4+'S7'!E4+'S8'!E4+'S9'!E4+'S10'!E4+'S11'!E4+'S12'!E4</f>
        <v>910.51300000000026</v>
      </c>
      <c r="F4" s="47"/>
    </row>
    <row r="5" spans="1:32">
      <c r="A5" s="50" t="s">
        <v>127</v>
      </c>
      <c r="B5" s="44">
        <f>'S1'!B5+'S2'!B5+'S3'!B5+'S4'!B5+'S5'!B5+'S6'!B5+'S7'!B5+'S8'!B5+'S9'!B5+'S10'!B5+'S11'!B5+'S 29.11.-5.12.'!B5+'S12'!B5</f>
        <v>718.40000000000032</v>
      </c>
      <c r="C5" s="44">
        <f>'S1'!C5+'S2'!C5+'S3'!C5+'S4'!C5+'S5'!C5+'S6'!C5+'S7'!C5+'S8'!C5+'S9'!C5+'S10'!C5+'S11'!C5+'S12'!C5</f>
        <v>1148.6999999999998</v>
      </c>
      <c r="D5" s="44">
        <f>'S1'!D5+'S2'!D5+'S3'!D5+'S4'!D5+'S5'!D5+'S6'!D5+'S7'!D5+'S8'!D5+'S9'!D5+'S10'!D5+'S11'!D5+'S12'!D5</f>
        <v>892.99999999999966</v>
      </c>
      <c r="E5" s="157">
        <f>'S1'!E5+'S2'!E5+'S3'!E5+'S4'!E5+'S5'!E5+'S6'!E5+'S7'!E5+'S8'!E5+'S9'!E5+'S10'!E5+'S11'!E5+'S12'!E5</f>
        <v>973.59999999999991</v>
      </c>
      <c r="F5" s="78"/>
      <c r="G5" s="79" t="s">
        <v>158</v>
      </c>
      <c r="H5" s="80">
        <f>E5-B15</f>
        <v>845.25199999999995</v>
      </c>
      <c r="I5" s="81" t="s">
        <v>159</v>
      </c>
      <c r="J5" s="81" t="s">
        <v>160</v>
      </c>
      <c r="K5" s="82" t="s">
        <v>161</v>
      </c>
      <c r="L5" s="82"/>
    </row>
    <row r="6" spans="1:32">
      <c r="A6" s="50" t="s">
        <v>128</v>
      </c>
      <c r="B6" s="296">
        <f>SUM(B5:E5)</f>
        <v>3733.7</v>
      </c>
      <c r="C6" s="296"/>
      <c r="D6" s="296"/>
      <c r="E6" s="296"/>
      <c r="F6" s="83"/>
      <c r="G6" s="79" t="s">
        <v>162</v>
      </c>
      <c r="H6" s="80">
        <f>B15</f>
        <v>128.34799999999996</v>
      </c>
      <c r="I6" s="81" t="s">
        <v>163</v>
      </c>
      <c r="J6" s="81" t="s">
        <v>164</v>
      </c>
      <c r="K6" s="317" t="s">
        <v>161</v>
      </c>
      <c r="L6" s="158"/>
    </row>
    <row r="7" spans="1:32">
      <c r="A7" s="50" t="s">
        <v>129</v>
      </c>
      <c r="B7" s="301">
        <f>'1850'!R29-'1850'!E33+'1850'!E32-'1850'!C29</f>
        <v>3894.2000000000007</v>
      </c>
      <c r="C7" s="301"/>
      <c r="D7" s="301"/>
      <c r="E7" s="301"/>
      <c r="F7" s="83"/>
      <c r="G7" s="84" t="s">
        <v>158</v>
      </c>
      <c r="H7" s="85">
        <f>B7-B15</f>
        <v>3765.8520000000008</v>
      </c>
      <c r="I7" s="86" t="s">
        <v>165</v>
      </c>
      <c r="J7" s="86"/>
      <c r="K7" s="82" t="s">
        <v>161</v>
      </c>
      <c r="L7" s="82"/>
      <c r="O7" s="138" t="s">
        <v>188</v>
      </c>
      <c r="U7" s="206" t="s">
        <v>207</v>
      </c>
    </row>
    <row r="8" spans="1:32" ht="18.75" thickBot="1">
      <c r="A8" s="198" t="s">
        <v>130</v>
      </c>
      <c r="B8" s="202"/>
      <c r="C8" s="202"/>
      <c r="D8" s="202"/>
      <c r="E8" s="203"/>
      <c r="F8" s="47"/>
      <c r="G8" s="84" t="s">
        <v>162</v>
      </c>
      <c r="H8" s="85">
        <f>B15</f>
        <v>128.34799999999996</v>
      </c>
      <c r="I8" s="86" t="s">
        <v>163</v>
      </c>
      <c r="J8" s="86"/>
      <c r="K8" s="82" t="s">
        <v>161</v>
      </c>
      <c r="L8" s="82"/>
      <c r="O8" s="149" t="s">
        <v>194</v>
      </c>
      <c r="P8" s="151" t="s">
        <v>195</v>
      </c>
      <c r="Q8" s="151" t="s">
        <v>196</v>
      </c>
      <c r="R8" s="152" t="s">
        <v>190</v>
      </c>
      <c r="S8" s="150"/>
      <c r="T8"/>
      <c r="U8" s="118" t="s">
        <v>181</v>
      </c>
    </row>
    <row r="9" spans="1:32">
      <c r="A9" s="43" t="s">
        <v>131</v>
      </c>
      <c r="B9" s="45">
        <f>'S1'!B9+'S2'!B9+'S3'!B9+'S4'!B9+'S5'!B9+'S6'!B9+'S7'!B9+'S8'!B9+'S9'!B9+'S10'!B9+'S11'!B9+'S12'!B9</f>
        <v>149.70499999999998</v>
      </c>
      <c r="C9" s="45">
        <f>'S1'!C9+'S2'!C9+'S3'!C9+'S4'!C9+'S5'!C9+'S6'!C9+'S7'!C9+'S8'!C9+'S9'!C9+'S10'!C9+'S11'!C9+'S12'!C9</f>
        <v>240.83400000000006</v>
      </c>
      <c r="D9" s="45">
        <f>'S1'!D9+'S2'!D9+'S3'!D9+'S4'!D9+'S5'!D9+'S6'!D9+'S7'!D9+'S8'!D9+'S9'!D9+'S10'!D9+'S11'!D9+'S12'!D9</f>
        <v>213.58700000000005</v>
      </c>
      <c r="E9" s="45">
        <f>'S1'!E9+'S2'!E9+'S3'!E9+'S4'!E9+'S5'!E9+'S6'!E9+'S7'!E9+'S8'!E9+'S9'!E9+'S10'!E9+'S11'!E9+'S12'!E9</f>
        <v>174.79899999999998</v>
      </c>
      <c r="F9" s="47"/>
      <c r="O9" s="270" t="s">
        <v>208</v>
      </c>
      <c r="P9" s="271">
        <v>0</v>
      </c>
      <c r="Q9" s="271">
        <v>5.016</v>
      </c>
      <c r="R9" s="271">
        <f>Q9-P9</f>
        <v>5.016</v>
      </c>
      <c r="S9" s="272" t="s">
        <v>178</v>
      </c>
      <c r="T9" s="56"/>
      <c r="U9" s="136">
        <f>R23/R22*R9</f>
        <v>4.9487560188174538</v>
      </c>
      <c r="V9" s="137" t="s">
        <v>178</v>
      </c>
      <c r="W9" s="215"/>
    </row>
    <row r="10" spans="1:32">
      <c r="A10" s="43" t="s">
        <v>132</v>
      </c>
      <c r="B10" s="55">
        <f>'1850'!T27</f>
        <v>191.268</v>
      </c>
      <c r="C10" s="55">
        <f>'1851'!S27</f>
        <v>293.83200000000005</v>
      </c>
      <c r="D10" s="55">
        <f>'1852'!R27</f>
        <v>245.05199999999999</v>
      </c>
      <c r="E10" s="55">
        <f>'1853'!R28</f>
        <v>226.40400000000005</v>
      </c>
      <c r="F10" s="78"/>
      <c r="O10" s="273" t="s">
        <v>209</v>
      </c>
      <c r="P10" s="260">
        <v>0</v>
      </c>
      <c r="Q10" s="260">
        <v>4.1399999999999997</v>
      </c>
      <c r="R10" s="260">
        <f t="shared" ref="R10:R21" si="0">Q10-P10</f>
        <v>4.1399999999999997</v>
      </c>
      <c r="S10" s="262" t="s">
        <v>178</v>
      </c>
      <c r="T10" s="56"/>
      <c r="U10" s="136">
        <f>R23/R22*R10</f>
        <v>4.0844995849091417</v>
      </c>
      <c r="V10" s="137" t="s">
        <v>178</v>
      </c>
      <c r="W10" s="215"/>
    </row>
    <row r="11" spans="1:32">
      <c r="A11" s="198" t="s">
        <v>138</v>
      </c>
      <c r="B11" s="202"/>
      <c r="C11" s="202"/>
      <c r="D11" s="202"/>
      <c r="E11" s="203"/>
      <c r="F11" s="47"/>
      <c r="O11" s="273" t="s">
        <v>182</v>
      </c>
      <c r="P11" s="260">
        <v>0</v>
      </c>
      <c r="Q11" s="260">
        <v>5.1079999999999997</v>
      </c>
      <c r="R11" s="260">
        <f t="shared" si="0"/>
        <v>5.1079999999999997</v>
      </c>
      <c r="S11" s="262" t="s">
        <v>178</v>
      </c>
      <c r="T11" s="56"/>
      <c r="U11" s="136">
        <f>R23/R22*R11</f>
        <v>5.039522676259879</v>
      </c>
      <c r="V11" s="137" t="s">
        <v>178</v>
      </c>
      <c r="W11" s="215"/>
    </row>
    <row r="12" spans="1:32" ht="18.75" thickBot="1">
      <c r="A12" s="43" t="s">
        <v>134</v>
      </c>
      <c r="B12" s="154">
        <f>'1850'!R25-'1850'!C25</f>
        <v>3840</v>
      </c>
      <c r="C12" s="155">
        <f>'1851'!Q24-'1851'!D24</f>
        <v>3650</v>
      </c>
      <c r="D12" s="155">
        <f>'1852'!P25-'1852'!C25</f>
        <v>2935</v>
      </c>
      <c r="E12" s="155">
        <f>'1853'!P24-'1853'!C24</f>
        <v>3286</v>
      </c>
      <c r="F12" s="48"/>
      <c r="O12" s="273" t="s">
        <v>218</v>
      </c>
      <c r="P12" s="260">
        <v>0.4</v>
      </c>
      <c r="Q12" s="260">
        <v>6.4829999999999997</v>
      </c>
      <c r="R12" s="260">
        <f t="shared" ref="R12" si="1">Q12-P12</f>
        <v>6.0829999999999993</v>
      </c>
      <c r="S12" s="262" t="s">
        <v>178</v>
      </c>
      <c r="T12" s="56"/>
      <c r="U12" s="136">
        <f>R23/R22*R12</f>
        <v>6.00145192632906</v>
      </c>
      <c r="V12" s="137" t="s">
        <v>178</v>
      </c>
      <c r="W12" s="215"/>
    </row>
    <row r="13" spans="1:32">
      <c r="A13" s="47"/>
      <c r="B13" s="49"/>
      <c r="C13" s="49"/>
      <c r="D13" s="49"/>
      <c r="E13" s="49"/>
      <c r="F13" s="48"/>
      <c r="G13" s="48"/>
      <c r="H13" s="332" t="s">
        <v>166</v>
      </c>
      <c r="I13" s="297" t="s">
        <v>210</v>
      </c>
      <c r="J13" s="297"/>
      <c r="K13" s="297"/>
      <c r="L13" s="297"/>
      <c r="M13" s="297"/>
      <c r="N13" s="48"/>
      <c r="O13" s="261" t="s">
        <v>184</v>
      </c>
      <c r="P13" s="260">
        <v>28.95</v>
      </c>
      <c r="Q13" s="260">
        <v>39.5</v>
      </c>
      <c r="R13" s="260">
        <f t="shared" si="0"/>
        <v>10.55</v>
      </c>
      <c r="S13" s="262" t="s">
        <v>178</v>
      </c>
      <c r="T13" s="56"/>
      <c r="U13" s="136">
        <f>R23/R22*R13</f>
        <v>10.408567782799869</v>
      </c>
      <c r="V13" s="137" t="s">
        <v>178</v>
      </c>
      <c r="W13" s="215"/>
      <c r="X13" s="216"/>
      <c r="Y13" s="216"/>
    </row>
    <row r="14" spans="1:32">
      <c r="A14" s="47" t="s">
        <v>135</v>
      </c>
      <c r="B14" s="156">
        <f>'1853'!P25-'1853'!C25</f>
        <v>4427</v>
      </c>
      <c r="C14" s="49"/>
      <c r="D14" s="49"/>
      <c r="E14" s="49"/>
      <c r="F14" s="48"/>
      <c r="G14" s="87" t="s">
        <v>158</v>
      </c>
      <c r="H14" s="333" t="s">
        <v>167</v>
      </c>
      <c r="I14" s="330" t="s">
        <v>176</v>
      </c>
      <c r="J14" s="114" t="s">
        <v>170</v>
      </c>
      <c r="K14" s="114" t="s">
        <v>169</v>
      </c>
      <c r="L14" s="328" t="s">
        <v>198</v>
      </c>
      <c r="M14" s="114" t="s">
        <v>211</v>
      </c>
      <c r="N14" s="48"/>
      <c r="O14" s="122" t="s">
        <v>197</v>
      </c>
      <c r="P14" s="319">
        <v>0</v>
      </c>
      <c r="Q14" s="319">
        <v>0</v>
      </c>
      <c r="R14" s="120">
        <f t="shared" si="0"/>
        <v>0</v>
      </c>
      <c r="S14" s="121" t="s">
        <v>178</v>
      </c>
      <c r="T14" s="56"/>
      <c r="U14" s="136">
        <f>R23/R22*R14</f>
        <v>0</v>
      </c>
      <c r="V14" s="137" t="s">
        <v>178</v>
      </c>
      <c r="W14" s="215"/>
    </row>
    <row r="15" spans="1:32" ht="18.75" thickBot="1">
      <c r="A15" s="47" t="s">
        <v>136</v>
      </c>
      <c r="B15" s="88">
        <f>'1853'!P26-'1853'!D26</f>
        <v>128.34799999999996</v>
      </c>
      <c r="C15" s="49"/>
      <c r="D15" s="49"/>
      <c r="E15" s="49"/>
      <c r="F15" s="49"/>
      <c r="G15" s="87" t="s">
        <v>162</v>
      </c>
      <c r="H15" s="334">
        <f>U21</f>
        <v>0</v>
      </c>
      <c r="I15" s="331">
        <f>U18</f>
        <v>15.084037235187408</v>
      </c>
      <c r="J15" s="115">
        <f>U15</f>
        <v>36.15374089106173</v>
      </c>
      <c r="K15" s="115">
        <f>U13</f>
        <v>10.408567782799869</v>
      </c>
      <c r="L15" s="329">
        <f>U14</f>
        <v>0</v>
      </c>
      <c r="M15" s="115">
        <f>U9</f>
        <v>4.9487560188174538</v>
      </c>
      <c r="N15" s="48"/>
      <c r="O15" s="261" t="s">
        <v>183</v>
      </c>
      <c r="P15" s="260">
        <v>228.52500000000001</v>
      </c>
      <c r="Q15" s="260">
        <v>265.17</v>
      </c>
      <c r="R15" s="260">
        <f t="shared" si="0"/>
        <v>36.64500000000001</v>
      </c>
      <c r="S15" s="262" t="s">
        <v>178</v>
      </c>
      <c r="T15" s="56"/>
      <c r="U15" s="136">
        <f>R23/R22*R15</f>
        <v>36.15374089106173</v>
      </c>
      <c r="V15" s="137" t="s">
        <v>178</v>
      </c>
      <c r="W15" s="215"/>
      <c r="X15" s="216"/>
    </row>
    <row r="16" spans="1:32">
      <c r="A16" s="47"/>
      <c r="B16" s="49"/>
      <c r="C16" s="49"/>
      <c r="D16" s="49"/>
      <c r="E16" s="49"/>
      <c r="F16" s="48"/>
      <c r="G16" s="48"/>
      <c r="H16" s="48"/>
      <c r="I16" s="207"/>
      <c r="J16" s="207"/>
      <c r="K16" s="207"/>
      <c r="L16" s="207"/>
      <c r="M16" s="207"/>
      <c r="N16" s="48"/>
      <c r="O16" s="261" t="s">
        <v>212</v>
      </c>
      <c r="P16" s="260">
        <v>5.782</v>
      </c>
      <c r="Q16" s="260">
        <v>14.51</v>
      </c>
      <c r="R16" s="260">
        <f t="shared" si="0"/>
        <v>8.7279999999999998</v>
      </c>
      <c r="S16" s="262" t="s">
        <v>178</v>
      </c>
      <c r="T16" s="56"/>
      <c r="U16" s="136">
        <f>R23/R22*R16</f>
        <v>8.6109933277987913</v>
      </c>
      <c r="V16" s="137" t="s">
        <v>178</v>
      </c>
      <c r="W16" s="215"/>
      <c r="X16" s="216"/>
      <c r="Y16" s="216"/>
      <c r="Z16" s="216"/>
      <c r="AA16" s="216"/>
      <c r="AB16" s="48"/>
      <c r="AC16" s="48"/>
      <c r="AD16" s="48"/>
      <c r="AE16" s="48"/>
      <c r="AF16" s="48"/>
    </row>
    <row r="17" spans="1:25">
      <c r="B17" s="153"/>
      <c r="C17" s="153"/>
      <c r="D17" s="153"/>
      <c r="E17" s="153"/>
      <c r="H17" s="114" t="s">
        <v>217</v>
      </c>
      <c r="I17" s="114" t="s">
        <v>347</v>
      </c>
      <c r="J17" s="114" t="s">
        <v>214</v>
      </c>
      <c r="K17" s="114" t="s">
        <v>215</v>
      </c>
      <c r="L17" s="114" t="s">
        <v>168</v>
      </c>
      <c r="M17" s="114" t="s">
        <v>216</v>
      </c>
      <c r="O17" s="261" t="s">
        <v>213</v>
      </c>
      <c r="P17" s="260">
        <v>8.2840000000000007</v>
      </c>
      <c r="Q17" s="260">
        <v>35.159999999999997</v>
      </c>
      <c r="R17" s="260">
        <f>Q17-P17</f>
        <v>26.875999999999998</v>
      </c>
      <c r="S17" s="262" t="s">
        <v>178</v>
      </c>
      <c r="T17" s="56"/>
      <c r="U17" s="136">
        <f>R23/R22*R17</f>
        <v>26.515703102419831</v>
      </c>
      <c r="V17" s="137" t="s">
        <v>178</v>
      </c>
      <c r="W17" s="216"/>
    </row>
    <row r="18" spans="1:25">
      <c r="A18" s="196" t="s">
        <v>125</v>
      </c>
      <c r="B18" s="204">
        <v>1854</v>
      </c>
      <c r="C18" s="204">
        <v>1855</v>
      </c>
      <c r="D18" s="204">
        <v>1856</v>
      </c>
      <c r="E18" s="204">
        <v>1857</v>
      </c>
      <c r="F18" s="77"/>
      <c r="H18" s="115">
        <f>U12</f>
        <v>6.00145192632906</v>
      </c>
      <c r="I18" s="115">
        <f>U20</f>
        <v>11.500727454416804</v>
      </c>
      <c r="J18" s="115">
        <f>U17</f>
        <v>26.515703102419831</v>
      </c>
      <c r="K18" s="115">
        <f>U16</f>
        <v>8.6109933277987913</v>
      </c>
      <c r="L18" s="115">
        <f>U11</f>
        <v>5.039522676259879</v>
      </c>
      <c r="M18" s="115">
        <f>U10</f>
        <v>4.0844995849091417</v>
      </c>
      <c r="O18" s="261" t="s">
        <v>223</v>
      </c>
      <c r="P18" s="260">
        <v>30.757000000000001</v>
      </c>
      <c r="Q18" s="260">
        <v>40.451999999999998</v>
      </c>
      <c r="R18" s="298">
        <f>Q18-P18+Q19-P19</f>
        <v>15.288999999999998</v>
      </c>
      <c r="S18" s="262" t="s">
        <v>178</v>
      </c>
      <c r="T18" s="56"/>
      <c r="U18" s="300">
        <f>R23/R22*R18</f>
        <v>15.084037235187408</v>
      </c>
      <c r="V18" s="137" t="s">
        <v>178</v>
      </c>
      <c r="W18" s="216"/>
      <c r="X18" s="149" t="s">
        <v>225</v>
      </c>
    </row>
    <row r="19" spans="1:25">
      <c r="A19" s="43" t="s">
        <v>126</v>
      </c>
      <c r="B19" s="45">
        <f>'S1'!B19+'S2'!B19+'S3'!B19+'S4'!B19+'S5'!B19+'S6'!B19+'S7'!B19+'S8'!B19+'S9'!B19+'S10'!B19+'S11'!B19+'S 29.11.-5.12.'!B9+'S12'!B19</f>
        <v>606.39399999999978</v>
      </c>
      <c r="C19" s="45">
        <f>'S1'!C19+'S2'!C19+'S3'!C19+'S4'!C19+'S5'!C19+'S6'!C19+'S7'!C19+'S8'!C19+'S9'!C19+'S10'!C19+'S11'!C19+'S 29.11.-5.12.'!C9+'S12'!C19</f>
        <v>786.23300000000052</v>
      </c>
      <c r="D19" s="45">
        <f>'S1'!D19+'S2'!D19+'S3'!D19+'S4'!D19+'S5'!D19+'S6'!D19+'S7'!D19+'S8'!D19+'S9'!D19+'S10'!D19+'S11'!D19+'S 29.11.-5.12.'!D9+'S12'!D19</f>
        <v>746.649</v>
      </c>
      <c r="E19" s="45">
        <f>'S1'!E19+'S2'!E19+'S3'!E19+'S4'!E19+'S5'!E19+'S6'!E19+'S7'!E19+'S8'!E19+'S9'!E19+'S10'!E19+'S11'!E19+'S 29.11.-5.12.'!E9+'S12'!E19</f>
        <v>747.92599999999982</v>
      </c>
      <c r="F19" s="47"/>
      <c r="O19" s="261" t="s">
        <v>224</v>
      </c>
      <c r="P19" s="260">
        <v>0</v>
      </c>
      <c r="Q19" s="260">
        <v>5.5940000000000003</v>
      </c>
      <c r="R19" s="299"/>
      <c r="S19" s="262" t="s">
        <v>178</v>
      </c>
      <c r="T19" s="56"/>
      <c r="U19" s="300"/>
      <c r="V19" s="137" t="s">
        <v>178</v>
      </c>
      <c r="W19" s="216"/>
      <c r="X19" s="149" t="s">
        <v>226</v>
      </c>
    </row>
    <row r="20" spans="1:25">
      <c r="A20" s="43" t="s">
        <v>127</v>
      </c>
      <c r="B20" s="44">
        <f>'S1'!B20+'S2'!B20+'S3'!B20+'S4'!B20+'S5'!B20+'S6'!B20+'S7'!B20+'S8'!B20+'S9'!B20+'S10'!B20+'S11'!B20+'S 29.11.-5.12.'!B10+'S12'!B20</f>
        <v>665.1999999999997</v>
      </c>
      <c r="C20" s="44">
        <f>'S1'!C20+'S2'!C20+'S3'!C20+'S4'!C20+'S5'!C20+'S6'!C20+'S7'!C20+'S8'!C20+'S9'!C20+'S10'!C20+'S11'!C20+'S 29.11.-5.12.'!C10+'S12'!C20</f>
        <v>940.3000000000003</v>
      </c>
      <c r="D20" s="44">
        <f>'S1'!D20+'S2'!D20+'S3'!D20+'S4'!D20+'S5'!D20+'S6'!D20+'S7'!D20+'S8'!D20+'S9'!D20+'S10'!D20+'S11'!D20+'S 29.11.-5.12.'!D10+'S12'!D20</f>
        <v>824.2</v>
      </c>
      <c r="E20" s="44">
        <f>'S1'!E20+'S2'!E20+'S3'!E20+'S4'!E20+'S5'!E20+'S6'!E20+'S7'!E20+'S8'!E20+'S9'!E20+'S10'!E20+'S11'!E20+'S 29.11.-5.12.'!E10+'S12'!E20</f>
        <v>906.1999999999997</v>
      </c>
      <c r="F20" s="47"/>
      <c r="O20" s="263" t="s">
        <v>348</v>
      </c>
      <c r="P20" s="264">
        <v>643.69100000000003</v>
      </c>
      <c r="Q20" s="264">
        <v>655.34799999999996</v>
      </c>
      <c r="R20" s="265">
        <f>Q20-P20</f>
        <v>11.656999999999925</v>
      </c>
      <c r="S20" s="266" t="s">
        <v>178</v>
      </c>
      <c r="T20" s="56"/>
      <c r="U20" s="274">
        <f>R23/R22*R20</f>
        <v>11.500727454416804</v>
      </c>
      <c r="V20" s="137" t="s">
        <v>178</v>
      </c>
      <c r="W20" s="216"/>
    </row>
    <row r="21" spans="1:25" ht="18.75" thickBot="1">
      <c r="A21" s="43" t="s">
        <v>128</v>
      </c>
      <c r="B21" s="296">
        <f>SUM(B20:E20)</f>
        <v>3335.8999999999996</v>
      </c>
      <c r="C21" s="296"/>
      <c r="D21" s="296"/>
      <c r="E21" s="296"/>
      <c r="F21" s="83"/>
      <c r="O21" s="123" t="s">
        <v>185</v>
      </c>
      <c r="P21" s="124">
        <v>0</v>
      </c>
      <c r="Q21" s="125">
        <v>0</v>
      </c>
      <c r="R21" s="125">
        <f t="shared" si="0"/>
        <v>0</v>
      </c>
      <c r="S21" s="126" t="s">
        <v>178</v>
      </c>
      <c r="T21" s="56"/>
      <c r="U21" s="136">
        <f>R23/R22*R21</f>
        <v>0</v>
      </c>
      <c r="V21" s="137" t="s">
        <v>178</v>
      </c>
    </row>
    <row r="22" spans="1:25">
      <c r="A22" s="43" t="s">
        <v>129</v>
      </c>
      <c r="B22" s="296">
        <f>'1854'!R29-'1854'!C29</f>
        <v>3287.9000000000015</v>
      </c>
      <c r="C22" s="296"/>
      <c r="D22" s="296"/>
      <c r="E22" s="296"/>
      <c r="F22" s="83"/>
      <c r="O22" s="127" t="s">
        <v>189</v>
      </c>
      <c r="P22" s="127"/>
      <c r="Q22" s="127"/>
      <c r="R22" s="127">
        <f>SUM(R9:R21)</f>
        <v>130.09199999999993</v>
      </c>
      <c r="S22" s="128" t="s">
        <v>178</v>
      </c>
      <c r="T22" s="119"/>
      <c r="U22" s="119"/>
      <c r="V22" s="48"/>
    </row>
    <row r="23" spans="1:25">
      <c r="A23" s="198" t="s">
        <v>130</v>
      </c>
      <c r="B23" s="202"/>
      <c r="C23" s="202"/>
      <c r="D23" s="202"/>
      <c r="E23" s="203"/>
      <c r="F23" s="47"/>
      <c r="H23" s="320" t="s">
        <v>350</v>
      </c>
      <c r="I23" s="320"/>
      <c r="J23" s="320"/>
      <c r="K23" s="320" t="s">
        <v>351</v>
      </c>
      <c r="L23" s="321" t="s">
        <v>352</v>
      </c>
      <c r="M23" s="321"/>
      <c r="O23" s="129" t="s">
        <v>186</v>
      </c>
      <c r="P23" s="130"/>
      <c r="Q23" s="130"/>
      <c r="R23" s="131">
        <f>B15</f>
        <v>128.34799999999996</v>
      </c>
      <c r="S23" s="132" t="s">
        <v>178</v>
      </c>
      <c r="T23"/>
      <c r="U23" s="135">
        <f>SUM(U9:U21)</f>
        <v>128.34799999999998</v>
      </c>
      <c r="V23" s="48"/>
      <c r="X23" s="268"/>
      <c r="Y23" s="269"/>
    </row>
    <row r="24" spans="1:25">
      <c r="A24" s="43" t="s">
        <v>131</v>
      </c>
      <c r="B24" s="45">
        <f>'S1'!B24+'S2'!B24+'S3'!B24+'S4'!B24+'S5'!B24+'S6'!B24+'S7'!B24+'S8'!B24+'S9'!B24+'S10'!B24+'S11'!B24+'S12'!B24</f>
        <v>200.58000000000004</v>
      </c>
      <c r="C24" s="45">
        <f>'S1'!C24+'S2'!C24+'S3'!C24+'S4'!C24+'S5'!C24+'S6'!C24+'S7'!C24+'S8'!C24+'S9'!C24+'S10'!C24+'S11'!C24+'S12'!C24</f>
        <v>241.54300000000003</v>
      </c>
      <c r="D24" s="45">
        <f>'S1'!D24+'S2'!D24+'S3'!D24+'S4'!D24+'S5'!D24+'S6'!D24+'S7'!D24+'S8'!D24+'S9'!D24+'S10'!D24+'S11'!D24+'S12'!D24</f>
        <v>188.88200000000006</v>
      </c>
      <c r="E24" s="45">
        <f>'S1'!E24+'S2'!E24+'S3'!E24+'S4'!E24+'S5'!E24+'S6'!E24+'S7'!E24+'S8'!E24+'S9'!E24+'S10'!E24+'S11'!E24+'S12'!E24</f>
        <v>197.46200000000002</v>
      </c>
      <c r="F24" s="47"/>
      <c r="H24" s="322" t="s">
        <v>61</v>
      </c>
      <c r="I24" s="323">
        <f>B7+B22</f>
        <v>7182.1000000000022</v>
      </c>
      <c r="J24" s="322" t="s">
        <v>178</v>
      </c>
      <c r="K24" s="324">
        <v>88.34</v>
      </c>
      <c r="L24" s="325">
        <f>I24*K24</f>
        <v>634466.71400000027</v>
      </c>
      <c r="M24" s="325"/>
      <c r="O24"/>
      <c r="P24"/>
      <c r="Q24" s="30" t="s">
        <v>187</v>
      </c>
      <c r="R24" s="134">
        <f>R23-R22</f>
        <v>-1.7439999999999714</v>
      </c>
      <c r="S24" s="133" t="s">
        <v>178</v>
      </c>
      <c r="T24"/>
      <c r="U24"/>
      <c r="X24" s="267"/>
      <c r="Y24" s="269"/>
    </row>
    <row r="25" spans="1:25">
      <c r="A25" s="43" t="s">
        <v>132</v>
      </c>
      <c r="B25" s="55">
        <f>('1854'!R27-'1854'!C27)*3.6</f>
        <v>229.57200000000003</v>
      </c>
      <c r="C25" s="55">
        <f>('1855'!R27-'1855'!C27)*3.6</f>
        <v>286.74</v>
      </c>
      <c r="D25" s="55">
        <f>('1856'!R27-'1856'!C27)*3.6</f>
        <v>216.57599999999999</v>
      </c>
      <c r="E25" s="55">
        <f>('1857'!R27-'1857'!C27)*3.6</f>
        <v>235.40399999999997</v>
      </c>
      <c r="F25" s="78"/>
      <c r="H25" s="322" t="s">
        <v>62</v>
      </c>
      <c r="I25" s="326">
        <f>B10+C10+D10+E10+B25+C25+D25+E25</f>
        <v>1924.8480000000002</v>
      </c>
      <c r="J25" s="322" t="s">
        <v>177</v>
      </c>
      <c r="K25" s="324">
        <f>608*1.15</f>
        <v>699.19999999999993</v>
      </c>
      <c r="L25" s="325">
        <f>I25*K25</f>
        <v>1345853.7216</v>
      </c>
      <c r="M25" s="325"/>
      <c r="X25" s="267"/>
      <c r="Y25" s="269"/>
    </row>
    <row r="26" spans="1:25">
      <c r="A26" s="198" t="s">
        <v>138</v>
      </c>
      <c r="B26" s="202"/>
      <c r="C26" s="202"/>
      <c r="D26" s="202"/>
      <c r="E26" s="203"/>
      <c r="F26" s="47"/>
      <c r="H26" s="322" t="s">
        <v>353</v>
      </c>
      <c r="I26" s="327">
        <f>B12+C12+D12+E12+B27+C27+D27+E27+B14</f>
        <v>31108</v>
      </c>
      <c r="J26" s="322" t="s">
        <v>354</v>
      </c>
      <c r="K26" s="324">
        <v>6</v>
      </c>
      <c r="L26" s="325">
        <f>I26*K26</f>
        <v>186648</v>
      </c>
      <c r="M26" s="325"/>
      <c r="X26" s="267"/>
      <c r="Y26" s="269"/>
    </row>
    <row r="27" spans="1:25">
      <c r="A27" s="43" t="s">
        <v>134</v>
      </c>
      <c r="B27" s="155">
        <f>'1854'!R25-'1854'!C25</f>
        <v>3448</v>
      </c>
      <c r="C27" s="155">
        <f>'1855'!R25-'1855'!C25</f>
        <v>3189</v>
      </c>
      <c r="D27" s="155">
        <f>'1856'!R25-'1856'!C25</f>
        <v>2735</v>
      </c>
      <c r="E27" s="155">
        <f>'1857'!R25-'1857'!C25</f>
        <v>3598</v>
      </c>
      <c r="F27" s="48"/>
    </row>
  </sheetData>
  <sheetProtection selectLockedCells="1" selectUnlockedCells="1"/>
  <mergeCells count="11">
    <mergeCell ref="B21:E21"/>
    <mergeCell ref="I13:M13"/>
    <mergeCell ref="R18:R19"/>
    <mergeCell ref="U18:U19"/>
    <mergeCell ref="B6:E6"/>
    <mergeCell ref="B7:E7"/>
    <mergeCell ref="L23:M23"/>
    <mergeCell ref="L24:M24"/>
    <mergeCell ref="L25:M25"/>
    <mergeCell ref="L26:M26"/>
    <mergeCell ref="B22:E22"/>
  </mergeCells>
  <conditionalFormatting sqref="U31:V65539 W32:W65539 P18:U18 P16:Q17 X30:X65538 X16:X17 G5:G8 B1:B1048576 C1:F5 C8:F20 C23:F65536 G1:X2 G28:G65536 G13:G17 H13:H16 I13 P15:R15 H27:N65536 O30:T65539 I14:N16 O14:O17 P15:P18 W18:W21 S19:T20 O19:Q20">
    <cfRule type="cellIs" dxfId="1" priority="6" stopIfTrue="1" operator="lessThan">
      <formula>0</formula>
    </cfRule>
  </conditionalFormatting>
  <conditionalFormatting sqref="T32:U65540 V33:V65540 O21:T21 V21:V22 O17:P18 O31:S65540 G5:G8 G1:V2 G28:G65536 G13:G17 H13:H16 I13 N13:N16 I14:M18 H27:H65536 N27:N65536 I28:M65537 O16:Q16 H18">
    <cfRule type="cellIs" dxfId="614" priority="5" stopIfTrue="1" operator="lessThan">
      <formula>0</formula>
    </cfRule>
  </conditionalFormatting>
  <conditionalFormatting sqref="O23:T23 V23:V24 O21:P22 O18:Q18">
    <cfRule type="cellIs" dxfId="613" priority="4" stopIfTrue="1" operator="lessThan">
      <formula>0</formula>
    </cfRule>
  </conditionalFormatting>
  <conditionalFormatting sqref="O19:P19">
    <cfRule type="cellIs" dxfId="612" priority="3" stopIfTrue="1" operator="lessThan">
      <formula>0</formula>
    </cfRule>
  </conditionalFormatting>
  <conditionalFormatting sqref="O19:Q19">
    <cfRule type="cellIs" dxfId="611" priority="2" stopIfTrue="1" operator="lessThan">
      <formula>0</formula>
    </cfRule>
  </conditionalFormatting>
  <conditionalFormatting sqref="H17">
    <cfRule type="cellIs" dxfId="610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0"/>
  <sheetViews>
    <sheetView topLeftCell="A27" workbookViewId="0">
      <selection activeCell="G28" sqref="G28:G29"/>
    </sheetView>
  </sheetViews>
  <sheetFormatPr defaultRowHeight="15"/>
  <cols>
    <col min="1" max="1" width="9.140625" style="56"/>
    <col min="2" max="2" width="10.28515625" style="56" customWidth="1"/>
    <col min="3" max="4" width="7" style="56" customWidth="1"/>
    <col min="5" max="5" width="9" style="56" customWidth="1"/>
    <col min="6" max="7" width="7" style="56" customWidth="1"/>
    <col min="8" max="8" width="7.7109375" style="56" customWidth="1"/>
    <col min="9" max="9" width="7" style="56" customWidth="1"/>
    <col min="10" max="10" width="6.85546875" style="56" customWidth="1"/>
    <col min="11" max="11" width="9" style="56" customWidth="1"/>
    <col min="12" max="22" width="7" style="56" customWidth="1"/>
    <col min="23" max="23" width="8" style="56" customWidth="1"/>
    <col min="24" max="26" width="7" style="56" customWidth="1"/>
    <col min="27" max="16384" width="9.140625" style="56"/>
  </cols>
  <sheetData>
    <row r="1" spans="1:27" ht="18.75">
      <c r="A1" s="57" t="s">
        <v>149</v>
      </c>
      <c r="F1" s="57">
        <f>'S1'!B1</f>
        <v>2019</v>
      </c>
    </row>
    <row r="2" spans="1:27" ht="11.25" customHeight="1">
      <c r="A2" s="57"/>
    </row>
    <row r="3" spans="1:27" hidden="1">
      <c r="C3" s="56">
        <v>1850</v>
      </c>
      <c r="F3" s="56">
        <v>51</v>
      </c>
      <c r="I3" s="56">
        <v>52</v>
      </c>
      <c r="L3" s="56">
        <v>53</v>
      </c>
      <c r="O3" s="56">
        <v>54</v>
      </c>
      <c r="R3" s="56">
        <v>55</v>
      </c>
      <c r="U3" s="56">
        <v>56</v>
      </c>
      <c r="X3" s="56">
        <v>57</v>
      </c>
    </row>
    <row r="4" spans="1:27" s="59" customFormat="1" ht="18.75">
      <c r="A4" s="295"/>
      <c r="B4" s="295"/>
      <c r="C4" s="292">
        <v>1850</v>
      </c>
      <c r="D4" s="292"/>
      <c r="E4" s="292"/>
      <c r="F4" s="292">
        <v>1851</v>
      </c>
      <c r="G4" s="292"/>
      <c r="H4" s="292"/>
      <c r="I4" s="292">
        <v>1852</v>
      </c>
      <c r="J4" s="292"/>
      <c r="K4" s="292"/>
      <c r="L4" s="292">
        <v>1853</v>
      </c>
      <c r="M4" s="292"/>
      <c r="N4" s="292"/>
      <c r="O4" s="292">
        <v>1854</v>
      </c>
      <c r="P4" s="292"/>
      <c r="Q4" s="292"/>
      <c r="R4" s="292">
        <v>1855</v>
      </c>
      <c r="S4" s="292"/>
      <c r="T4" s="292"/>
      <c r="U4" s="292">
        <v>1856</v>
      </c>
      <c r="V4" s="292"/>
      <c r="W4" s="292"/>
      <c r="X4" s="292">
        <v>1857</v>
      </c>
      <c r="Y4" s="292"/>
      <c r="Z4" s="292"/>
      <c r="AA4" s="58"/>
    </row>
    <row r="5" spans="1:27" ht="30">
      <c r="A5" s="295"/>
      <c r="B5" s="295"/>
      <c r="C5" s="60" t="s">
        <v>150</v>
      </c>
      <c r="D5" s="61" t="s">
        <v>151</v>
      </c>
      <c r="E5" s="61" t="s">
        <v>152</v>
      </c>
      <c r="F5" s="60" t="s">
        <v>150</v>
      </c>
      <c r="G5" s="61" t="s">
        <v>151</v>
      </c>
      <c r="H5" s="61" t="s">
        <v>152</v>
      </c>
      <c r="I5" s="60" t="s">
        <v>150</v>
      </c>
      <c r="J5" s="61" t="s">
        <v>151</v>
      </c>
      <c r="K5" s="61" t="s">
        <v>152</v>
      </c>
      <c r="L5" s="60" t="s">
        <v>150</v>
      </c>
      <c r="M5" s="61" t="s">
        <v>151</v>
      </c>
      <c r="N5" s="61" t="s">
        <v>152</v>
      </c>
      <c r="O5" s="60" t="s">
        <v>150</v>
      </c>
      <c r="P5" s="61" t="s">
        <v>151</v>
      </c>
      <c r="Q5" s="61" t="s">
        <v>152</v>
      </c>
      <c r="R5" s="60" t="s">
        <v>150</v>
      </c>
      <c r="S5" s="61" t="s">
        <v>151</v>
      </c>
      <c r="T5" s="61" t="s">
        <v>152</v>
      </c>
      <c r="U5" s="60" t="s">
        <v>150</v>
      </c>
      <c r="V5" s="61" t="s">
        <v>151</v>
      </c>
      <c r="W5" s="61" t="s">
        <v>152</v>
      </c>
      <c r="X5" s="60" t="s">
        <v>150</v>
      </c>
      <c r="Y5" s="61" t="s">
        <v>151</v>
      </c>
      <c r="Z5" s="61" t="s">
        <v>152</v>
      </c>
      <c r="AA5" s="62"/>
    </row>
    <row r="6" spans="1:27">
      <c r="A6" s="285" t="s">
        <v>4</v>
      </c>
      <c r="B6" s="63" t="s">
        <v>153</v>
      </c>
      <c r="C6" s="63">
        <f>'S1'!B9</f>
        <v>34.396999999999991</v>
      </c>
      <c r="D6" s="291">
        <f>'S1'!B10-'S1'!B9</f>
        <v>5.4910000000000565</v>
      </c>
      <c r="E6" s="283">
        <f>D6/C7</f>
        <v>0.13766044925792342</v>
      </c>
      <c r="F6" s="63">
        <f>'S1'!C9</f>
        <v>46.584999999999994</v>
      </c>
      <c r="G6" s="291">
        <f>'S1'!C10-'S1'!C9</f>
        <v>4.5710000000000335</v>
      </c>
      <c r="H6" s="283">
        <f>G6/F7</f>
        <v>8.9354132457581337E-2</v>
      </c>
      <c r="I6" s="164">
        <f>'S1'!D9</f>
        <v>41.175000000000011</v>
      </c>
      <c r="J6" s="293">
        <f>'S1'!D10-'S1'!D9</f>
        <v>3.3210000000000406</v>
      </c>
      <c r="K6" s="294">
        <f>J6/I7</f>
        <v>7.4635922330097915E-2</v>
      </c>
      <c r="L6" s="63">
        <f>'S1'!E9</f>
        <v>39.645000000000003</v>
      </c>
      <c r="M6" s="291">
        <f>'S1'!E10-'S1'!E9</f>
        <v>5.4990000000000734</v>
      </c>
      <c r="N6" s="283">
        <f>M6/L7</f>
        <v>0.12181020733652455</v>
      </c>
      <c r="O6" s="63">
        <f>'S1'!B24</f>
        <v>41.645999999999994</v>
      </c>
      <c r="P6" s="291">
        <f>'S1'!B25-'S1'!B24</f>
        <v>3.8940000000000268</v>
      </c>
      <c r="Q6" s="283">
        <f>P6/O7</f>
        <v>8.5507246376812146E-2</v>
      </c>
      <c r="R6" s="63">
        <f>'S1'!C24</f>
        <v>46.87299999999999</v>
      </c>
      <c r="S6" s="291">
        <f>'S1'!C25-'S1'!C24</f>
        <v>-5.3289999999999154</v>
      </c>
      <c r="T6" s="283">
        <f>S6/R7</f>
        <v>-0.12827363758905994</v>
      </c>
      <c r="U6" s="63">
        <f>'S1'!D24</f>
        <v>40.931999999999988</v>
      </c>
      <c r="V6" s="291">
        <f>'S1'!D25-'S1'!D24</f>
        <v>4.5720000000000667</v>
      </c>
      <c r="W6" s="283">
        <f>V6/U7</f>
        <v>0.10047468354430514</v>
      </c>
      <c r="X6" s="63">
        <f>'S1'!E24</f>
        <v>42.524000000000008</v>
      </c>
      <c r="Y6" s="291">
        <f>'S1'!E25-'S1'!E24</f>
        <v>5.2119999999999607</v>
      </c>
      <c r="Z6" s="283">
        <f>Y6/X7</f>
        <v>0.10918384447796137</v>
      </c>
    </row>
    <row r="7" spans="1:27">
      <c r="A7" s="285"/>
      <c r="B7" s="63" t="s">
        <v>154</v>
      </c>
      <c r="C7" s="63">
        <f>'S1'!B10</f>
        <v>39.888000000000048</v>
      </c>
      <c r="D7" s="291"/>
      <c r="E7" s="283"/>
      <c r="F7" s="63">
        <f>'S1'!C10</f>
        <v>51.156000000000027</v>
      </c>
      <c r="G7" s="291"/>
      <c r="H7" s="283"/>
      <c r="I7" s="164">
        <f>'S1'!D10</f>
        <v>44.496000000000052</v>
      </c>
      <c r="J7" s="293"/>
      <c r="K7" s="294"/>
      <c r="L7" s="63">
        <f>'S1'!E10</f>
        <v>45.144000000000077</v>
      </c>
      <c r="M7" s="291"/>
      <c r="N7" s="283"/>
      <c r="O7" s="63">
        <f>'S1'!B25</f>
        <v>45.54000000000002</v>
      </c>
      <c r="P7" s="291"/>
      <c r="Q7" s="283"/>
      <c r="R7" s="191">
        <f>'S1'!C25</f>
        <v>41.544000000000075</v>
      </c>
      <c r="S7" s="291"/>
      <c r="T7" s="283"/>
      <c r="U7" s="63">
        <f>'S1'!D25</f>
        <v>45.504000000000055</v>
      </c>
      <c r="V7" s="291"/>
      <c r="W7" s="283"/>
      <c r="X7" s="63">
        <f>'S1'!E25</f>
        <v>47.735999999999969</v>
      </c>
      <c r="Y7" s="291"/>
      <c r="Z7" s="283"/>
    </row>
    <row r="8" spans="1:27">
      <c r="A8" s="285" t="s">
        <v>5</v>
      </c>
      <c r="B8" s="63" t="s">
        <v>153</v>
      </c>
      <c r="C8" s="63">
        <f>'S2'!B9</f>
        <v>21.748000000000008</v>
      </c>
      <c r="D8" s="284">
        <f>'S2'!B10-'S2'!B9</f>
        <v>4.4959999999999631</v>
      </c>
      <c r="E8" s="283">
        <f>D8/C9</f>
        <v>0.17131534827007958</v>
      </c>
      <c r="F8" s="64">
        <f>'S2'!C9</f>
        <v>33.561999999999998</v>
      </c>
      <c r="G8" s="284">
        <f>'S2'!C10-'S2'!C9</f>
        <v>4.0220000000000979</v>
      </c>
      <c r="H8" s="283">
        <f>G8/F9</f>
        <v>0.10701362281822285</v>
      </c>
      <c r="I8" s="64">
        <f>'S2'!D9</f>
        <v>30.42799999999999</v>
      </c>
      <c r="J8" s="284">
        <f>'S2'!D10-'S2'!D9</f>
        <v>2.9079999999999799</v>
      </c>
      <c r="K8" s="283">
        <f>J8/I9</f>
        <v>8.7233021358290808E-2</v>
      </c>
      <c r="L8" s="64">
        <f>'S2'!E9</f>
        <v>27.014999999999993</v>
      </c>
      <c r="M8" s="284">
        <f>'S2'!E10-'S2'!E9</f>
        <v>5.277000000000001</v>
      </c>
      <c r="N8" s="283">
        <f>M8/L9</f>
        <v>0.16341508732813087</v>
      </c>
      <c r="O8" s="64">
        <f>'S2'!B24</f>
        <v>29.796000000000006</v>
      </c>
      <c r="P8" s="284">
        <f>'S2'!B25-'S2'!B24</f>
        <v>3.0360000000000085</v>
      </c>
      <c r="Q8" s="283">
        <f>P8/O9</f>
        <v>9.2470760233918342E-2</v>
      </c>
      <c r="R8" s="64">
        <f>'S2'!C24</f>
        <v>32.327000000000012</v>
      </c>
      <c r="S8" s="284">
        <f>'S2'!C25-'S2'!C24</f>
        <v>7.81299999999991</v>
      </c>
      <c r="T8" s="283">
        <f>S8/R9</f>
        <v>0.1946437468858975</v>
      </c>
      <c r="U8" s="64">
        <f>'S2'!D24</f>
        <v>26.366000000000007</v>
      </c>
      <c r="V8" s="284">
        <f>'S2'!D25-'S2'!D24</f>
        <v>3.0099999999999802</v>
      </c>
      <c r="W8" s="283">
        <f>V8/U9</f>
        <v>0.10246459694989044</v>
      </c>
      <c r="X8" s="64">
        <f>'S2'!E24</f>
        <v>27.817999999999998</v>
      </c>
      <c r="Y8" s="284">
        <f>'S2'!E25-'S2'!E24</f>
        <v>3.4300000000000281</v>
      </c>
      <c r="Z8" s="283">
        <f>Y8/X9</f>
        <v>0.10976702508960655</v>
      </c>
    </row>
    <row r="9" spans="1:27">
      <c r="A9" s="285"/>
      <c r="B9" s="63" t="s">
        <v>154</v>
      </c>
      <c r="C9" s="64">
        <f>'S2'!B10</f>
        <v>26.243999999999971</v>
      </c>
      <c r="D9" s="284"/>
      <c r="E9" s="283"/>
      <c r="F9" s="64">
        <f>'S2'!C10</f>
        <v>37.584000000000096</v>
      </c>
      <c r="G9" s="284"/>
      <c r="H9" s="283"/>
      <c r="I9" s="64">
        <f>'S2'!D10</f>
        <v>33.33599999999997</v>
      </c>
      <c r="J9" s="284"/>
      <c r="K9" s="283"/>
      <c r="L9" s="64">
        <f>'S2'!E10</f>
        <v>32.291999999999994</v>
      </c>
      <c r="M9" s="284"/>
      <c r="N9" s="283"/>
      <c r="O9" s="64">
        <f>'S2'!B25</f>
        <v>32.832000000000015</v>
      </c>
      <c r="P9" s="284"/>
      <c r="Q9" s="283"/>
      <c r="R9" s="64">
        <f>'S2'!C25</f>
        <v>40.139999999999922</v>
      </c>
      <c r="S9" s="284"/>
      <c r="T9" s="283"/>
      <c r="U9" s="64">
        <f>'S2'!D25</f>
        <v>29.375999999999987</v>
      </c>
      <c r="V9" s="284"/>
      <c r="W9" s="283"/>
      <c r="X9" s="64">
        <f>'S2'!E25</f>
        <v>31.248000000000026</v>
      </c>
      <c r="Y9" s="284"/>
      <c r="Z9" s="283"/>
    </row>
    <row r="10" spans="1:27">
      <c r="A10" s="285" t="s">
        <v>6</v>
      </c>
      <c r="B10" s="63" t="s">
        <v>153</v>
      </c>
      <c r="C10" s="63">
        <f>'S3'!B9</f>
        <v>16.283000000000008</v>
      </c>
      <c r="D10" s="284">
        <f>'S3'!B10-'S3'!B9</f>
        <v>3.9849999999999746</v>
      </c>
      <c r="E10" s="283">
        <f>D10/C11</f>
        <v>0.19661535425300858</v>
      </c>
      <c r="F10" s="64">
        <f>'S3'!C9</f>
        <v>25.802000000000017</v>
      </c>
      <c r="G10" s="284">
        <f>'S3'!C10-'S3'!C9</f>
        <v>4.4739999999998687</v>
      </c>
      <c r="H10" s="283">
        <f>G10/F11</f>
        <v>0.14777381424230035</v>
      </c>
      <c r="I10" s="64">
        <f>'S3'!D9</f>
        <v>21.801000000000002</v>
      </c>
      <c r="J10" s="284">
        <f>'S3'!D10-'S3'!D9</f>
        <v>2.9310000000000151</v>
      </c>
      <c r="K10" s="283">
        <f>J10/I11</f>
        <v>0.11851043182920966</v>
      </c>
      <c r="L10" s="64">
        <f>'S3'!E9</f>
        <v>18.387000000000015</v>
      </c>
      <c r="M10" s="284">
        <f>'S3'!E10-'S3'!E9</f>
        <v>4.6169999999999369</v>
      </c>
      <c r="N10" s="283">
        <f>M10/L11</f>
        <v>0.20070422535211035</v>
      </c>
      <c r="O10" s="64">
        <f>'S3'!B24</f>
        <v>23.068000000000005</v>
      </c>
      <c r="P10" s="291">
        <f>'S3'!B25-'S3'!B24</f>
        <v>2.5640000000000107</v>
      </c>
      <c r="Q10" s="283">
        <f>P10/O11</f>
        <v>0.10003121098626752</v>
      </c>
      <c r="R10" s="63">
        <f>'S3'!C24</f>
        <v>25.445000000000014</v>
      </c>
      <c r="S10" s="291">
        <f>'S3'!C25-'S3'!C24</f>
        <v>6.1629999999999896</v>
      </c>
      <c r="T10" s="283">
        <f>S10/R11</f>
        <v>0.19498228296633729</v>
      </c>
      <c r="U10" s="63">
        <f>'S3'!D24</f>
        <v>18.531000000000006</v>
      </c>
      <c r="V10" s="291">
        <f>'S3'!D25-'S3'!D24</f>
        <v>2.4569999999999368</v>
      </c>
      <c r="W10" s="283">
        <f>V10/U11</f>
        <v>0.11706689536877947</v>
      </c>
      <c r="X10" s="63">
        <f>'S3'!E24</f>
        <v>21.181999999999995</v>
      </c>
      <c r="Y10" s="291">
        <f>'S3'!E25-'S3'!E24</f>
        <v>3.0820000000000398</v>
      </c>
      <c r="Z10" s="283">
        <f>Y10/X11</f>
        <v>0.12701945268710993</v>
      </c>
    </row>
    <row r="11" spans="1:27">
      <c r="A11" s="285"/>
      <c r="B11" s="63" t="s">
        <v>154</v>
      </c>
      <c r="C11" s="64">
        <f>'S3'!B10</f>
        <v>20.267999999999983</v>
      </c>
      <c r="D11" s="284"/>
      <c r="E11" s="283"/>
      <c r="F11" s="64">
        <f>'S3'!C10</f>
        <v>30.275999999999886</v>
      </c>
      <c r="G11" s="284"/>
      <c r="H11" s="283"/>
      <c r="I11" s="64">
        <f>'S3'!D10</f>
        <v>24.732000000000017</v>
      </c>
      <c r="J11" s="284"/>
      <c r="K11" s="283"/>
      <c r="L11" s="64">
        <f>'S3'!E10</f>
        <v>23.003999999999952</v>
      </c>
      <c r="M11" s="284"/>
      <c r="N11" s="283"/>
      <c r="O11" s="64">
        <f>'S3'!B25</f>
        <v>25.632000000000016</v>
      </c>
      <c r="P11" s="291"/>
      <c r="Q11" s="283"/>
      <c r="R11" s="63">
        <f>'S3'!C25</f>
        <v>31.608000000000004</v>
      </c>
      <c r="S11" s="291"/>
      <c r="T11" s="283"/>
      <c r="U11" s="63">
        <f>'S3'!D25</f>
        <v>20.987999999999943</v>
      </c>
      <c r="V11" s="291"/>
      <c r="W11" s="283"/>
      <c r="X11" s="63">
        <f>'S3'!E25</f>
        <v>24.264000000000035</v>
      </c>
      <c r="Y11" s="291"/>
      <c r="Z11" s="283"/>
    </row>
    <row r="12" spans="1:27">
      <c r="A12" s="285" t="s">
        <v>7</v>
      </c>
      <c r="B12" s="63" t="s">
        <v>153</v>
      </c>
      <c r="C12" s="63">
        <f>'S4'!B9</f>
        <v>8.4449999999999861</v>
      </c>
      <c r="D12" s="284">
        <f>'S4'!B10-'S4'!B9</f>
        <v>3.4350000000000556</v>
      </c>
      <c r="E12" s="283">
        <f>D12/C13</f>
        <v>0.28914141414141781</v>
      </c>
      <c r="F12" s="64">
        <f>'S4'!C9</f>
        <v>17.556999999999988</v>
      </c>
      <c r="G12" s="291">
        <f>'S4'!C10-'S4'!C9</f>
        <v>4.7270000000000039</v>
      </c>
      <c r="H12" s="283">
        <f>G12/F13</f>
        <v>0.21212529168910454</v>
      </c>
      <c r="I12" s="63">
        <f>'S4'!D9</f>
        <v>13.112000000000013</v>
      </c>
      <c r="J12" s="291">
        <f>'S4'!D10-'S4'!D9</f>
        <v>2.1879999999999882</v>
      </c>
      <c r="K12" s="283">
        <f>J12/I13</f>
        <v>0.14300653594771165</v>
      </c>
      <c r="L12" s="63">
        <f>'S4'!E9</f>
        <v>9.7029999999999887</v>
      </c>
      <c r="M12" s="291">
        <f>'S4'!E10-'S4'!E9</f>
        <v>4.5530000000000399</v>
      </c>
      <c r="N12" s="283">
        <f>M12/L13</f>
        <v>0.31937429854096738</v>
      </c>
      <c r="O12" s="63">
        <f>'S4'!B24</f>
        <v>14.524000000000008</v>
      </c>
      <c r="P12" s="291">
        <f>'S4'!B25-'S4'!B24</f>
        <v>2.5759999999999934</v>
      </c>
      <c r="Q12" s="283">
        <f>P12/O13</f>
        <v>0.15064327485380077</v>
      </c>
      <c r="R12" s="63">
        <f>'S4'!C24</f>
        <v>16.406999999999975</v>
      </c>
      <c r="S12" s="291">
        <f>'S4'!C25-'S4'!C24</f>
        <v>4.3290000000000965</v>
      </c>
      <c r="T12" s="283">
        <f>S12/R13</f>
        <v>0.20876736111111505</v>
      </c>
      <c r="U12" s="63">
        <f>'S4'!D24</f>
        <v>10.480000000000011</v>
      </c>
      <c r="V12" s="291">
        <f>'S4'!D25-'S4'!D24</f>
        <v>2.2279999999999927</v>
      </c>
      <c r="W12" s="283">
        <f>V12/U13</f>
        <v>0.17532263141328233</v>
      </c>
      <c r="X12" s="63">
        <f>'S4'!E24</f>
        <v>11.477000000000011</v>
      </c>
      <c r="Y12" s="291">
        <f>'S4'!E25-'S4'!E24</f>
        <v>3.426999999999941</v>
      </c>
      <c r="Z12" s="283">
        <f>Y12/X13</f>
        <v>0.22993827160493505</v>
      </c>
    </row>
    <row r="13" spans="1:27">
      <c r="A13" s="285"/>
      <c r="B13" s="63" t="s">
        <v>154</v>
      </c>
      <c r="C13" s="64">
        <f>'S4'!B10</f>
        <v>11.880000000000042</v>
      </c>
      <c r="D13" s="284"/>
      <c r="E13" s="283"/>
      <c r="F13" s="64">
        <f>'S4'!C10</f>
        <v>22.283999999999992</v>
      </c>
      <c r="G13" s="291"/>
      <c r="H13" s="283"/>
      <c r="I13" s="63">
        <f>'S4'!D10</f>
        <v>15.3</v>
      </c>
      <c r="J13" s="291"/>
      <c r="K13" s="283"/>
      <c r="L13" s="63">
        <f>'S4'!E10</f>
        <v>14.256000000000029</v>
      </c>
      <c r="M13" s="291"/>
      <c r="N13" s="283"/>
      <c r="O13" s="63">
        <f>'S4'!B25</f>
        <v>17.100000000000001</v>
      </c>
      <c r="P13" s="291"/>
      <c r="Q13" s="283"/>
      <c r="R13" s="63">
        <f>'S4'!C25</f>
        <v>20.736000000000072</v>
      </c>
      <c r="S13" s="291"/>
      <c r="T13" s="283"/>
      <c r="U13" s="63">
        <f>'S4'!D25</f>
        <v>12.708000000000004</v>
      </c>
      <c r="V13" s="291"/>
      <c r="W13" s="283"/>
      <c r="X13" s="63">
        <f>'S4'!E25</f>
        <v>14.903999999999952</v>
      </c>
      <c r="Y13" s="291"/>
      <c r="Z13" s="283"/>
    </row>
    <row r="14" spans="1:27">
      <c r="A14" s="285" t="s">
        <v>8</v>
      </c>
      <c r="B14" s="63" t="s">
        <v>153</v>
      </c>
      <c r="C14" s="63">
        <f>'S5'!B9</f>
        <v>7.0460000000000065</v>
      </c>
      <c r="D14" s="284">
        <f>'S5'!B10-'S5'!B9</f>
        <v>3.1059999999999697</v>
      </c>
      <c r="E14" s="283">
        <f>D14/C15</f>
        <v>0.30594956658786221</v>
      </c>
      <c r="F14" s="63">
        <f>'S5'!C9</f>
        <v>13.414000000000012</v>
      </c>
      <c r="G14" s="284">
        <f>'S5'!C10-'S5'!C9</f>
        <v>4.801999999999996</v>
      </c>
      <c r="H14" s="283">
        <f>G14/F15</f>
        <v>0.26361440491875243</v>
      </c>
      <c r="I14" s="63">
        <f>'S5'!D9</f>
        <v>10.443000000000005</v>
      </c>
      <c r="J14" s="284">
        <f>'S5'!D10-'S5'!D9</f>
        <v>2.948999999999991</v>
      </c>
      <c r="K14" s="283">
        <f>J14/I15</f>
        <v>0.22020609318996354</v>
      </c>
      <c r="L14" s="63">
        <f>'S5'!E9</f>
        <v>8.195999999999998</v>
      </c>
      <c r="M14" s="284">
        <f>'S5'!E10-'S5'!E9</f>
        <v>4.3680000000000359</v>
      </c>
      <c r="N14" s="283">
        <f>M14/L15</f>
        <v>0.34765998089780514</v>
      </c>
      <c r="O14" s="63">
        <f>'S5'!B24</f>
        <v>12.050000000000008</v>
      </c>
      <c r="P14" s="284">
        <f>'S5'!B25-'S5'!B24</f>
        <v>2.4939999999999642</v>
      </c>
      <c r="Q14" s="283">
        <f>P14/O15</f>
        <v>0.17147964796479434</v>
      </c>
      <c r="R14" s="63">
        <f>'S5'!C24</f>
        <v>14.181000000000019</v>
      </c>
      <c r="S14" s="284">
        <f>'S5'!C25-'S5'!C24</f>
        <v>4.0709999999999589</v>
      </c>
      <c r="T14" s="283">
        <f>S14/R15</f>
        <v>0.2230440499671249</v>
      </c>
      <c r="U14" s="63">
        <f>'S5'!D24</f>
        <v>8.8659999999999926</v>
      </c>
      <c r="V14" s="284">
        <f>'S5'!D25-'S5'!D24</f>
        <v>2.0779999999999799</v>
      </c>
      <c r="W14" s="283">
        <f>V14/U15</f>
        <v>0.1898757309941507</v>
      </c>
      <c r="X14" s="63">
        <f>'S5'!E24</f>
        <v>8.9440000000000097</v>
      </c>
      <c r="Y14" s="284">
        <f>'S5'!E25-'S5'!E24</f>
        <v>3.51200000000002</v>
      </c>
      <c r="Z14" s="283">
        <f>Y14/X15</f>
        <v>0.28195247270391871</v>
      </c>
    </row>
    <row r="15" spans="1:27">
      <c r="A15" s="285"/>
      <c r="B15" s="63" t="s">
        <v>154</v>
      </c>
      <c r="C15" s="64">
        <f>'S5'!B10</f>
        <v>10.151999999999976</v>
      </c>
      <c r="D15" s="284"/>
      <c r="E15" s="283"/>
      <c r="F15" s="64">
        <f>'S5'!C10</f>
        <v>18.216000000000008</v>
      </c>
      <c r="G15" s="284"/>
      <c r="H15" s="283"/>
      <c r="I15" s="64">
        <f>'S5'!D10</f>
        <v>13.391999999999996</v>
      </c>
      <c r="J15" s="284"/>
      <c r="K15" s="283"/>
      <c r="L15" s="64">
        <f>'S5'!E10</f>
        <v>12.564000000000034</v>
      </c>
      <c r="M15" s="284"/>
      <c r="N15" s="283"/>
      <c r="O15" s="64">
        <f>'S5'!B25</f>
        <v>14.543999999999972</v>
      </c>
      <c r="P15" s="284"/>
      <c r="Q15" s="283"/>
      <c r="R15" s="64">
        <f>'S5'!C25</f>
        <v>18.251999999999978</v>
      </c>
      <c r="S15" s="284"/>
      <c r="T15" s="283"/>
      <c r="U15" s="64">
        <f>'S5'!D25</f>
        <v>10.943999999999972</v>
      </c>
      <c r="V15" s="284"/>
      <c r="W15" s="283"/>
      <c r="X15" s="64">
        <f>'S5'!E25</f>
        <v>12.45600000000003</v>
      </c>
      <c r="Y15" s="284"/>
      <c r="Z15" s="283"/>
    </row>
    <row r="16" spans="1:27">
      <c r="A16" s="285" t="s">
        <v>9</v>
      </c>
      <c r="B16" s="63" t="s">
        <v>153</v>
      </c>
      <c r="C16" s="63">
        <f>'S6'!B9</f>
        <v>3.0700000000000074</v>
      </c>
      <c r="D16" s="284">
        <f>'S6'!B10-'S6'!B9</f>
        <v>1.3580000000000583</v>
      </c>
      <c r="E16" s="283">
        <f>D16/C17</f>
        <v>0.30668473351401043</v>
      </c>
      <c r="F16" s="63">
        <f>'S6'!C9</f>
        <v>4.6119999999999912</v>
      </c>
      <c r="G16" s="284">
        <f>'S6'!C10-'S6'!C9</f>
        <v>2.9120000000001234</v>
      </c>
      <c r="H16" s="283">
        <f>G16/F17</f>
        <v>0.38702817650187121</v>
      </c>
      <c r="I16" s="63">
        <f>'S6'!D9</f>
        <v>4.0390000000000157</v>
      </c>
      <c r="J16" s="284">
        <f>'S6'!D10-'S6'!D9</f>
        <v>2.0090000000000092</v>
      </c>
      <c r="K16" s="283">
        <f>J16/I17</f>
        <v>0.3321759259259261</v>
      </c>
      <c r="L16" s="63">
        <f>'S6'!E9</f>
        <v>2.7180000000000035</v>
      </c>
      <c r="M16" s="284">
        <f>'S6'!E10-'S6'!E9</f>
        <v>2.4659999999999886</v>
      </c>
      <c r="N16" s="283">
        <f>M16/L17</f>
        <v>0.47569444444444298</v>
      </c>
      <c r="O16" s="63">
        <f>'S6'!B24</f>
        <v>3.0679999999999876</v>
      </c>
      <c r="P16" s="284">
        <f>'S6'!B25-'S6'!B24</f>
        <v>1.3240000000000083</v>
      </c>
      <c r="Q16" s="283">
        <f>P16/O17</f>
        <v>0.30145719489982004</v>
      </c>
      <c r="R16" s="63">
        <f>'S6'!C24</f>
        <v>3.4809999999999803</v>
      </c>
      <c r="S16" s="284">
        <f>'S6'!C25-'S6'!C24</f>
        <v>1.0549999999999873</v>
      </c>
      <c r="T16" s="283">
        <f>S16/R17</f>
        <v>0.23258377425043977</v>
      </c>
      <c r="U16" s="63">
        <f>'S6'!D24</f>
        <v>3.3710000000000022</v>
      </c>
      <c r="V16" s="284">
        <f>'S6'!D25-'S6'!D24</f>
        <v>1.1289999999999978</v>
      </c>
      <c r="W16" s="283">
        <f>V16/U17</f>
        <v>0.25088888888888838</v>
      </c>
      <c r="X16" s="63">
        <f>'S6'!E24</f>
        <v>3.0700000000000003</v>
      </c>
      <c r="Y16" s="284">
        <f>'S6'!E25-'S6'!E24</f>
        <v>2.6179999999999426</v>
      </c>
      <c r="Z16" s="283">
        <f>Y16/X17</f>
        <v>0.46026722925456554</v>
      </c>
    </row>
    <row r="17" spans="1:26">
      <c r="A17" s="285"/>
      <c r="B17" s="63" t="s">
        <v>154</v>
      </c>
      <c r="C17" s="63">
        <f>'S6'!B10</f>
        <v>4.4280000000000657</v>
      </c>
      <c r="D17" s="284"/>
      <c r="E17" s="283"/>
      <c r="F17" s="63">
        <f>'S6'!C10</f>
        <v>7.5240000000001146</v>
      </c>
      <c r="G17" s="284"/>
      <c r="H17" s="283"/>
      <c r="I17" s="63">
        <f>'S6'!D10</f>
        <v>6.0480000000000249</v>
      </c>
      <c r="J17" s="284"/>
      <c r="K17" s="283"/>
      <c r="L17" s="63">
        <f>'S6'!E10</f>
        <v>5.1839999999999922</v>
      </c>
      <c r="M17" s="284"/>
      <c r="N17" s="283"/>
      <c r="O17" s="63">
        <f>'S6'!B25</f>
        <v>4.3919999999999959</v>
      </c>
      <c r="P17" s="284"/>
      <c r="Q17" s="283"/>
      <c r="R17" s="63">
        <f>'S6'!C25</f>
        <v>4.5359999999999676</v>
      </c>
      <c r="S17" s="284"/>
      <c r="T17" s="283"/>
      <c r="U17" s="63">
        <f>'S6'!D25</f>
        <v>4.5</v>
      </c>
      <c r="V17" s="284"/>
      <c r="W17" s="283"/>
      <c r="X17" s="63">
        <f>'S6'!E25</f>
        <v>5.6879999999999429</v>
      </c>
      <c r="Y17" s="284"/>
      <c r="Z17" s="283"/>
    </row>
    <row r="18" spans="1:26">
      <c r="A18" s="285" t="s">
        <v>10</v>
      </c>
      <c r="B18" s="63" t="s">
        <v>153</v>
      </c>
      <c r="C18" s="63">
        <f>'S7'!B9</f>
        <v>2.8150000000000048</v>
      </c>
      <c r="D18" s="284">
        <f>'S7'!B10-'S7'!B9</f>
        <v>2.2969999999999953</v>
      </c>
      <c r="E18" s="283">
        <f>D18/C19</f>
        <v>0.44933489827855932</v>
      </c>
      <c r="F18" s="63">
        <f>'S7'!C9</f>
        <v>5.5600000000000129</v>
      </c>
      <c r="G18" s="284">
        <f>'S7'!C10-'S7'!C9</f>
        <v>4.3039999999999878</v>
      </c>
      <c r="H18" s="283">
        <f>G18/F19</f>
        <v>0.43633414436334017</v>
      </c>
      <c r="I18" s="63">
        <f>'S7'!D9</f>
        <v>4.0819999999999936</v>
      </c>
      <c r="J18" s="284">
        <f>'S7'!D10-'S7'!D9</f>
        <v>3.0460000000000065</v>
      </c>
      <c r="K18" s="283">
        <f>J18/I19</f>
        <v>0.42732884399551158</v>
      </c>
      <c r="L18" s="63">
        <f>'S7'!E9</f>
        <v>3.1880000000000095</v>
      </c>
      <c r="M18" s="284">
        <f>'S7'!E10-'S7'!E9</f>
        <v>3.3639999999999901</v>
      </c>
      <c r="N18" s="283">
        <f>M18/L19</f>
        <v>0.51343101343101194</v>
      </c>
      <c r="O18" s="63">
        <f>'S7'!B24</f>
        <v>3.1340000000000146</v>
      </c>
      <c r="P18" s="284">
        <f>'S7'!B25-'S7'!B24</f>
        <v>1.7980000000000018</v>
      </c>
      <c r="Q18" s="283">
        <f>P18/O19</f>
        <v>0.36455798864557903</v>
      </c>
      <c r="R18" s="63">
        <f>'S7'!C24</f>
        <v>3.4660000000000082</v>
      </c>
      <c r="S18" s="284">
        <f>'S7'!C25-'S7'!C24</f>
        <v>1.3580000000000041</v>
      </c>
      <c r="T18" s="283">
        <f>S18/R19</f>
        <v>0.28150912106136</v>
      </c>
      <c r="U18" s="63">
        <f>'S7'!D24</f>
        <v>3.1450000000000102</v>
      </c>
      <c r="V18" s="284">
        <f>'S7'!D25-'S7'!D24</f>
        <v>1.2830000000000554</v>
      </c>
      <c r="W18" s="283">
        <f>V18/U19</f>
        <v>0.28974706413731627</v>
      </c>
      <c r="X18" s="63">
        <f>'S7'!E24</f>
        <v>2.8109999999999928</v>
      </c>
      <c r="Y18" s="284">
        <f>'S7'!E25-'S7'!E24</f>
        <v>3.2730000000001018</v>
      </c>
      <c r="Z18" s="283">
        <f>Y18/X19</f>
        <v>0.53796844181460401</v>
      </c>
    </row>
    <row r="19" spans="1:26">
      <c r="A19" s="285"/>
      <c r="B19" s="63" t="s">
        <v>154</v>
      </c>
      <c r="C19" s="63">
        <f>'S7'!B10</f>
        <v>5.1120000000000001</v>
      </c>
      <c r="D19" s="284"/>
      <c r="E19" s="283"/>
      <c r="F19" s="64">
        <f>'S7'!C10</f>
        <v>9.8640000000000008</v>
      </c>
      <c r="G19" s="284"/>
      <c r="H19" s="283"/>
      <c r="I19" s="63">
        <f>'S7'!D10</f>
        <v>7.1280000000000001</v>
      </c>
      <c r="J19" s="284"/>
      <c r="K19" s="283"/>
      <c r="L19" s="63">
        <f>'S7'!E10</f>
        <v>6.5519999999999996</v>
      </c>
      <c r="M19" s="284"/>
      <c r="N19" s="283"/>
      <c r="O19" s="63">
        <f>'S7'!B25</f>
        <v>4.9320000000000164</v>
      </c>
      <c r="P19" s="284"/>
      <c r="Q19" s="283"/>
      <c r="R19" s="63">
        <f>'S7'!C25</f>
        <v>4.8240000000000123</v>
      </c>
      <c r="S19" s="284"/>
      <c r="T19" s="283"/>
      <c r="U19" s="63">
        <f>'S7'!D25</f>
        <v>4.4280000000000657</v>
      </c>
      <c r="V19" s="284"/>
      <c r="W19" s="283"/>
      <c r="X19" s="63">
        <f>'S7'!E25</f>
        <v>6.0840000000000947</v>
      </c>
      <c r="Y19" s="284"/>
      <c r="Z19" s="283"/>
    </row>
    <row r="20" spans="1:26">
      <c r="A20" s="285" t="s">
        <v>11</v>
      </c>
      <c r="B20" s="63" t="s">
        <v>153</v>
      </c>
      <c r="C20" s="63">
        <f>'S8'!B9</f>
        <v>2.5519999999999996</v>
      </c>
      <c r="D20" s="284">
        <f>'S8'!B10-'S8'!B9</f>
        <v>2.4160000000000013</v>
      </c>
      <c r="E20" s="283">
        <f>D20/C21</f>
        <v>0.48631239935587778</v>
      </c>
      <c r="F20" s="63">
        <f>'S8'!C9</f>
        <v>5.8409999999999975</v>
      </c>
      <c r="G20" s="284">
        <f>'S8'!C10-'S8'!C9</f>
        <v>4.2390000000000025</v>
      </c>
      <c r="H20" s="283">
        <f>G20/F21</f>
        <v>0.42053571428571451</v>
      </c>
      <c r="I20" s="63">
        <f>'S8'!D9</f>
        <v>4.0389999999999944</v>
      </c>
      <c r="J20" s="284">
        <f>'S8'!D10-'S8'!D9</f>
        <v>3.1970000000000063</v>
      </c>
      <c r="K20" s="283">
        <f>J20/I21</f>
        <v>0.44181868435599864</v>
      </c>
      <c r="L20" s="63">
        <f>'S8'!E9</f>
        <v>3.1879999999999882</v>
      </c>
      <c r="M20" s="284">
        <f>'S8'!E10-'S8'!E9</f>
        <v>3.6160000000000121</v>
      </c>
      <c r="N20" s="283">
        <f>M20/L21</f>
        <v>0.53145208700764435</v>
      </c>
      <c r="O20" s="63">
        <f>'S8'!B24</f>
        <v>3.1889999999999974</v>
      </c>
      <c r="P20" s="286">
        <f>'S8'!B25-'S8'!B24</f>
        <v>1.8869999999999907</v>
      </c>
      <c r="Q20" s="283">
        <f>P20/O21</f>
        <v>0.3717494089834506</v>
      </c>
      <c r="R20" s="63">
        <f>'S8'!C24</f>
        <v>4.0710000000000122</v>
      </c>
      <c r="S20" s="286">
        <f>'S8'!C25-'S8'!C24</f>
        <v>1.4010000000000247</v>
      </c>
      <c r="T20" s="283">
        <f>S20/R21</f>
        <v>0.25603070175438875</v>
      </c>
      <c r="U20" s="63">
        <f>'S8'!D24</f>
        <v>3.3349999999999866</v>
      </c>
      <c r="V20" s="286">
        <f>'S8'!D25-'S8'!D24</f>
        <v>1.200999999999981</v>
      </c>
      <c r="W20" s="283">
        <f>V20/U21</f>
        <v>0.26477072310405414</v>
      </c>
      <c r="X20" s="63">
        <f>'S8'!E24</f>
        <v>3.1459999999999937</v>
      </c>
      <c r="Y20" s="286">
        <f>'S8'!E25-'S8'!E24</f>
        <v>3.046000000000002</v>
      </c>
      <c r="Z20" s="283">
        <f>Y20/X21</f>
        <v>0.49192506459948387</v>
      </c>
    </row>
    <row r="21" spans="1:26">
      <c r="A21" s="285"/>
      <c r="B21" s="63" t="s">
        <v>154</v>
      </c>
      <c r="C21" s="63">
        <f>'S8'!B10</f>
        <v>4.9680000000000009</v>
      </c>
      <c r="D21" s="284"/>
      <c r="E21" s="283"/>
      <c r="F21" s="63">
        <f>'S8'!C10</f>
        <v>10.08</v>
      </c>
      <c r="G21" s="284"/>
      <c r="H21" s="283"/>
      <c r="I21" s="63">
        <f>'S8'!D10</f>
        <v>7.2360000000000007</v>
      </c>
      <c r="J21" s="284"/>
      <c r="K21" s="283"/>
      <c r="L21" s="63">
        <f>'S8'!E10</f>
        <v>6.8040000000000003</v>
      </c>
      <c r="M21" s="284"/>
      <c r="N21" s="283"/>
      <c r="O21" s="63">
        <f>'S8'!B25</f>
        <v>5.0759999999999881</v>
      </c>
      <c r="P21" s="286"/>
      <c r="Q21" s="283"/>
      <c r="R21" s="63">
        <f>'S8'!C25</f>
        <v>5.4720000000000368</v>
      </c>
      <c r="S21" s="286"/>
      <c r="T21" s="283"/>
      <c r="U21" s="63">
        <f>'S8'!D25</f>
        <v>4.5359999999999676</v>
      </c>
      <c r="V21" s="286"/>
      <c r="W21" s="283"/>
      <c r="X21" s="63">
        <f>'S8'!E25</f>
        <v>6.1919999999999957</v>
      </c>
      <c r="Y21" s="286"/>
      <c r="Z21" s="283"/>
    </row>
    <row r="22" spans="1:26" ht="15" customHeight="1">
      <c r="A22" s="289" t="s">
        <v>12</v>
      </c>
      <c r="B22" s="63" t="s">
        <v>153</v>
      </c>
      <c r="C22" s="63">
        <f>'S9'!B9</f>
        <v>3.1210000000000022</v>
      </c>
      <c r="D22" s="284">
        <f>'S9'!B10-'S9'!B9</f>
        <v>2.3149999999999968</v>
      </c>
      <c r="E22" s="287">
        <f>D22/C23</f>
        <v>0.42586460632818196</v>
      </c>
      <c r="F22" s="63">
        <f>'S9'!C9</f>
        <v>-28.349000000000014</v>
      </c>
      <c r="G22" s="284">
        <f>'S9'!C10-'S9'!C9</f>
        <v>40.337000000000018</v>
      </c>
      <c r="H22" s="287">
        <f>G22/F23</f>
        <v>3.3647814481147824</v>
      </c>
      <c r="I22" s="63">
        <f>'S9'!D9</f>
        <v>6.8890000000000065</v>
      </c>
      <c r="J22" s="284">
        <f>'S9'!D10-'S9'!D9</f>
        <v>3.0469999999999935</v>
      </c>
      <c r="K22" s="287">
        <f>J22/I23</f>
        <v>0.3066626409017707</v>
      </c>
      <c r="L22" s="63">
        <f>'S9'!E9</f>
        <v>3.5989999999999966</v>
      </c>
      <c r="M22" s="284">
        <f>'S9'!E10-'S9'!E9</f>
        <v>3.4210000000000038</v>
      </c>
      <c r="N22" s="287">
        <f>M22/L23</f>
        <v>0.48732193732193785</v>
      </c>
      <c r="O22" s="170">
        <f>'S9'!B24</f>
        <v>4.6960000000000015</v>
      </c>
      <c r="P22" s="286">
        <f>'S9'!B25-'S9'!B24</f>
        <v>1.6399999999999659</v>
      </c>
      <c r="Q22" s="287">
        <f>P22/O23</f>
        <v>0.25883838383837982</v>
      </c>
      <c r="R22" s="63">
        <f>'S9'!C24</f>
        <v>6.9339999999999833</v>
      </c>
      <c r="S22" s="286">
        <f>'S9'!C25-'S9'!C24</f>
        <v>2.2820000000000249</v>
      </c>
      <c r="T22" s="287">
        <f>S22/R23</f>
        <v>0.24761284722222471</v>
      </c>
      <c r="U22" s="63">
        <f>'S9'!D24</f>
        <v>4.0839999999999961</v>
      </c>
      <c r="V22" s="286">
        <f>'S9'!D25-'S9'!D24</f>
        <v>1.3160000000000043</v>
      </c>
      <c r="W22" s="287">
        <f>V22/U23</f>
        <v>0.24370370370370448</v>
      </c>
      <c r="X22" s="63">
        <f>'S9'!E24</f>
        <v>4.4780000000000015</v>
      </c>
      <c r="Y22" s="286">
        <f>'S9'!E25-'S9'!E24</f>
        <v>2.8300000000000027</v>
      </c>
      <c r="Z22" s="287">
        <f>Y22/X23</f>
        <v>0.38724685276409432</v>
      </c>
    </row>
    <row r="23" spans="1:26" ht="15" customHeight="1">
      <c r="A23" s="290"/>
      <c r="B23" s="63" t="s">
        <v>154</v>
      </c>
      <c r="C23" s="65">
        <f>'S9'!B10</f>
        <v>5.4359999999999991</v>
      </c>
      <c r="D23" s="284"/>
      <c r="E23" s="288"/>
      <c r="F23" s="65">
        <f>'S9'!C10</f>
        <v>11.988000000000001</v>
      </c>
      <c r="G23" s="284"/>
      <c r="H23" s="288"/>
      <c r="I23" s="65">
        <f>'S9'!D10</f>
        <v>9.9359999999999999</v>
      </c>
      <c r="J23" s="284"/>
      <c r="K23" s="288"/>
      <c r="L23" s="65">
        <f>'S9'!E10</f>
        <v>7.0200000000000005</v>
      </c>
      <c r="M23" s="284"/>
      <c r="N23" s="288"/>
      <c r="O23" s="171">
        <f>'S9'!B25</f>
        <v>6.3359999999999674</v>
      </c>
      <c r="P23" s="286"/>
      <c r="Q23" s="288"/>
      <c r="R23" s="63">
        <f>'S9'!C25</f>
        <v>9.2160000000000082</v>
      </c>
      <c r="S23" s="286"/>
      <c r="T23" s="288"/>
      <c r="U23" s="65">
        <f>'S9'!D25</f>
        <v>5.4</v>
      </c>
      <c r="V23" s="286"/>
      <c r="W23" s="288"/>
      <c r="X23" s="63">
        <f>'S9'!E25</f>
        <v>7.3080000000000043</v>
      </c>
      <c r="Y23" s="286"/>
      <c r="Z23" s="288"/>
    </row>
    <row r="24" spans="1:26">
      <c r="A24" s="285" t="s">
        <v>13</v>
      </c>
      <c r="B24" s="63" t="s">
        <v>153</v>
      </c>
      <c r="C24" s="63">
        <f>'S10'!B9</f>
        <v>6.5629999999999953</v>
      </c>
      <c r="D24" s="284">
        <f>'S10'!B10-'S10'!B9</f>
        <v>2.9770000000000056</v>
      </c>
      <c r="E24" s="283">
        <f>D24/C25</f>
        <v>0.31205450733752677</v>
      </c>
      <c r="F24" s="63">
        <f>'S10'!C9</f>
        <v>50.31900000000001</v>
      </c>
      <c r="G24" s="284">
        <f>'S10'!C10-'S10'!C9</f>
        <v>-31.239000000000008</v>
      </c>
      <c r="H24" s="283">
        <f>G24/F25</f>
        <v>-1.6372641509433965</v>
      </c>
      <c r="I24" s="63">
        <f>'S10'!D9</f>
        <v>12.545999999999999</v>
      </c>
      <c r="J24" s="284">
        <f>'S10'!D10-'S10'!D9</f>
        <v>2.5379999999999985</v>
      </c>
      <c r="K24" s="283">
        <f>J24/I25</f>
        <v>0.16825775656324574</v>
      </c>
      <c r="L24" s="63">
        <f>'S10'!E9</f>
        <v>8.7449999999999974</v>
      </c>
      <c r="M24" s="284">
        <f>'S10'!E10-'S10'!E9</f>
        <v>4.2150000000000052</v>
      </c>
      <c r="N24" s="283">
        <f>M24/L25</f>
        <v>0.32523148148148184</v>
      </c>
      <c r="O24" s="63">
        <f>'S10'!B24</f>
        <v>10.715000000000005</v>
      </c>
      <c r="P24" s="284">
        <f>'S10'!B25-'S10'!B24</f>
        <v>2.1730000000000409</v>
      </c>
      <c r="Q24" s="283">
        <f>P24/O25</f>
        <v>0.16860645561763138</v>
      </c>
      <c r="R24" s="63">
        <f>'S10'!C24</f>
        <v>19.884000000000007</v>
      </c>
      <c r="S24" s="284">
        <f>'S10'!C25-'S10'!C24</f>
        <v>5.135999999999953</v>
      </c>
      <c r="T24" s="283">
        <f>S24/R25</f>
        <v>0.20527577937649724</v>
      </c>
      <c r="U24" s="63">
        <f>'S10'!D24</f>
        <v>11.885000000000012</v>
      </c>
      <c r="V24" s="284">
        <f>'S10'!D25-'S10'!D24</f>
        <v>1.9390000000000001</v>
      </c>
      <c r="W24" s="283">
        <f>V24/U25</f>
        <v>0.14026331018518506</v>
      </c>
      <c r="X24" s="63">
        <f>'S10'!E24</f>
        <v>12.445000000000014</v>
      </c>
      <c r="Y24" s="284">
        <f>'S10'!E25-'S10'!E24</f>
        <v>2.6749999999999456</v>
      </c>
      <c r="Z24" s="283">
        <f>Y24/X25</f>
        <v>0.17691798941798628</v>
      </c>
    </row>
    <row r="25" spans="1:26">
      <c r="A25" s="285"/>
      <c r="B25" s="63" t="s">
        <v>154</v>
      </c>
      <c r="C25" s="65">
        <f>'S10'!B10</f>
        <v>9.5400000000000009</v>
      </c>
      <c r="D25" s="284"/>
      <c r="E25" s="283"/>
      <c r="F25" s="65">
        <f>'S10'!C10</f>
        <v>19.080000000000002</v>
      </c>
      <c r="G25" s="284"/>
      <c r="H25" s="283"/>
      <c r="I25" s="65">
        <f>'S10'!D10</f>
        <v>15.083999999999998</v>
      </c>
      <c r="J25" s="284"/>
      <c r="K25" s="283"/>
      <c r="L25" s="65">
        <f>'S10'!E10</f>
        <v>12.960000000000003</v>
      </c>
      <c r="M25" s="284"/>
      <c r="N25" s="283"/>
      <c r="O25" s="65">
        <f>'S10'!B25</f>
        <v>12.888000000000046</v>
      </c>
      <c r="P25" s="284"/>
      <c r="Q25" s="283"/>
      <c r="R25" s="65">
        <f>'S10'!C25</f>
        <v>25.01999999999996</v>
      </c>
      <c r="S25" s="284"/>
      <c r="T25" s="283"/>
      <c r="U25" s="65">
        <f>'S10'!D25</f>
        <v>13.824000000000012</v>
      </c>
      <c r="V25" s="284"/>
      <c r="W25" s="283"/>
      <c r="X25" s="65">
        <f>'S10'!E25</f>
        <v>15.11999999999996</v>
      </c>
      <c r="Y25" s="284"/>
      <c r="Z25" s="283"/>
    </row>
    <row r="26" spans="1:26">
      <c r="A26" s="285" t="s">
        <v>14</v>
      </c>
      <c r="B26" s="63" t="s">
        <v>153</v>
      </c>
      <c r="C26" s="63">
        <f>'S11'!B9</f>
        <v>17.150000000000006</v>
      </c>
      <c r="D26" s="284">
        <f>'S11'!B10-'S11'!B9</f>
        <v>4.7739999999999903</v>
      </c>
      <c r="E26" s="283">
        <f>D26/C27</f>
        <v>0.2177522349936139</v>
      </c>
      <c r="F26" s="63">
        <f>'S11'!C9</f>
        <v>25.954000000000015</v>
      </c>
      <c r="G26" s="284">
        <f>'S11'!C10-'S11'!C9</f>
        <v>4.3939999999999841</v>
      </c>
      <c r="H26" s="283">
        <f>G26/F27</f>
        <v>0.14478713589033823</v>
      </c>
      <c r="I26" s="63">
        <f>'S11'!D9</f>
        <v>26.516000000000016</v>
      </c>
      <c r="J26" s="284">
        <f>'S11'!D10-'S11'!D9</f>
        <v>1.2399999999999807</v>
      </c>
      <c r="K26" s="283">
        <f>J26/I27</f>
        <v>4.4675025219771611E-2</v>
      </c>
      <c r="L26" s="63">
        <f>'S11'!E9</f>
        <v>20.06600000000001</v>
      </c>
      <c r="M26" s="284">
        <f>'S11'!E10-'S11'!E9</f>
        <v>4.4859999999999864</v>
      </c>
      <c r="N26" s="283">
        <f>M26/L27</f>
        <v>0.18271423916585156</v>
      </c>
      <c r="O26" s="63">
        <f>'S11'!B24</f>
        <v>22.29699999999999</v>
      </c>
      <c r="P26" s="284">
        <f>'S11'!B25-'S11'!B24</f>
        <v>2.3989999999999583</v>
      </c>
      <c r="Q26" s="283">
        <f>P26/O27</f>
        <v>9.7141237447358406E-2</v>
      </c>
      <c r="R26" s="63">
        <f>'S11'!C24</f>
        <v>29.012000000000029</v>
      </c>
      <c r="S26" s="284">
        <f>'S11'!C25-'S11'!C24</f>
        <v>7.1680000000000135</v>
      </c>
      <c r="T26" s="283">
        <f>S26/R27</f>
        <v>0.1981205085682699</v>
      </c>
      <c r="U26" s="63">
        <f>'S11'!D24</f>
        <v>23.835000000000022</v>
      </c>
      <c r="V26" s="284">
        <f>'S11'!D25-'S11'!D24</f>
        <v>2.5889999999999915</v>
      </c>
      <c r="W26" s="283">
        <f>V26/U27</f>
        <v>9.7979109900090455E-2</v>
      </c>
      <c r="X26" s="63">
        <f>'S11'!E24</f>
        <v>25.088999999999992</v>
      </c>
      <c r="Y26" s="284">
        <f>'S11'!E25-'S11'!E24</f>
        <v>1.5510000000000304</v>
      </c>
      <c r="Z26" s="283">
        <f>Y26/X27</f>
        <v>5.8220720720721812E-2</v>
      </c>
    </row>
    <row r="27" spans="1:26">
      <c r="A27" s="285"/>
      <c r="B27" s="63" t="s">
        <v>154</v>
      </c>
      <c r="C27" s="63">
        <f>'S11'!B10</f>
        <v>21.923999999999996</v>
      </c>
      <c r="D27" s="284"/>
      <c r="E27" s="283"/>
      <c r="F27" s="63">
        <f>'S11'!C10</f>
        <v>30.347999999999999</v>
      </c>
      <c r="G27" s="284"/>
      <c r="H27" s="283"/>
      <c r="I27" s="63">
        <f>'S11'!D10</f>
        <v>27.755999999999997</v>
      </c>
      <c r="J27" s="284"/>
      <c r="K27" s="283"/>
      <c r="L27" s="63">
        <f>'S11'!E10</f>
        <v>24.551999999999996</v>
      </c>
      <c r="M27" s="284"/>
      <c r="N27" s="283"/>
      <c r="O27" s="63">
        <f>'S11'!B25</f>
        <v>24.695999999999948</v>
      </c>
      <c r="P27" s="284"/>
      <c r="Q27" s="283"/>
      <c r="R27" s="63">
        <f>'S11'!C25</f>
        <v>36.180000000000042</v>
      </c>
      <c r="S27" s="284"/>
      <c r="T27" s="283"/>
      <c r="U27" s="63">
        <f>'S11'!D25</f>
        <v>26.424000000000014</v>
      </c>
      <c r="V27" s="284"/>
      <c r="W27" s="283"/>
      <c r="X27" s="63">
        <f>'S11'!E25</f>
        <v>26.640000000000022</v>
      </c>
      <c r="Y27" s="284"/>
      <c r="Z27" s="283"/>
    </row>
    <row r="28" spans="1:26">
      <c r="A28" s="285" t="s">
        <v>3</v>
      </c>
      <c r="B28" s="63" t="s">
        <v>153</v>
      </c>
      <c r="C28" s="63">
        <f>'S12'!B9</f>
        <v>26.514999999999993</v>
      </c>
      <c r="D28" s="284">
        <f>'S12'!B10-'S12'!B9</f>
        <v>4.9130000000000074</v>
      </c>
      <c r="E28" s="283">
        <f>D28/C29</f>
        <v>0.15632556955581034</v>
      </c>
      <c r="F28" s="63">
        <f>'S12'!C9</f>
        <v>39.977000000000039</v>
      </c>
      <c r="G28" s="284">
        <f>'S12'!C10-'S12'!C9</f>
        <v>5.4549999999999557</v>
      </c>
      <c r="H28" s="283">
        <f>G28/F29</f>
        <v>0.12006955449903056</v>
      </c>
      <c r="I28" s="63">
        <f>'S12'!D9</f>
        <v>38.516999999999996</v>
      </c>
      <c r="J28" s="284">
        <f>'S12'!D10-'S12'!D9</f>
        <v>2.0910000000000082</v>
      </c>
      <c r="K28" s="283">
        <f>J28/I29</f>
        <v>5.1492316784870172E-2</v>
      </c>
      <c r="L28" s="63">
        <f>'S12'!E9</f>
        <v>30.349000000000004</v>
      </c>
      <c r="M28" s="284">
        <f>'S12'!E10-'S12'!E9</f>
        <v>5.722999999999999</v>
      </c>
      <c r="N28" s="283">
        <f>M28/L29</f>
        <v>0.15865491239742732</v>
      </c>
      <c r="O28" s="63">
        <f>'S12'!B24</f>
        <v>32.397000000000034</v>
      </c>
      <c r="P28" s="284">
        <f>'S12'!B25-'S12'!B24</f>
        <v>3.2070000000000221</v>
      </c>
      <c r="Q28" s="283">
        <f>P28/O29</f>
        <v>9.0074148972026091E-2</v>
      </c>
      <c r="R28" s="63">
        <f>'S12'!C24</f>
        <v>39.461999999999982</v>
      </c>
      <c r="S28" s="284">
        <f>'S12'!C25-'S12'!C24</f>
        <v>9.7499999999999716</v>
      </c>
      <c r="T28" s="283">
        <f>S28/R29</f>
        <v>0.19812240916849511</v>
      </c>
      <c r="U28" s="66">
        <f>'S12'!D24</f>
        <v>34.052000000000007</v>
      </c>
      <c r="V28" s="284">
        <f>'S12'!D25-'S12'!D24</f>
        <v>3.8919999999999675</v>
      </c>
      <c r="W28" s="283">
        <f>V28/U29</f>
        <v>0.10257221168037028</v>
      </c>
      <c r="X28" s="66">
        <f>'S12'!E24</f>
        <v>34.47799999999998</v>
      </c>
      <c r="Y28" s="284">
        <f>'S12'!E25-'S12'!E24</f>
        <v>3.2859999999999516</v>
      </c>
      <c r="Z28" s="283">
        <f>Y28/X29</f>
        <v>8.7014087490730793E-2</v>
      </c>
    </row>
    <row r="29" spans="1:26">
      <c r="A29" s="285"/>
      <c r="B29" s="63" t="s">
        <v>154</v>
      </c>
      <c r="C29" s="65">
        <f>'S12'!B10</f>
        <v>31.428000000000001</v>
      </c>
      <c r="D29" s="284"/>
      <c r="E29" s="283"/>
      <c r="F29" s="65">
        <f>'S12'!C10</f>
        <v>45.431999999999995</v>
      </c>
      <c r="G29" s="284"/>
      <c r="H29" s="283"/>
      <c r="I29" s="65">
        <f>'S12'!D10</f>
        <v>40.608000000000004</v>
      </c>
      <c r="J29" s="284"/>
      <c r="K29" s="283"/>
      <c r="L29" s="65">
        <f>'S12'!E10</f>
        <v>36.072000000000003</v>
      </c>
      <c r="M29" s="284"/>
      <c r="N29" s="283"/>
      <c r="O29" s="65">
        <f>'S12'!B25</f>
        <v>35.604000000000056</v>
      </c>
      <c r="P29" s="284"/>
      <c r="Q29" s="283"/>
      <c r="R29" s="65">
        <f>'S12'!C25</f>
        <v>49.211999999999954</v>
      </c>
      <c r="S29" s="284"/>
      <c r="T29" s="283"/>
      <c r="U29" s="65">
        <f>'S12'!D25</f>
        <v>37.943999999999974</v>
      </c>
      <c r="V29" s="284"/>
      <c r="W29" s="283"/>
      <c r="X29" s="65">
        <f>'S12'!E25</f>
        <v>37.763999999999932</v>
      </c>
      <c r="Y29" s="284"/>
      <c r="Z29" s="283"/>
    </row>
    <row r="30" spans="1:26" ht="15.75">
      <c r="A30" s="67"/>
      <c r="B30" s="148" t="s">
        <v>199</v>
      </c>
      <c r="C30" s="192" t="s">
        <v>202</v>
      </c>
      <c r="D30" s="193"/>
      <c r="E30" s="194"/>
      <c r="F30" s="163"/>
      <c r="G30" s="145"/>
      <c r="H30" s="145"/>
      <c r="I30" s="144"/>
      <c r="J30" s="145"/>
      <c r="K30" s="145"/>
      <c r="L30" s="69"/>
      <c r="M30" s="70"/>
      <c r="N30" s="70"/>
      <c r="O30" s="69"/>
      <c r="P30" s="70"/>
      <c r="Q30" s="70"/>
      <c r="R30" s="69"/>
      <c r="S30" s="70"/>
      <c r="T30" s="70"/>
      <c r="U30" s="69"/>
      <c r="V30" s="70"/>
      <c r="W30" s="70"/>
      <c r="X30" s="69"/>
      <c r="Y30" s="70"/>
      <c r="Z30" s="70"/>
    </row>
    <row r="31" spans="1:26" s="71" customFormat="1" ht="15.75">
      <c r="A31" s="71" t="s">
        <v>155</v>
      </c>
      <c r="D31" s="71">
        <f>SUM(D6:D29)</f>
        <v>41.563000000000073</v>
      </c>
      <c r="G31" s="71">
        <f>SUM(G6:G29)</f>
        <v>52.998000000000069</v>
      </c>
      <c r="I31" s="139"/>
      <c r="J31" s="139">
        <f>SUM(J6:J29)</f>
        <v>31.465000000000018</v>
      </c>
      <c r="K31" s="139"/>
      <c r="M31" s="71">
        <f>SUM(M6:M29)</f>
        <v>51.605000000000075</v>
      </c>
      <c r="P31" s="71">
        <f>SUM(P6:P29)</f>
        <v>28.99199999999999</v>
      </c>
      <c r="S31" s="71">
        <f>SUM(S6:S29)</f>
        <v>45.197000000000017</v>
      </c>
      <c r="V31" s="71">
        <f>SUM(V6:V29)</f>
        <v>27.693999999999953</v>
      </c>
      <c r="Y31" s="71">
        <f>SUM(Y6:Y29)</f>
        <v>37.941999999999965</v>
      </c>
    </row>
    <row r="32" spans="1:26" ht="6.75" customHeight="1">
      <c r="I32" s="140"/>
      <c r="J32" s="140"/>
      <c r="K32" s="140"/>
    </row>
    <row r="33" spans="1:25" s="72" customFormat="1" ht="15.75">
      <c r="A33" s="71" t="s">
        <v>156</v>
      </c>
      <c r="D33" s="73">
        <f>(D6+D8+D10+D12+D14+D16+D18+D20+D22+D24+D26+D28)/(C7+C9+C11+C13+C15+C17+C19+C21+C23+C25+C27+C29)</f>
        <v>0.21730242382416323</v>
      </c>
      <c r="G33" s="73">
        <f>(G6+G8+G10+G12+G14+G16+G18+G20+G22+G24+G26+G28)/(F7+F9+F11+F13+F15+F17+F19+F21+F23+F25+F27+F29)</f>
        <v>0.18036837376460033</v>
      </c>
      <c r="I33" s="141"/>
      <c r="J33" s="142">
        <f>(J6+J8+J10+J12+J14+J16+J18+J20+J22+J24+J26+J28)/(I7+I9+I11+I13+I15+I17+I19+I21+I23+I25+I27+I29)</f>
        <v>0.1284013189037429</v>
      </c>
      <c r="K33" s="141"/>
      <c r="M33" s="73">
        <f>(M6+M8+M10+M12+M14+M16+M18+M20+M22+M24+M26+M28)/(L7+L9+L11+L13+L15+L17+L19+L21+L23+L25+L27+L29)</f>
        <v>0.22793325206268467</v>
      </c>
      <c r="P33" s="73">
        <f>(P6+P8+P10+P12+P14+P16+P18+P20+P22+P24+P26+P28)/(O7+O9+O11+O13+O15+O17+O19+O21+O23+O25+O27+O29)</f>
        <v>0.12628717787883531</v>
      </c>
      <c r="S33" s="73">
        <f>(S6+S8+S10+S12+S14+S16+S18+S20+S22+S24+S26+S28)/(R7+R9+R11+R13+R15+R17+R19+R21+R23+R25+R27+R29)</f>
        <v>0.15762363116412087</v>
      </c>
      <c r="V33" s="73">
        <f>(V6+V8+V10+V12+V14+V16+V18+V20+V22+V24+V26+V28)/(U7+U9+U11+U13+U15+U17+U19+U21+U23+U25+U27+U29)</f>
        <v>0.12787197104018894</v>
      </c>
      <c r="Y33" s="73">
        <f>(Y6+Y8+Y10+Y12+Y14+Y16+Y18+Y20+Y22+Y24+Y26+Y28)/(X7+X9+X11+X13+X15+X17+X19+X21+X23+X25+X27+X29)</f>
        <v>0.16117822976669885</v>
      </c>
    </row>
    <row r="34" spans="1:25" s="74" customFormat="1">
      <c r="D34" s="74">
        <v>1850</v>
      </c>
      <c r="G34" s="74">
        <v>1851</v>
      </c>
      <c r="I34" s="143"/>
      <c r="J34" s="143">
        <v>1852</v>
      </c>
      <c r="K34" s="143"/>
      <c r="M34" s="74">
        <v>1853</v>
      </c>
      <c r="P34" s="74">
        <v>1854</v>
      </c>
      <c r="S34" s="74">
        <v>1855</v>
      </c>
      <c r="V34" s="74">
        <v>1856</v>
      </c>
      <c r="Y34" s="74">
        <v>1857</v>
      </c>
    </row>
    <row r="38" spans="1:25">
      <c r="A38" s="75"/>
    </row>
    <row r="39" spans="1:25">
      <c r="A39" s="76"/>
    </row>
    <row r="40" spans="1:25">
      <c r="A40" s="75"/>
    </row>
  </sheetData>
  <sheetProtection selectLockedCells="1" selectUnlockedCells="1"/>
  <mergeCells count="213">
    <mergeCell ref="R4:T4"/>
    <mergeCell ref="U4:W4"/>
    <mergeCell ref="X4:Z4"/>
    <mergeCell ref="A6:A7"/>
    <mergeCell ref="D6:D7"/>
    <mergeCell ref="E6:E7"/>
    <mergeCell ref="G6:G7"/>
    <mergeCell ref="H6:H7"/>
    <mergeCell ref="J6:J7"/>
    <mergeCell ref="K6:K7"/>
    <mergeCell ref="A4:B5"/>
    <mergeCell ref="C4:E4"/>
    <mergeCell ref="F4:H4"/>
    <mergeCell ref="I4:K4"/>
    <mergeCell ref="L4:N4"/>
    <mergeCell ref="O4:Q4"/>
    <mergeCell ref="V6:V7"/>
    <mergeCell ref="W6:W7"/>
    <mergeCell ref="Y6:Y7"/>
    <mergeCell ref="Z6:Z7"/>
    <mergeCell ref="Q6:Q7"/>
    <mergeCell ref="S6:S7"/>
    <mergeCell ref="T6:T7"/>
    <mergeCell ref="A8:A9"/>
    <mergeCell ref="D8:D9"/>
    <mergeCell ref="E8:E9"/>
    <mergeCell ref="G8:G9"/>
    <mergeCell ref="H8:H9"/>
    <mergeCell ref="J8:J9"/>
    <mergeCell ref="M6:M7"/>
    <mergeCell ref="N6:N7"/>
    <mergeCell ref="P6:P7"/>
    <mergeCell ref="T8:T9"/>
    <mergeCell ref="V8:V9"/>
    <mergeCell ref="W8:W9"/>
    <mergeCell ref="Y8:Y9"/>
    <mergeCell ref="Z8:Z9"/>
    <mergeCell ref="A10:A11"/>
    <mergeCell ref="D10:D11"/>
    <mergeCell ref="E10:E11"/>
    <mergeCell ref="G10:G11"/>
    <mergeCell ref="H10:H11"/>
    <mergeCell ref="K8:K9"/>
    <mergeCell ref="M8:M9"/>
    <mergeCell ref="N8:N9"/>
    <mergeCell ref="P8:P9"/>
    <mergeCell ref="Q8:Q9"/>
    <mergeCell ref="S8:S9"/>
    <mergeCell ref="S10:S11"/>
    <mergeCell ref="T10:T11"/>
    <mergeCell ref="V10:V11"/>
    <mergeCell ref="W10:W11"/>
    <mergeCell ref="Y10:Y11"/>
    <mergeCell ref="Z10:Z11"/>
    <mergeCell ref="J10:J11"/>
    <mergeCell ref="K10:K11"/>
    <mergeCell ref="M10:M11"/>
    <mergeCell ref="N10:N11"/>
    <mergeCell ref="P10:P11"/>
    <mergeCell ref="Q10:Q11"/>
    <mergeCell ref="T12:T13"/>
    <mergeCell ref="V12:V13"/>
    <mergeCell ref="W12:W13"/>
    <mergeCell ref="Y12:Y13"/>
    <mergeCell ref="Z12:Z13"/>
    <mergeCell ref="Q12:Q13"/>
    <mergeCell ref="S12:S13"/>
    <mergeCell ref="A14:A15"/>
    <mergeCell ref="D14:D15"/>
    <mergeCell ref="E14:E15"/>
    <mergeCell ref="G14:G15"/>
    <mergeCell ref="H14:H15"/>
    <mergeCell ref="K12:K13"/>
    <mergeCell ref="M12:M13"/>
    <mergeCell ref="N12:N13"/>
    <mergeCell ref="P12:P13"/>
    <mergeCell ref="A12:A13"/>
    <mergeCell ref="D12:D13"/>
    <mergeCell ref="E12:E13"/>
    <mergeCell ref="G12:G13"/>
    <mergeCell ref="H12:H13"/>
    <mergeCell ref="J12:J13"/>
    <mergeCell ref="S14:S15"/>
    <mergeCell ref="T14:T15"/>
    <mergeCell ref="V14:V15"/>
    <mergeCell ref="W14:W15"/>
    <mergeCell ref="Y14:Y15"/>
    <mergeCell ref="Z14:Z15"/>
    <mergeCell ref="J14:J15"/>
    <mergeCell ref="K14:K15"/>
    <mergeCell ref="M14:M15"/>
    <mergeCell ref="N14:N15"/>
    <mergeCell ref="P14:P15"/>
    <mergeCell ref="Q14:Q15"/>
    <mergeCell ref="T16:T17"/>
    <mergeCell ref="V16:V17"/>
    <mergeCell ref="W16:W17"/>
    <mergeCell ref="Y16:Y17"/>
    <mergeCell ref="Z16:Z17"/>
    <mergeCell ref="A18:A19"/>
    <mergeCell ref="D18:D19"/>
    <mergeCell ref="E18:E19"/>
    <mergeCell ref="G18:G19"/>
    <mergeCell ref="H18:H19"/>
    <mergeCell ref="K16:K17"/>
    <mergeCell ref="M16:M17"/>
    <mergeCell ref="N16:N17"/>
    <mergeCell ref="P16:P17"/>
    <mergeCell ref="Q16:Q17"/>
    <mergeCell ref="S16:S17"/>
    <mergeCell ref="A16:A17"/>
    <mergeCell ref="D16:D17"/>
    <mergeCell ref="E16:E17"/>
    <mergeCell ref="G16:G17"/>
    <mergeCell ref="H16:H17"/>
    <mergeCell ref="J16:J17"/>
    <mergeCell ref="S18:S19"/>
    <mergeCell ref="T18:T19"/>
    <mergeCell ref="V18:V19"/>
    <mergeCell ref="W18:W19"/>
    <mergeCell ref="Y18:Y19"/>
    <mergeCell ref="Z18:Z19"/>
    <mergeCell ref="J18:J19"/>
    <mergeCell ref="K18:K19"/>
    <mergeCell ref="M18:M19"/>
    <mergeCell ref="N18:N19"/>
    <mergeCell ref="P18:P19"/>
    <mergeCell ref="Q18:Q19"/>
    <mergeCell ref="T20:T21"/>
    <mergeCell ref="V20:V21"/>
    <mergeCell ref="W20:W21"/>
    <mergeCell ref="Y20:Y21"/>
    <mergeCell ref="Z20:Z21"/>
    <mergeCell ref="A22:A23"/>
    <mergeCell ref="D22:D23"/>
    <mergeCell ref="E22:E23"/>
    <mergeCell ref="G22:G23"/>
    <mergeCell ref="H22:H23"/>
    <mergeCell ref="K20:K21"/>
    <mergeCell ref="M20:M21"/>
    <mergeCell ref="N20:N21"/>
    <mergeCell ref="P20:P21"/>
    <mergeCell ref="Q20:Q21"/>
    <mergeCell ref="S20:S21"/>
    <mergeCell ref="A20:A21"/>
    <mergeCell ref="D20:D21"/>
    <mergeCell ref="E20:E21"/>
    <mergeCell ref="G20:G21"/>
    <mergeCell ref="H20:H21"/>
    <mergeCell ref="J20:J21"/>
    <mergeCell ref="S22:S23"/>
    <mergeCell ref="T22:T23"/>
    <mergeCell ref="V22:V23"/>
    <mergeCell ref="W22:W23"/>
    <mergeCell ref="Y22:Y23"/>
    <mergeCell ref="Z22:Z23"/>
    <mergeCell ref="J22:J23"/>
    <mergeCell ref="K22:K23"/>
    <mergeCell ref="M22:M23"/>
    <mergeCell ref="N22:N23"/>
    <mergeCell ref="P22:P23"/>
    <mergeCell ref="Q22:Q23"/>
    <mergeCell ref="T24:T25"/>
    <mergeCell ref="V24:V25"/>
    <mergeCell ref="W24:W25"/>
    <mergeCell ref="Y24:Y25"/>
    <mergeCell ref="Z24:Z25"/>
    <mergeCell ref="A26:A27"/>
    <mergeCell ref="D26:D27"/>
    <mergeCell ref="E26:E27"/>
    <mergeCell ref="G26:G27"/>
    <mergeCell ref="H26:H27"/>
    <mergeCell ref="K24:K25"/>
    <mergeCell ref="M24:M25"/>
    <mergeCell ref="N24:N25"/>
    <mergeCell ref="P24:P25"/>
    <mergeCell ref="Q24:Q25"/>
    <mergeCell ref="S24:S25"/>
    <mergeCell ref="A24:A25"/>
    <mergeCell ref="D24:D25"/>
    <mergeCell ref="E24:E25"/>
    <mergeCell ref="G24:G25"/>
    <mergeCell ref="H24:H25"/>
    <mergeCell ref="J24:J25"/>
    <mergeCell ref="W26:W27"/>
    <mergeCell ref="Y26:Y27"/>
    <mergeCell ref="A28:A29"/>
    <mergeCell ref="D28:D29"/>
    <mergeCell ref="E28:E29"/>
    <mergeCell ref="G28:G29"/>
    <mergeCell ref="H28:H29"/>
    <mergeCell ref="J28:J29"/>
    <mergeCell ref="S26:S27"/>
    <mergeCell ref="T26:T27"/>
    <mergeCell ref="V26:V27"/>
    <mergeCell ref="T28:T29"/>
    <mergeCell ref="V28:V29"/>
    <mergeCell ref="K28:K29"/>
    <mergeCell ref="M28:M29"/>
    <mergeCell ref="N28:N29"/>
    <mergeCell ref="P28:P29"/>
    <mergeCell ref="Q28:Q29"/>
    <mergeCell ref="S28:S29"/>
    <mergeCell ref="Z26:Z27"/>
    <mergeCell ref="J26:J27"/>
    <mergeCell ref="K26:K27"/>
    <mergeCell ref="M26:M27"/>
    <mergeCell ref="N26:N27"/>
    <mergeCell ref="P26:P27"/>
    <mergeCell ref="Q26:Q27"/>
    <mergeCell ref="W28:W29"/>
    <mergeCell ref="Y28:Y29"/>
    <mergeCell ref="Z28:Z29"/>
  </mergeCells>
  <printOptions horizontalCentered="1" verticalCentered="1"/>
  <pageMargins left="0" right="0" top="0.19652777777777777" bottom="0.19652777777777777" header="0.51180555555555551" footer="0.51180555555555551"/>
  <pageSetup paperSize="9" scale="75" firstPageNumber="0" orientation="landscape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0"/>
  <sheetViews>
    <sheetView topLeftCell="A10" workbookViewId="0">
      <selection activeCell="B28" sqref="A28:XFD29"/>
    </sheetView>
  </sheetViews>
  <sheetFormatPr defaultRowHeight="15"/>
  <cols>
    <col min="1" max="1" width="9.140625" style="56"/>
    <col min="2" max="2" width="10.28515625" style="56" customWidth="1"/>
    <col min="3" max="4" width="7" style="56" customWidth="1"/>
    <col min="5" max="5" width="9" style="56" customWidth="1"/>
    <col min="6" max="7" width="7" style="56" customWidth="1"/>
    <col min="8" max="8" width="7.7109375" style="56" customWidth="1"/>
    <col min="9" max="9" width="7" style="56" customWidth="1"/>
    <col min="10" max="10" width="6.85546875" style="56" customWidth="1"/>
    <col min="11" max="11" width="9" style="56" customWidth="1"/>
    <col min="12" max="19" width="7" style="56" customWidth="1"/>
    <col min="20" max="20" width="7.7109375" style="56" customWidth="1"/>
    <col min="21" max="22" width="7" style="56" customWidth="1"/>
    <col min="23" max="23" width="8" style="56" customWidth="1"/>
    <col min="24" max="26" width="7" style="56" customWidth="1"/>
    <col min="27" max="16384" width="9.140625" style="56"/>
  </cols>
  <sheetData>
    <row r="1" spans="1:27" ht="18.75">
      <c r="A1" s="57" t="s">
        <v>149</v>
      </c>
    </row>
    <row r="2" spans="1:27" ht="11.25" customHeight="1">
      <c r="A2" s="57"/>
    </row>
    <row r="3" spans="1:27" hidden="1">
      <c r="C3" s="56">
        <v>1850</v>
      </c>
      <c r="F3" s="56">
        <v>51</v>
      </c>
      <c r="I3" s="56">
        <v>52</v>
      </c>
      <c r="L3" s="56">
        <v>53</v>
      </c>
      <c r="O3" s="56">
        <v>54</v>
      </c>
      <c r="R3" s="56">
        <v>55</v>
      </c>
      <c r="U3" s="56">
        <v>56</v>
      </c>
      <c r="X3" s="56">
        <v>57</v>
      </c>
    </row>
    <row r="4" spans="1:27" s="59" customFormat="1" ht="18.75">
      <c r="A4" s="295"/>
      <c r="B4" s="295"/>
      <c r="C4" s="292">
        <v>1850</v>
      </c>
      <c r="D4" s="292"/>
      <c r="E4" s="292"/>
      <c r="F4" s="292">
        <v>1851</v>
      </c>
      <c r="G4" s="292"/>
      <c r="H4" s="292"/>
      <c r="I4" s="292">
        <v>1852</v>
      </c>
      <c r="J4" s="292"/>
      <c r="K4" s="292"/>
      <c r="L4" s="292">
        <v>1853</v>
      </c>
      <c r="M4" s="292"/>
      <c r="N4" s="292"/>
      <c r="O4" s="292">
        <v>1854</v>
      </c>
      <c r="P4" s="292"/>
      <c r="Q4" s="292"/>
      <c r="R4" s="292">
        <v>1855</v>
      </c>
      <c r="S4" s="292"/>
      <c r="T4" s="292"/>
      <c r="U4" s="292">
        <v>1856</v>
      </c>
      <c r="V4" s="292"/>
      <c r="W4" s="292"/>
      <c r="X4" s="292">
        <v>1857</v>
      </c>
      <c r="Y4" s="292"/>
      <c r="Z4" s="292"/>
      <c r="AA4" s="58"/>
    </row>
    <row r="5" spans="1:27" ht="30">
      <c r="A5" s="295"/>
      <c r="B5" s="295"/>
      <c r="C5" s="60" t="s">
        <v>150</v>
      </c>
      <c r="D5" s="61" t="s">
        <v>151</v>
      </c>
      <c r="E5" s="61" t="s">
        <v>152</v>
      </c>
      <c r="F5" s="60" t="s">
        <v>150</v>
      </c>
      <c r="G5" s="61" t="s">
        <v>151</v>
      </c>
      <c r="H5" s="61" t="s">
        <v>152</v>
      </c>
      <c r="I5" s="60" t="s">
        <v>150</v>
      </c>
      <c r="J5" s="61" t="s">
        <v>151</v>
      </c>
      <c r="K5" s="61" t="s">
        <v>152</v>
      </c>
      <c r="L5" s="60" t="s">
        <v>150</v>
      </c>
      <c r="M5" s="61" t="s">
        <v>151</v>
      </c>
      <c r="N5" s="61" t="s">
        <v>152</v>
      </c>
      <c r="O5" s="60" t="s">
        <v>150</v>
      </c>
      <c r="P5" s="61" t="s">
        <v>151</v>
      </c>
      <c r="Q5" s="61" t="s">
        <v>152</v>
      </c>
      <c r="R5" s="60" t="s">
        <v>150</v>
      </c>
      <c r="S5" s="61" t="s">
        <v>151</v>
      </c>
      <c r="T5" s="61" t="s">
        <v>152</v>
      </c>
      <c r="U5" s="60" t="s">
        <v>150</v>
      </c>
      <c r="V5" s="61" t="s">
        <v>151</v>
      </c>
      <c r="W5" s="61" t="s">
        <v>152</v>
      </c>
      <c r="X5" s="60" t="s">
        <v>150</v>
      </c>
      <c r="Y5" s="61" t="s">
        <v>151</v>
      </c>
      <c r="Z5" s="61" t="s">
        <v>152</v>
      </c>
      <c r="AA5" s="62"/>
    </row>
    <row r="6" spans="1:27">
      <c r="A6" s="285" t="s">
        <v>4</v>
      </c>
      <c r="B6" s="63" t="s">
        <v>153</v>
      </c>
      <c r="C6" s="63">
        <f>'S1'!B9</f>
        <v>34.396999999999991</v>
      </c>
      <c r="D6" s="291">
        <f>'S1'!B10-'S1'!B9</f>
        <v>5.4910000000000565</v>
      </c>
      <c r="E6" s="283">
        <f>D6/C7</f>
        <v>0.13766044925792342</v>
      </c>
      <c r="F6" s="63">
        <f>'S1'!C9</f>
        <v>46.584999999999994</v>
      </c>
      <c r="G6" s="291">
        <f>'S1'!C10-'S1'!C9</f>
        <v>4.5710000000000335</v>
      </c>
      <c r="H6" s="283">
        <f>G6/F7</f>
        <v>8.9354132457581337E-2</v>
      </c>
      <c r="I6" s="63">
        <f>'S1'!D9</f>
        <v>41.175000000000011</v>
      </c>
      <c r="J6" s="291">
        <f>'S1'!D10-'S1'!D9</f>
        <v>3.3210000000000406</v>
      </c>
      <c r="K6" s="283">
        <f>J6/I7</f>
        <v>7.4635922330097915E-2</v>
      </c>
      <c r="L6" s="63">
        <f>'S1'!E9</f>
        <v>39.645000000000003</v>
      </c>
      <c r="M6" s="291">
        <f>'S1'!E10-'S1'!E9</f>
        <v>5.4990000000000734</v>
      </c>
      <c r="N6" s="283">
        <f>M6/L7</f>
        <v>0.12181020733652455</v>
      </c>
      <c r="O6" s="63">
        <f>'S1'!B24</f>
        <v>41.645999999999994</v>
      </c>
      <c r="P6" s="291">
        <f>'S1'!B25-'S1'!B24</f>
        <v>3.8940000000000268</v>
      </c>
      <c r="Q6" s="283">
        <f>P6/O7</f>
        <v>8.5507246376812146E-2</v>
      </c>
      <c r="R6" s="63">
        <f>'S1'!C24</f>
        <v>46.87299999999999</v>
      </c>
      <c r="S6" s="291">
        <f>'S1'!C25-'S1'!C24</f>
        <v>-5.3289999999999154</v>
      </c>
      <c r="T6" s="283">
        <f>S6/R7</f>
        <v>-0.12827363758905994</v>
      </c>
      <c r="U6" s="63">
        <f>'S1'!D24</f>
        <v>40.931999999999988</v>
      </c>
      <c r="V6" s="291">
        <f>'S1'!D25-'S1'!D24</f>
        <v>4.5720000000000667</v>
      </c>
      <c r="W6" s="283">
        <f>V6/U7</f>
        <v>0.10047468354430514</v>
      </c>
      <c r="X6" s="63">
        <f>'S1'!E24</f>
        <v>42.524000000000008</v>
      </c>
      <c r="Y6" s="291">
        <f>'S1'!E25-'S1'!E24</f>
        <v>5.2119999999999607</v>
      </c>
      <c r="Z6" s="283">
        <f>Y6/X7</f>
        <v>0.10918384447796137</v>
      </c>
    </row>
    <row r="7" spans="1:27">
      <c r="A7" s="285"/>
      <c r="B7" s="63" t="s">
        <v>154</v>
      </c>
      <c r="C7" s="63">
        <f>'S1'!B10</f>
        <v>39.888000000000048</v>
      </c>
      <c r="D7" s="291"/>
      <c r="E7" s="283"/>
      <c r="F7" s="63">
        <f>'S1'!C10</f>
        <v>51.156000000000027</v>
      </c>
      <c r="G7" s="291"/>
      <c r="H7" s="283"/>
      <c r="I7" s="63">
        <f>'S1'!D10</f>
        <v>44.496000000000052</v>
      </c>
      <c r="J7" s="291"/>
      <c r="K7" s="283"/>
      <c r="L7" s="63">
        <f>'S1'!E10</f>
        <v>45.144000000000077</v>
      </c>
      <c r="M7" s="291"/>
      <c r="N7" s="283"/>
      <c r="O7" s="63">
        <f>'S1'!B25</f>
        <v>45.54000000000002</v>
      </c>
      <c r="P7" s="291"/>
      <c r="Q7" s="283"/>
      <c r="R7" s="63">
        <f>'S1'!C25</f>
        <v>41.544000000000075</v>
      </c>
      <c r="S7" s="291"/>
      <c r="T7" s="283"/>
      <c r="U7" s="63">
        <f>'S1'!D25</f>
        <v>45.504000000000055</v>
      </c>
      <c r="V7" s="291"/>
      <c r="W7" s="283"/>
      <c r="X7" s="63">
        <f>'S1'!E25</f>
        <v>47.735999999999969</v>
      </c>
      <c r="Y7" s="291"/>
      <c r="Z7" s="283"/>
    </row>
    <row r="8" spans="1:27">
      <c r="A8" s="285" t="s">
        <v>5</v>
      </c>
      <c r="B8" s="63" t="s">
        <v>153</v>
      </c>
      <c r="C8" s="63">
        <f>'S2'!B9</f>
        <v>21.748000000000008</v>
      </c>
      <c r="D8" s="284">
        <f>'S2'!B10-'S2'!B9</f>
        <v>4.4959999999999631</v>
      </c>
      <c r="E8" s="283">
        <f>D8/C9</f>
        <v>0.17131534827007958</v>
      </c>
      <c r="F8" s="64">
        <f>'S2'!C9</f>
        <v>33.561999999999998</v>
      </c>
      <c r="G8" s="284">
        <f>'S2'!C10-'S2'!C9</f>
        <v>4.0220000000000979</v>
      </c>
      <c r="H8" s="283">
        <f>G8/F9</f>
        <v>0.10701362281822285</v>
      </c>
      <c r="I8" s="64">
        <f>'S2'!D9</f>
        <v>30.42799999999999</v>
      </c>
      <c r="J8" s="284">
        <f>'S2'!D10-'S2'!D9</f>
        <v>2.9079999999999799</v>
      </c>
      <c r="K8" s="283">
        <f>J8/I9</f>
        <v>8.7233021358290808E-2</v>
      </c>
      <c r="L8" s="64">
        <f>'S2'!E9</f>
        <v>27.014999999999993</v>
      </c>
      <c r="M8" s="284">
        <f>'S2'!E10-'S2'!E9</f>
        <v>5.277000000000001</v>
      </c>
      <c r="N8" s="283">
        <f>M8/L9</f>
        <v>0.16341508732813087</v>
      </c>
      <c r="O8" s="64">
        <f>'S2'!B24</f>
        <v>29.796000000000006</v>
      </c>
      <c r="P8" s="284">
        <f>'S2'!B25-'S2'!B24</f>
        <v>3.0360000000000085</v>
      </c>
      <c r="Q8" s="283">
        <f>P8/O9</f>
        <v>9.2470760233918342E-2</v>
      </c>
      <c r="R8" s="64">
        <f>'S2'!C24</f>
        <v>32.327000000000012</v>
      </c>
      <c r="S8" s="284">
        <f>'S2'!C25-'S2'!C24</f>
        <v>7.81299999999991</v>
      </c>
      <c r="T8" s="283">
        <f>S8/R9</f>
        <v>0.1946437468858975</v>
      </c>
      <c r="U8" s="64">
        <f>'S2'!D24</f>
        <v>26.366000000000007</v>
      </c>
      <c r="V8" s="284">
        <f>'S2'!D25-'S2'!D24</f>
        <v>3.0099999999999802</v>
      </c>
      <c r="W8" s="283">
        <f>V8/U9</f>
        <v>0.10246459694989044</v>
      </c>
      <c r="X8" s="64">
        <f>'S2'!E24</f>
        <v>27.817999999999998</v>
      </c>
      <c r="Y8" s="284">
        <f>'S2'!E25-'S2'!E24</f>
        <v>3.4300000000000281</v>
      </c>
      <c r="Z8" s="283">
        <f>Y8/X9</f>
        <v>0.10976702508960655</v>
      </c>
    </row>
    <row r="9" spans="1:27">
      <c r="A9" s="285"/>
      <c r="B9" s="63" t="s">
        <v>154</v>
      </c>
      <c r="C9" s="64">
        <f>'S2'!B10</f>
        <v>26.243999999999971</v>
      </c>
      <c r="D9" s="284"/>
      <c r="E9" s="283"/>
      <c r="F9" s="64">
        <f>'S2'!C10</f>
        <v>37.584000000000096</v>
      </c>
      <c r="G9" s="284"/>
      <c r="H9" s="283"/>
      <c r="I9" s="64">
        <f>'S2'!D10</f>
        <v>33.33599999999997</v>
      </c>
      <c r="J9" s="284"/>
      <c r="K9" s="283"/>
      <c r="L9" s="64">
        <f>'S2'!E10</f>
        <v>32.291999999999994</v>
      </c>
      <c r="M9" s="284"/>
      <c r="N9" s="283"/>
      <c r="O9" s="64">
        <f>'S2'!B25</f>
        <v>32.832000000000015</v>
      </c>
      <c r="P9" s="284"/>
      <c r="Q9" s="283"/>
      <c r="R9" s="64">
        <f>'S2'!C25</f>
        <v>40.139999999999922</v>
      </c>
      <c r="S9" s="284"/>
      <c r="T9" s="283"/>
      <c r="U9" s="64">
        <f>'S2'!D25</f>
        <v>29.375999999999987</v>
      </c>
      <c r="V9" s="284"/>
      <c r="W9" s="283"/>
      <c r="X9" s="64">
        <f>'S2'!E25</f>
        <v>31.248000000000026</v>
      </c>
      <c r="Y9" s="284"/>
      <c r="Z9" s="283"/>
    </row>
    <row r="10" spans="1:27">
      <c r="A10" s="285" t="s">
        <v>6</v>
      </c>
      <c r="B10" s="63" t="s">
        <v>153</v>
      </c>
      <c r="C10" s="63">
        <f>'S3'!B9</f>
        <v>16.283000000000008</v>
      </c>
      <c r="D10" s="284">
        <f>'S3'!B10-'S3'!B9</f>
        <v>3.9849999999999746</v>
      </c>
      <c r="E10" s="283">
        <f>D10/C11</f>
        <v>0.19661535425300858</v>
      </c>
      <c r="F10" s="64">
        <f>'S3'!C9</f>
        <v>25.802000000000017</v>
      </c>
      <c r="G10" s="284">
        <f>'S3'!C10-'S3'!C9</f>
        <v>4.4739999999998687</v>
      </c>
      <c r="H10" s="283">
        <f>G10/F11</f>
        <v>0.14777381424230035</v>
      </c>
      <c r="I10" s="64">
        <f>'S3'!D9</f>
        <v>21.801000000000002</v>
      </c>
      <c r="J10" s="284">
        <f>'S3'!D10-'S3'!D9</f>
        <v>2.9310000000000151</v>
      </c>
      <c r="K10" s="283">
        <f>J10/I11</f>
        <v>0.11851043182920966</v>
      </c>
      <c r="L10" s="64">
        <f>'S3'!E9</f>
        <v>18.387000000000015</v>
      </c>
      <c r="M10" s="284">
        <f>'S3'!E10-'S3'!E9</f>
        <v>4.6169999999999369</v>
      </c>
      <c r="N10" s="283">
        <f>M10/L11</f>
        <v>0.20070422535211035</v>
      </c>
      <c r="O10" s="64">
        <f>'S3'!B24</f>
        <v>23.068000000000005</v>
      </c>
      <c r="P10" s="291">
        <f>'S3'!B25-'S3'!B24</f>
        <v>2.5640000000000107</v>
      </c>
      <c r="Q10" s="283">
        <f>P10/O11</f>
        <v>0.10003121098626752</v>
      </c>
      <c r="R10" s="63">
        <f>'S3'!C24</f>
        <v>25.445000000000014</v>
      </c>
      <c r="S10" s="291">
        <f>'S3'!C25-'S3'!C24</f>
        <v>6.1629999999999896</v>
      </c>
      <c r="T10" s="283">
        <f>S10/R11</f>
        <v>0.19498228296633729</v>
      </c>
      <c r="U10" s="63">
        <f>'S3'!D24</f>
        <v>18.531000000000006</v>
      </c>
      <c r="V10" s="291">
        <f>'S3'!D25-'S3'!D24</f>
        <v>2.4569999999999368</v>
      </c>
      <c r="W10" s="283">
        <f>V10/U11</f>
        <v>0.11706689536877947</v>
      </c>
      <c r="X10" s="63">
        <f>'S3'!E24</f>
        <v>21.181999999999995</v>
      </c>
      <c r="Y10" s="291">
        <f>'S3'!E25-'S3'!E24</f>
        <v>3.0820000000000398</v>
      </c>
      <c r="Z10" s="283">
        <f>Y10/X11</f>
        <v>0.12701945268710993</v>
      </c>
    </row>
    <row r="11" spans="1:27">
      <c r="A11" s="285"/>
      <c r="B11" s="63" t="s">
        <v>154</v>
      </c>
      <c r="C11" s="64">
        <f>'S3'!B10</f>
        <v>20.267999999999983</v>
      </c>
      <c r="D11" s="284"/>
      <c r="E11" s="283"/>
      <c r="F11" s="64">
        <f>'S3'!C10</f>
        <v>30.275999999999886</v>
      </c>
      <c r="G11" s="284"/>
      <c r="H11" s="283"/>
      <c r="I11" s="64">
        <f>'S3'!D10</f>
        <v>24.732000000000017</v>
      </c>
      <c r="J11" s="284"/>
      <c r="K11" s="283"/>
      <c r="L11" s="64">
        <f>'S3'!E10</f>
        <v>23.003999999999952</v>
      </c>
      <c r="M11" s="284"/>
      <c r="N11" s="283"/>
      <c r="O11" s="64">
        <f>'S3'!B25</f>
        <v>25.632000000000016</v>
      </c>
      <c r="P11" s="291"/>
      <c r="Q11" s="283"/>
      <c r="R11" s="63">
        <f>'S3'!C25</f>
        <v>31.608000000000004</v>
      </c>
      <c r="S11" s="291"/>
      <c r="T11" s="283"/>
      <c r="U11" s="63">
        <f>'S3'!D25</f>
        <v>20.987999999999943</v>
      </c>
      <c r="V11" s="291"/>
      <c r="W11" s="283"/>
      <c r="X11" s="63">
        <f>'S3'!E25</f>
        <v>24.264000000000035</v>
      </c>
      <c r="Y11" s="291"/>
      <c r="Z11" s="283"/>
    </row>
    <row r="12" spans="1:27">
      <c r="A12" s="285" t="s">
        <v>7</v>
      </c>
      <c r="B12" s="63" t="s">
        <v>153</v>
      </c>
      <c r="C12" s="63">
        <f>'S4'!B9</f>
        <v>8.4449999999999861</v>
      </c>
      <c r="D12" s="284">
        <f>'S4'!B10-'S4'!B9</f>
        <v>3.4350000000000556</v>
      </c>
      <c r="E12" s="283">
        <f>D12/C13</f>
        <v>0.28914141414141781</v>
      </c>
      <c r="F12" s="64">
        <f>'S4'!C9</f>
        <v>17.556999999999988</v>
      </c>
      <c r="G12" s="291">
        <f>'S4'!C10-'S4'!C9</f>
        <v>4.7270000000000039</v>
      </c>
      <c r="H12" s="283">
        <f>G12/F13</f>
        <v>0.21212529168910454</v>
      </c>
      <c r="I12" s="63">
        <f>'S4'!D9</f>
        <v>13.112000000000013</v>
      </c>
      <c r="J12" s="291">
        <f>'S4'!D10-'S4'!D9</f>
        <v>2.1879999999999882</v>
      </c>
      <c r="K12" s="283">
        <f>J12/I13</f>
        <v>0.14300653594771165</v>
      </c>
      <c r="L12" s="63">
        <f>'S4'!E9</f>
        <v>9.7029999999999887</v>
      </c>
      <c r="M12" s="291">
        <f>'S4'!E10-'S4'!E9</f>
        <v>4.5530000000000399</v>
      </c>
      <c r="N12" s="283">
        <f>M12/L13</f>
        <v>0.31937429854096738</v>
      </c>
      <c r="O12" s="63">
        <f>'S4'!B24</f>
        <v>14.524000000000008</v>
      </c>
      <c r="P12" s="291">
        <f>'S4'!B25-'S4'!B24</f>
        <v>2.5759999999999934</v>
      </c>
      <c r="Q12" s="283">
        <f>P12/O13</f>
        <v>0.15064327485380077</v>
      </c>
      <c r="R12" s="63">
        <f>'S4'!C24</f>
        <v>16.406999999999975</v>
      </c>
      <c r="S12" s="291">
        <f>'S4'!C25-'S4'!C24</f>
        <v>4.3290000000000965</v>
      </c>
      <c r="T12" s="283">
        <f>S12/R13</f>
        <v>0.20876736111111505</v>
      </c>
      <c r="U12" s="63">
        <f>'S4'!D24</f>
        <v>10.480000000000011</v>
      </c>
      <c r="V12" s="291">
        <f>'S4'!D25-'S4'!D24</f>
        <v>2.2279999999999927</v>
      </c>
      <c r="W12" s="283">
        <f>V12/U13</f>
        <v>0.17532263141328233</v>
      </c>
      <c r="X12" s="63">
        <f>'S4'!E24</f>
        <v>11.477000000000011</v>
      </c>
      <c r="Y12" s="291">
        <f>'S4'!E25-'S4'!E24</f>
        <v>3.426999999999941</v>
      </c>
      <c r="Z12" s="283">
        <f>Y12/X13</f>
        <v>0.22993827160493505</v>
      </c>
    </row>
    <row r="13" spans="1:27">
      <c r="A13" s="285"/>
      <c r="B13" s="63" t="s">
        <v>154</v>
      </c>
      <c r="C13" s="64">
        <f>'S4'!B10</f>
        <v>11.880000000000042</v>
      </c>
      <c r="D13" s="284"/>
      <c r="E13" s="283"/>
      <c r="F13" s="64">
        <f>'S4'!C10</f>
        <v>22.283999999999992</v>
      </c>
      <c r="G13" s="291"/>
      <c r="H13" s="283"/>
      <c r="I13" s="63">
        <f>'S4'!D10</f>
        <v>15.3</v>
      </c>
      <c r="J13" s="291"/>
      <c r="K13" s="283"/>
      <c r="L13" s="63">
        <f>'S4'!E10</f>
        <v>14.256000000000029</v>
      </c>
      <c r="M13" s="291"/>
      <c r="N13" s="283"/>
      <c r="O13" s="63">
        <f>'S4'!B25</f>
        <v>17.100000000000001</v>
      </c>
      <c r="P13" s="291"/>
      <c r="Q13" s="283"/>
      <c r="R13" s="63">
        <f>'S4'!C25</f>
        <v>20.736000000000072</v>
      </c>
      <c r="S13" s="291"/>
      <c r="T13" s="283"/>
      <c r="U13" s="63">
        <f>'S4'!D25</f>
        <v>12.708000000000004</v>
      </c>
      <c r="V13" s="291"/>
      <c r="W13" s="283"/>
      <c r="X13" s="63">
        <f>'S4'!E25</f>
        <v>14.903999999999952</v>
      </c>
      <c r="Y13" s="291"/>
      <c r="Z13" s="283"/>
    </row>
    <row r="14" spans="1:27">
      <c r="A14" s="285" t="s">
        <v>8</v>
      </c>
      <c r="B14" s="63" t="s">
        <v>153</v>
      </c>
      <c r="C14" s="63">
        <f>'S5'!B9</f>
        <v>7.0460000000000065</v>
      </c>
      <c r="D14" s="284">
        <f>'S5'!B10-'S5'!B9</f>
        <v>3.1059999999999697</v>
      </c>
      <c r="E14" s="283">
        <f>D14/C15</f>
        <v>0.30594956658786221</v>
      </c>
      <c r="F14" s="63">
        <f>'S5'!C9</f>
        <v>13.414000000000012</v>
      </c>
      <c r="G14" s="284">
        <f>'S5'!C10-'S5'!C9</f>
        <v>4.801999999999996</v>
      </c>
      <c r="H14" s="283">
        <f>G14/F15</f>
        <v>0.26361440491875243</v>
      </c>
      <c r="I14" s="63">
        <f>'S5'!D9</f>
        <v>10.443000000000005</v>
      </c>
      <c r="J14" s="284">
        <f>'S5'!D10-'S5'!D9</f>
        <v>2.948999999999991</v>
      </c>
      <c r="K14" s="283">
        <f>J14/I15</f>
        <v>0.22020609318996354</v>
      </c>
      <c r="L14" s="63">
        <f>'S5'!E9</f>
        <v>8.195999999999998</v>
      </c>
      <c r="M14" s="284">
        <f>'S5'!E10-'S5'!E9</f>
        <v>4.3680000000000359</v>
      </c>
      <c r="N14" s="283">
        <f>M14/L15</f>
        <v>0.34765998089780514</v>
      </c>
      <c r="O14" s="63">
        <f>'S5'!B24</f>
        <v>12.050000000000008</v>
      </c>
      <c r="P14" s="284">
        <f>'S5'!B25-'S5'!B24</f>
        <v>2.4939999999999642</v>
      </c>
      <c r="Q14" s="283">
        <f>P14/O15</f>
        <v>0.17147964796479434</v>
      </c>
      <c r="R14" s="63">
        <f>'S5'!C24</f>
        <v>14.181000000000019</v>
      </c>
      <c r="S14" s="284">
        <f>'S5'!C25-'S5'!C24</f>
        <v>4.0709999999999589</v>
      </c>
      <c r="T14" s="283">
        <f>S14/R15</f>
        <v>0.2230440499671249</v>
      </c>
      <c r="U14" s="63">
        <f>'S5'!D24</f>
        <v>8.8659999999999926</v>
      </c>
      <c r="V14" s="284">
        <f>'S5'!D25-'S5'!D24</f>
        <v>2.0779999999999799</v>
      </c>
      <c r="W14" s="283">
        <f>V14/U15</f>
        <v>0.1898757309941507</v>
      </c>
      <c r="X14" s="63">
        <f>'S5'!E24</f>
        <v>8.9440000000000097</v>
      </c>
      <c r="Y14" s="284">
        <f>'S5'!E25-'S5'!E24</f>
        <v>3.51200000000002</v>
      </c>
      <c r="Z14" s="283">
        <f>Y14/X15</f>
        <v>0.28195247270391871</v>
      </c>
    </row>
    <row r="15" spans="1:27">
      <c r="A15" s="285"/>
      <c r="B15" s="63" t="s">
        <v>154</v>
      </c>
      <c r="C15" s="64">
        <f>'S5'!B10</f>
        <v>10.151999999999976</v>
      </c>
      <c r="D15" s="284"/>
      <c r="E15" s="283"/>
      <c r="F15" s="64">
        <f>'S5'!C10</f>
        <v>18.216000000000008</v>
      </c>
      <c r="G15" s="284"/>
      <c r="H15" s="283"/>
      <c r="I15" s="64">
        <f>'S5'!D10</f>
        <v>13.391999999999996</v>
      </c>
      <c r="J15" s="284"/>
      <c r="K15" s="283"/>
      <c r="L15" s="64">
        <f>'S5'!E10</f>
        <v>12.564000000000034</v>
      </c>
      <c r="M15" s="284"/>
      <c r="N15" s="283"/>
      <c r="O15" s="64">
        <f>'S5'!B25</f>
        <v>14.543999999999972</v>
      </c>
      <c r="P15" s="284"/>
      <c r="Q15" s="283"/>
      <c r="R15" s="64">
        <f>'S5'!C25</f>
        <v>18.251999999999978</v>
      </c>
      <c r="S15" s="284"/>
      <c r="T15" s="283"/>
      <c r="U15" s="64">
        <f>'S5'!D25</f>
        <v>10.943999999999972</v>
      </c>
      <c r="V15" s="284"/>
      <c r="W15" s="283"/>
      <c r="X15" s="64">
        <f>'S5'!E25</f>
        <v>12.45600000000003</v>
      </c>
      <c r="Y15" s="284"/>
      <c r="Z15" s="283"/>
    </row>
    <row r="16" spans="1:27">
      <c r="A16" s="285" t="s">
        <v>9</v>
      </c>
      <c r="B16" s="63" t="s">
        <v>153</v>
      </c>
      <c r="C16" s="63">
        <f>'S6'!B9</f>
        <v>3.0700000000000074</v>
      </c>
      <c r="D16" s="284">
        <f>'S6'!B10-'S6'!B9</f>
        <v>1.3580000000000583</v>
      </c>
      <c r="E16" s="283">
        <f>D16/C17</f>
        <v>0.30668473351401043</v>
      </c>
      <c r="F16" s="63">
        <f>'S6'!C9</f>
        <v>4.6119999999999912</v>
      </c>
      <c r="G16" s="284">
        <f>'S6'!C10-'S6'!C9</f>
        <v>2.9120000000001234</v>
      </c>
      <c r="H16" s="283">
        <f>G16/F17</f>
        <v>0.38702817650187121</v>
      </c>
      <c r="I16" s="63">
        <f>'S6'!D9</f>
        <v>4.0390000000000157</v>
      </c>
      <c r="J16" s="284">
        <f>'S6'!D10-'S6'!D9</f>
        <v>2.0090000000000092</v>
      </c>
      <c r="K16" s="283">
        <f>J16/I17</f>
        <v>0.3321759259259261</v>
      </c>
      <c r="L16" s="63">
        <f>'S6'!E9</f>
        <v>2.7180000000000035</v>
      </c>
      <c r="M16" s="284">
        <f>'S6'!E10-'S6'!E9</f>
        <v>2.4659999999999886</v>
      </c>
      <c r="N16" s="283">
        <f>M16/L17</f>
        <v>0.47569444444444298</v>
      </c>
      <c r="O16" s="63">
        <f>'S6'!B24</f>
        <v>3.0679999999999876</v>
      </c>
      <c r="P16" s="284">
        <f>'S6'!B25-'S6'!B24</f>
        <v>1.3240000000000083</v>
      </c>
      <c r="Q16" s="283">
        <f>P16/O17</f>
        <v>0.30145719489982004</v>
      </c>
      <c r="R16" s="63">
        <f>'S6'!C24</f>
        <v>3.4809999999999803</v>
      </c>
      <c r="S16" s="284">
        <f>'S6'!C25-'S6'!C24</f>
        <v>1.0549999999999873</v>
      </c>
      <c r="T16" s="283">
        <f>S16/R17</f>
        <v>0.23258377425043977</v>
      </c>
      <c r="U16" s="63">
        <f>'S6'!D24</f>
        <v>3.3710000000000022</v>
      </c>
      <c r="V16" s="284">
        <f>'S6'!D25-'S6'!D24</f>
        <v>1.1289999999999978</v>
      </c>
      <c r="W16" s="283">
        <f>V16/U17</f>
        <v>0.25088888888888838</v>
      </c>
      <c r="X16" s="63">
        <f>'S6'!E24</f>
        <v>3.0700000000000003</v>
      </c>
      <c r="Y16" s="284">
        <f>'S6'!E25-'S6'!E24</f>
        <v>2.6179999999999426</v>
      </c>
      <c r="Z16" s="283">
        <f>Y16/X17</f>
        <v>0.46026722925456554</v>
      </c>
    </row>
    <row r="17" spans="1:26">
      <c r="A17" s="285"/>
      <c r="B17" s="63" t="s">
        <v>154</v>
      </c>
      <c r="C17" s="63">
        <f>'S6'!B10</f>
        <v>4.4280000000000657</v>
      </c>
      <c r="D17" s="284"/>
      <c r="E17" s="283"/>
      <c r="F17" s="63">
        <f>'S6'!C10</f>
        <v>7.5240000000001146</v>
      </c>
      <c r="G17" s="284"/>
      <c r="H17" s="283"/>
      <c r="I17" s="63">
        <f>'S6'!D10</f>
        <v>6.0480000000000249</v>
      </c>
      <c r="J17" s="284"/>
      <c r="K17" s="283"/>
      <c r="L17" s="63">
        <f>'S6'!E10</f>
        <v>5.1839999999999922</v>
      </c>
      <c r="M17" s="284"/>
      <c r="N17" s="283"/>
      <c r="O17" s="63">
        <f>'S6'!B25</f>
        <v>4.3919999999999959</v>
      </c>
      <c r="P17" s="284"/>
      <c r="Q17" s="283"/>
      <c r="R17" s="63">
        <f>'S6'!C25</f>
        <v>4.5359999999999676</v>
      </c>
      <c r="S17" s="284"/>
      <c r="T17" s="283"/>
      <c r="U17" s="63">
        <f>'S6'!D25</f>
        <v>4.5</v>
      </c>
      <c r="V17" s="284"/>
      <c r="W17" s="283"/>
      <c r="X17" s="63">
        <f>'S6'!E25</f>
        <v>5.6879999999999429</v>
      </c>
      <c r="Y17" s="284"/>
      <c r="Z17" s="283"/>
    </row>
    <row r="18" spans="1:26">
      <c r="A18" s="285" t="s">
        <v>10</v>
      </c>
      <c r="B18" s="63" t="s">
        <v>153</v>
      </c>
      <c r="C18" s="63">
        <f>'S7'!B9</f>
        <v>2.8150000000000048</v>
      </c>
      <c r="D18" s="284">
        <f>'S7'!B10-'S7'!B9</f>
        <v>2.2969999999999953</v>
      </c>
      <c r="E18" s="283">
        <f>D18/C19</f>
        <v>0.44933489827855932</v>
      </c>
      <c r="F18" s="63">
        <f>'S7'!C9</f>
        <v>5.5600000000000129</v>
      </c>
      <c r="G18" s="284">
        <f>'S7'!C10-'S7'!C9</f>
        <v>4.3039999999999878</v>
      </c>
      <c r="H18" s="283">
        <f>G18/F19</f>
        <v>0.43633414436334017</v>
      </c>
      <c r="I18" s="63">
        <f>'S7'!D9</f>
        <v>4.0819999999999936</v>
      </c>
      <c r="J18" s="284">
        <f>'S7'!D10-'S7'!D9</f>
        <v>3.0460000000000065</v>
      </c>
      <c r="K18" s="283">
        <f>J18/I19</f>
        <v>0.42732884399551158</v>
      </c>
      <c r="L18" s="63">
        <f>'S7'!E9</f>
        <v>3.1880000000000095</v>
      </c>
      <c r="M18" s="284">
        <f>'S7'!E10-'S7'!E9</f>
        <v>3.3639999999999901</v>
      </c>
      <c r="N18" s="283">
        <f>M18/L19</f>
        <v>0.51343101343101194</v>
      </c>
      <c r="O18" s="63">
        <f>'S7'!B24</f>
        <v>3.1340000000000146</v>
      </c>
      <c r="P18" s="284">
        <f>'S7'!B25-'S7'!B24</f>
        <v>1.7980000000000018</v>
      </c>
      <c r="Q18" s="283">
        <f>P18/O19</f>
        <v>0.36455798864557903</v>
      </c>
      <c r="R18" s="63">
        <f>'S7'!C24</f>
        <v>3.4660000000000082</v>
      </c>
      <c r="S18" s="284">
        <f>'S7'!C25-'S7'!C24</f>
        <v>1.3580000000000041</v>
      </c>
      <c r="T18" s="283">
        <f>S18/R19</f>
        <v>0.28150912106136</v>
      </c>
      <c r="U18" s="63">
        <f>'S7'!D24</f>
        <v>3.1450000000000102</v>
      </c>
      <c r="V18" s="284">
        <f>'S7'!D25-'S7'!D24</f>
        <v>1.2830000000000554</v>
      </c>
      <c r="W18" s="283">
        <f>V18/U19</f>
        <v>0.28974706413731627</v>
      </c>
      <c r="X18" s="63">
        <f>'S7'!E24</f>
        <v>2.8109999999999928</v>
      </c>
      <c r="Y18" s="284">
        <f>'S7'!E25-'S7'!E24</f>
        <v>3.2730000000001018</v>
      </c>
      <c r="Z18" s="283">
        <f>Y18/X19</f>
        <v>0.53796844181460401</v>
      </c>
    </row>
    <row r="19" spans="1:26">
      <c r="A19" s="285"/>
      <c r="B19" s="63" t="s">
        <v>154</v>
      </c>
      <c r="C19" s="63">
        <f>'S7'!B10</f>
        <v>5.1120000000000001</v>
      </c>
      <c r="D19" s="284"/>
      <c r="E19" s="283"/>
      <c r="F19" s="64">
        <f>'S7'!C10</f>
        <v>9.8640000000000008</v>
      </c>
      <c r="G19" s="284"/>
      <c r="H19" s="283"/>
      <c r="I19" s="63">
        <f>'S7'!D10</f>
        <v>7.1280000000000001</v>
      </c>
      <c r="J19" s="284"/>
      <c r="K19" s="283"/>
      <c r="L19" s="63">
        <f>'S7'!E10</f>
        <v>6.5519999999999996</v>
      </c>
      <c r="M19" s="284"/>
      <c r="N19" s="283"/>
      <c r="O19" s="63">
        <f>'S7'!B25</f>
        <v>4.9320000000000164</v>
      </c>
      <c r="P19" s="284"/>
      <c r="Q19" s="283"/>
      <c r="R19" s="63">
        <f>'S7'!C25</f>
        <v>4.8240000000000123</v>
      </c>
      <c r="S19" s="284"/>
      <c r="T19" s="283"/>
      <c r="U19" s="63">
        <f>'S7'!D25</f>
        <v>4.4280000000000657</v>
      </c>
      <c r="V19" s="284"/>
      <c r="W19" s="283"/>
      <c r="X19" s="63">
        <f>'S7'!E25</f>
        <v>6.0840000000000947</v>
      </c>
      <c r="Y19" s="284"/>
      <c r="Z19" s="283"/>
    </row>
    <row r="20" spans="1:26">
      <c r="A20" s="285" t="s">
        <v>11</v>
      </c>
      <c r="B20" s="63" t="s">
        <v>153</v>
      </c>
      <c r="C20" s="63">
        <f>'S8'!B9</f>
        <v>2.5519999999999996</v>
      </c>
      <c r="D20" s="284">
        <f>'S8'!B10-'S8'!B9</f>
        <v>2.4160000000000013</v>
      </c>
      <c r="E20" s="283">
        <f>D20/C21</f>
        <v>0.48631239935587778</v>
      </c>
      <c r="F20" s="63">
        <f>'S8'!C9</f>
        <v>5.8409999999999975</v>
      </c>
      <c r="G20" s="284">
        <f>'S8'!C10-'S8'!C9</f>
        <v>4.2390000000000025</v>
      </c>
      <c r="H20" s="283">
        <f>G20/F21</f>
        <v>0.42053571428571451</v>
      </c>
      <c r="I20" s="63">
        <f>'S8'!D9</f>
        <v>4.0389999999999944</v>
      </c>
      <c r="J20" s="284">
        <f>'S8'!D10-'S8'!D9</f>
        <v>3.1970000000000063</v>
      </c>
      <c r="K20" s="283">
        <f>J20/I21</f>
        <v>0.44181868435599864</v>
      </c>
      <c r="L20" s="63">
        <f>'S8'!E9</f>
        <v>3.1879999999999882</v>
      </c>
      <c r="M20" s="284">
        <f>'S8'!E10-'S8'!E9</f>
        <v>3.6160000000000121</v>
      </c>
      <c r="N20" s="283">
        <f>M20/L21</f>
        <v>0.53145208700764435</v>
      </c>
      <c r="O20" s="63">
        <f>'S8'!B24</f>
        <v>3.1889999999999974</v>
      </c>
      <c r="P20" s="286">
        <f>'S8'!B25-'S8'!B24</f>
        <v>1.8869999999999907</v>
      </c>
      <c r="Q20" s="283">
        <f>P20/O21</f>
        <v>0.3717494089834506</v>
      </c>
      <c r="R20" s="63">
        <f>'S8'!C24</f>
        <v>4.0710000000000122</v>
      </c>
      <c r="S20" s="286">
        <f>'S8'!C25-'S8'!C24</f>
        <v>1.4010000000000247</v>
      </c>
      <c r="T20" s="283">
        <f>S20/R21</f>
        <v>0.25603070175438875</v>
      </c>
      <c r="U20" s="63">
        <f>'S8'!D24</f>
        <v>3.3349999999999866</v>
      </c>
      <c r="V20" s="286">
        <f>'S8'!D25-'S8'!D24</f>
        <v>1.200999999999981</v>
      </c>
      <c r="W20" s="283">
        <f>V20/U21</f>
        <v>0.26477072310405414</v>
      </c>
      <c r="X20" s="63">
        <f>'S8'!E24</f>
        <v>3.1459999999999937</v>
      </c>
      <c r="Y20" s="286">
        <f>'S8'!E25-'S8'!E24</f>
        <v>3.046000000000002</v>
      </c>
      <c r="Z20" s="283">
        <f>Y20/X21</f>
        <v>0.49192506459948387</v>
      </c>
    </row>
    <row r="21" spans="1:26">
      <c r="A21" s="285"/>
      <c r="B21" s="63" t="s">
        <v>154</v>
      </c>
      <c r="C21" s="63">
        <f>'S8'!B10</f>
        <v>4.9680000000000009</v>
      </c>
      <c r="D21" s="284"/>
      <c r="E21" s="283"/>
      <c r="F21" s="63">
        <f>'S8'!C10</f>
        <v>10.08</v>
      </c>
      <c r="G21" s="284"/>
      <c r="H21" s="283"/>
      <c r="I21" s="63">
        <f>'S8'!D10</f>
        <v>7.2360000000000007</v>
      </c>
      <c r="J21" s="284"/>
      <c r="K21" s="283"/>
      <c r="L21" s="63">
        <f>'S8'!E10</f>
        <v>6.8040000000000003</v>
      </c>
      <c r="M21" s="284"/>
      <c r="N21" s="283"/>
      <c r="O21" s="63">
        <f>'S8'!B25</f>
        <v>5.0759999999999881</v>
      </c>
      <c r="P21" s="286"/>
      <c r="Q21" s="283"/>
      <c r="R21" s="63">
        <f>'S8'!C25</f>
        <v>5.4720000000000368</v>
      </c>
      <c r="S21" s="286"/>
      <c r="T21" s="283"/>
      <c r="U21" s="63">
        <f>'S8'!D25</f>
        <v>4.5359999999999676</v>
      </c>
      <c r="V21" s="286"/>
      <c r="W21" s="283"/>
      <c r="X21" s="63">
        <f>'S8'!E25</f>
        <v>6.1919999999999957</v>
      </c>
      <c r="Y21" s="286"/>
      <c r="Z21" s="283"/>
    </row>
    <row r="22" spans="1:26" ht="15" customHeight="1">
      <c r="A22" s="289" t="s">
        <v>12</v>
      </c>
      <c r="B22" s="63" t="s">
        <v>153</v>
      </c>
      <c r="C22" s="63">
        <f>'S9'!B9</f>
        <v>3.1210000000000022</v>
      </c>
      <c r="D22" s="284">
        <f>'S9'!B10-'S9'!B9</f>
        <v>2.3149999999999968</v>
      </c>
      <c r="E22" s="287">
        <f>D22/C23</f>
        <v>0.42586460632818196</v>
      </c>
      <c r="F22" s="63">
        <f>'S9'!C9</f>
        <v>-28.349000000000014</v>
      </c>
      <c r="G22" s="284">
        <f>'S9'!C10-'S9'!C9</f>
        <v>40.337000000000018</v>
      </c>
      <c r="H22" s="287">
        <f>G22/F23</f>
        <v>3.3647814481147824</v>
      </c>
      <c r="I22" s="63">
        <f>'S9'!D9</f>
        <v>6.8890000000000065</v>
      </c>
      <c r="J22" s="284">
        <f>'S9'!D10-'S9'!D9</f>
        <v>3.0469999999999935</v>
      </c>
      <c r="K22" s="287">
        <f>J22/I23</f>
        <v>0.3066626409017707</v>
      </c>
      <c r="L22" s="63">
        <f>'S9'!E9</f>
        <v>3.5989999999999966</v>
      </c>
      <c r="M22" s="284">
        <f>'S9'!E10-'S9'!E9</f>
        <v>3.4210000000000038</v>
      </c>
      <c r="N22" s="287">
        <f>M22/L23</f>
        <v>0.48732193732193785</v>
      </c>
      <c r="O22" s="170">
        <f>'S9'!B24</f>
        <v>4.6960000000000015</v>
      </c>
      <c r="P22" s="286">
        <f>'S9'!B25-'S9'!B24</f>
        <v>1.6399999999999659</v>
      </c>
      <c r="Q22" s="287">
        <f>P22/O23</f>
        <v>0.25883838383837982</v>
      </c>
      <c r="R22" s="63">
        <f>'S9'!C24</f>
        <v>6.9339999999999833</v>
      </c>
      <c r="S22" s="286">
        <f>'S9'!C25-'S9'!C24</f>
        <v>2.2820000000000249</v>
      </c>
      <c r="T22" s="287">
        <f>S22/R23</f>
        <v>0.24761284722222471</v>
      </c>
      <c r="U22" s="63">
        <f>'S9'!D24</f>
        <v>4.0839999999999961</v>
      </c>
      <c r="V22" s="286">
        <f>'S9'!D25-'S9'!D24</f>
        <v>1.3160000000000043</v>
      </c>
      <c r="W22" s="287">
        <f>V22/U23</f>
        <v>0.24370370370370448</v>
      </c>
      <c r="X22" s="63">
        <f>'S9'!E24</f>
        <v>4.4780000000000015</v>
      </c>
      <c r="Y22" s="286">
        <f>'S9'!E25-'S9'!E24</f>
        <v>2.8300000000000027</v>
      </c>
      <c r="Z22" s="287">
        <f>Y22/X23</f>
        <v>0.38724685276409432</v>
      </c>
    </row>
    <row r="23" spans="1:26" ht="15" customHeight="1">
      <c r="A23" s="290"/>
      <c r="B23" s="63" t="s">
        <v>154</v>
      </c>
      <c r="C23" s="65">
        <f>'S9'!B10</f>
        <v>5.4359999999999991</v>
      </c>
      <c r="D23" s="284"/>
      <c r="E23" s="288"/>
      <c r="F23" s="65">
        <f>'S9'!C10</f>
        <v>11.988000000000001</v>
      </c>
      <c r="G23" s="284"/>
      <c r="H23" s="288"/>
      <c r="I23" s="65">
        <f>'S9'!D10</f>
        <v>9.9359999999999999</v>
      </c>
      <c r="J23" s="284"/>
      <c r="K23" s="288"/>
      <c r="L23" s="65">
        <f>'S9'!E10</f>
        <v>7.0200000000000005</v>
      </c>
      <c r="M23" s="284"/>
      <c r="N23" s="288"/>
      <c r="O23" s="171">
        <f>'S9'!B25</f>
        <v>6.3359999999999674</v>
      </c>
      <c r="P23" s="286"/>
      <c r="Q23" s="288"/>
      <c r="R23" s="63">
        <f>'S9'!C25</f>
        <v>9.2160000000000082</v>
      </c>
      <c r="S23" s="286"/>
      <c r="T23" s="288"/>
      <c r="U23" s="65">
        <f>'S9'!D25</f>
        <v>5.4</v>
      </c>
      <c r="V23" s="286"/>
      <c r="W23" s="288"/>
      <c r="X23" s="63">
        <f>'S9'!E25</f>
        <v>7.3080000000000043</v>
      </c>
      <c r="Y23" s="286"/>
      <c r="Z23" s="288"/>
    </row>
    <row r="24" spans="1:26">
      <c r="A24" s="285" t="s">
        <v>13</v>
      </c>
      <c r="B24" s="63" t="s">
        <v>153</v>
      </c>
      <c r="C24" s="63">
        <f>'S10'!B9</f>
        <v>6.5629999999999953</v>
      </c>
      <c r="D24" s="284">
        <f>'S10'!B10-'S10'!B9</f>
        <v>2.9770000000000056</v>
      </c>
      <c r="E24" s="283">
        <f>D24/C25</f>
        <v>0.31205450733752677</v>
      </c>
      <c r="F24" s="63">
        <f>'S10'!C9</f>
        <v>50.31900000000001</v>
      </c>
      <c r="G24" s="284">
        <f>'S10'!C10-'S10'!C9</f>
        <v>-31.239000000000008</v>
      </c>
      <c r="H24" s="283">
        <f>G24/F25</f>
        <v>-1.6372641509433965</v>
      </c>
      <c r="I24" s="63">
        <f>'S10'!D9</f>
        <v>12.545999999999999</v>
      </c>
      <c r="J24" s="284">
        <f>'S10'!D10-'S10'!D9</f>
        <v>2.5379999999999985</v>
      </c>
      <c r="K24" s="283">
        <f>J24/I25</f>
        <v>0.16825775656324574</v>
      </c>
      <c r="L24" s="63">
        <f>'S10'!E9</f>
        <v>8.7449999999999974</v>
      </c>
      <c r="M24" s="284">
        <f>'S10'!E10-'S10'!E9</f>
        <v>4.2150000000000052</v>
      </c>
      <c r="N24" s="283">
        <f>M24/L25</f>
        <v>0.32523148148148184</v>
      </c>
      <c r="O24" s="63">
        <f>'S10'!B24</f>
        <v>10.715000000000005</v>
      </c>
      <c r="P24" s="284">
        <f>'S10'!B25-'S10'!B24</f>
        <v>2.1730000000000409</v>
      </c>
      <c r="Q24" s="283">
        <f>P24/O25</f>
        <v>0.16860645561763138</v>
      </c>
      <c r="R24" s="63">
        <f>'S10'!C24</f>
        <v>19.884000000000007</v>
      </c>
      <c r="S24" s="284">
        <f>'S10'!C25-'S10'!C24</f>
        <v>5.135999999999953</v>
      </c>
      <c r="T24" s="283">
        <f>S24/R25</f>
        <v>0.20527577937649724</v>
      </c>
      <c r="U24" s="63">
        <f>'S10'!D24</f>
        <v>11.885000000000012</v>
      </c>
      <c r="V24" s="284">
        <f>'S10'!D25-'S10'!D24</f>
        <v>1.9390000000000001</v>
      </c>
      <c r="W24" s="283">
        <f>V24/U25</f>
        <v>0.14026331018518506</v>
      </c>
      <c r="X24" s="63">
        <f>'S10'!E24</f>
        <v>12.445000000000014</v>
      </c>
      <c r="Y24" s="284">
        <f>'S10'!E25-'S10'!E24</f>
        <v>2.6749999999999456</v>
      </c>
      <c r="Z24" s="283">
        <f>Y24/X25</f>
        <v>0.17691798941798628</v>
      </c>
    </row>
    <row r="25" spans="1:26">
      <c r="A25" s="285"/>
      <c r="B25" s="63" t="s">
        <v>154</v>
      </c>
      <c r="C25" s="65">
        <f>'S10'!B10</f>
        <v>9.5400000000000009</v>
      </c>
      <c r="D25" s="284"/>
      <c r="E25" s="283"/>
      <c r="F25" s="65">
        <f>'S10'!C10</f>
        <v>19.080000000000002</v>
      </c>
      <c r="G25" s="284"/>
      <c r="H25" s="283"/>
      <c r="I25" s="65">
        <f>'S10'!D10</f>
        <v>15.083999999999998</v>
      </c>
      <c r="J25" s="284"/>
      <c r="K25" s="283"/>
      <c r="L25" s="65">
        <f>'S10'!E10</f>
        <v>12.960000000000003</v>
      </c>
      <c r="M25" s="284"/>
      <c r="N25" s="283"/>
      <c r="O25" s="65">
        <f>'S10'!B25</f>
        <v>12.888000000000046</v>
      </c>
      <c r="P25" s="284"/>
      <c r="Q25" s="283"/>
      <c r="R25" s="65">
        <f>'S10'!C25</f>
        <v>25.01999999999996</v>
      </c>
      <c r="S25" s="284"/>
      <c r="T25" s="283"/>
      <c r="U25" s="65">
        <f>'S10'!D25</f>
        <v>13.824000000000012</v>
      </c>
      <c r="V25" s="284"/>
      <c r="W25" s="283"/>
      <c r="X25" s="65">
        <f>'S10'!E25</f>
        <v>15.11999999999996</v>
      </c>
      <c r="Y25" s="284"/>
      <c r="Z25" s="283"/>
    </row>
    <row r="26" spans="1:26">
      <c r="A26" s="285" t="s">
        <v>14</v>
      </c>
      <c r="B26" s="63" t="s">
        <v>153</v>
      </c>
      <c r="C26" s="63">
        <f>'S11'!B9</f>
        <v>17.150000000000006</v>
      </c>
      <c r="D26" s="284">
        <f>'S11'!B10-'S11'!B9</f>
        <v>4.7739999999999903</v>
      </c>
      <c r="E26" s="283">
        <f>D26/C27</f>
        <v>0.2177522349936139</v>
      </c>
      <c r="F26" s="63">
        <f>'S11'!C9</f>
        <v>25.954000000000015</v>
      </c>
      <c r="G26" s="284">
        <f>'S11'!C10-'S11'!C9</f>
        <v>4.3939999999999841</v>
      </c>
      <c r="H26" s="283">
        <f>G26/F27</f>
        <v>0.14478713589033823</v>
      </c>
      <c r="I26" s="63">
        <f>'S11'!D9</f>
        <v>26.516000000000016</v>
      </c>
      <c r="J26" s="284">
        <f>'S11'!D10-'S11'!D9</f>
        <v>1.2399999999999807</v>
      </c>
      <c r="K26" s="283">
        <f>J26/I27</f>
        <v>4.4675025219771611E-2</v>
      </c>
      <c r="L26" s="63">
        <f>'S11'!E9</f>
        <v>20.06600000000001</v>
      </c>
      <c r="M26" s="284">
        <f>'S11'!E10-'S11'!E9</f>
        <v>4.4859999999999864</v>
      </c>
      <c r="N26" s="283">
        <f>M26/L27</f>
        <v>0.18271423916585156</v>
      </c>
      <c r="O26" s="63">
        <f>'S11'!B24</f>
        <v>22.29699999999999</v>
      </c>
      <c r="P26" s="284">
        <f>'S11'!B25-'S11'!B24</f>
        <v>2.3989999999999583</v>
      </c>
      <c r="Q26" s="283">
        <f>P26/O27</f>
        <v>9.7141237447358406E-2</v>
      </c>
      <c r="R26" s="63">
        <f>'S11'!C24</f>
        <v>29.012000000000029</v>
      </c>
      <c r="S26" s="284">
        <f>'S11'!C25-'S11'!C24</f>
        <v>7.1680000000000135</v>
      </c>
      <c r="T26" s="283">
        <f>S26/R27</f>
        <v>0.1981205085682699</v>
      </c>
      <c r="U26" s="63">
        <f>'S11'!D24</f>
        <v>23.835000000000022</v>
      </c>
      <c r="V26" s="284">
        <f>'S11'!D25-'S11'!D24</f>
        <v>2.5889999999999915</v>
      </c>
      <c r="W26" s="283">
        <f>V26/U27</f>
        <v>9.7979109900090455E-2</v>
      </c>
      <c r="X26" s="63">
        <f>'S11'!E24</f>
        <v>25.088999999999992</v>
      </c>
      <c r="Y26" s="284">
        <f>'S11'!E25-'S11'!E24</f>
        <v>1.5510000000000304</v>
      </c>
      <c r="Z26" s="283">
        <f>Y26/X27</f>
        <v>5.8220720720721812E-2</v>
      </c>
    </row>
    <row r="27" spans="1:26">
      <c r="A27" s="285"/>
      <c r="B27" s="63" t="s">
        <v>154</v>
      </c>
      <c r="C27" s="63">
        <f>'S11'!B10</f>
        <v>21.923999999999996</v>
      </c>
      <c r="D27" s="284"/>
      <c r="E27" s="283"/>
      <c r="F27" s="63">
        <f>'S11'!C10</f>
        <v>30.347999999999999</v>
      </c>
      <c r="G27" s="284"/>
      <c r="H27" s="283"/>
      <c r="I27" s="63">
        <f>'S11'!D10</f>
        <v>27.755999999999997</v>
      </c>
      <c r="J27" s="284"/>
      <c r="K27" s="283"/>
      <c r="L27" s="63">
        <f>'S11'!E10</f>
        <v>24.551999999999996</v>
      </c>
      <c r="M27" s="284"/>
      <c r="N27" s="283"/>
      <c r="O27" s="63">
        <f>'S11'!B25</f>
        <v>24.695999999999948</v>
      </c>
      <c r="P27" s="284"/>
      <c r="Q27" s="283"/>
      <c r="R27" s="63">
        <f>'S11'!C25</f>
        <v>36.180000000000042</v>
      </c>
      <c r="S27" s="284"/>
      <c r="T27" s="283"/>
      <c r="U27" s="63">
        <f>'S11'!D25</f>
        <v>26.424000000000014</v>
      </c>
      <c r="V27" s="284"/>
      <c r="W27" s="283"/>
      <c r="X27" s="63">
        <f>'S11'!E25</f>
        <v>26.640000000000022</v>
      </c>
      <c r="Y27" s="284"/>
      <c r="Z27" s="283"/>
    </row>
    <row r="28" spans="1:26">
      <c r="A28" s="285" t="s">
        <v>3</v>
      </c>
      <c r="B28" s="63" t="s">
        <v>153</v>
      </c>
      <c r="C28" s="63">
        <f>'S12'!B9</f>
        <v>26.514999999999993</v>
      </c>
      <c r="D28" s="284">
        <f>'S12'!B10-'S12'!B9</f>
        <v>4.9130000000000074</v>
      </c>
      <c r="E28" s="283">
        <f>D28/C29</f>
        <v>0.15632556955581034</v>
      </c>
      <c r="F28" s="63">
        <f>'S12'!C9</f>
        <v>39.977000000000039</v>
      </c>
      <c r="G28" s="284">
        <f>'S12'!C10-'S12'!C9</f>
        <v>5.4549999999999557</v>
      </c>
      <c r="H28" s="283">
        <f>G28/F29</f>
        <v>0.12006955449903056</v>
      </c>
      <c r="I28" s="63">
        <f>'S12'!D9</f>
        <v>38.516999999999996</v>
      </c>
      <c r="J28" s="284">
        <f>'S12'!D10-'S12'!D9</f>
        <v>2.0910000000000082</v>
      </c>
      <c r="K28" s="283">
        <f>J28/I29</f>
        <v>5.1492316784870172E-2</v>
      </c>
      <c r="L28" s="63">
        <f>'S12'!E9</f>
        <v>30.349000000000004</v>
      </c>
      <c r="M28" s="284">
        <f>'S12'!E10-'S12'!E9</f>
        <v>5.722999999999999</v>
      </c>
      <c r="N28" s="283">
        <f>M28/L29</f>
        <v>0.15865491239742732</v>
      </c>
      <c r="O28" s="63">
        <f>'S12'!B24</f>
        <v>32.397000000000034</v>
      </c>
      <c r="P28" s="284">
        <f>'S12'!B25-'S12'!B24</f>
        <v>3.2070000000000221</v>
      </c>
      <c r="Q28" s="283">
        <f>P28/O29</f>
        <v>9.0074148972026091E-2</v>
      </c>
      <c r="R28" s="63">
        <f>'S12'!C24</f>
        <v>39.461999999999982</v>
      </c>
      <c r="S28" s="284">
        <f>'S12'!C25-'S12'!C24</f>
        <v>9.7499999999999716</v>
      </c>
      <c r="T28" s="283">
        <f>S28/R29</f>
        <v>0.19812240916849511</v>
      </c>
      <c r="U28" s="66">
        <f>'S12'!D24</f>
        <v>34.052000000000007</v>
      </c>
      <c r="V28" s="284">
        <f>'S12'!D25-'S12'!D24</f>
        <v>3.8919999999999675</v>
      </c>
      <c r="W28" s="283">
        <f>V28/U29</f>
        <v>0.10257221168037028</v>
      </c>
      <c r="X28" s="66">
        <f>'S12'!E24</f>
        <v>34.47799999999998</v>
      </c>
      <c r="Y28" s="284">
        <f>'S12'!E25-'S12'!E24</f>
        <v>3.2859999999999516</v>
      </c>
      <c r="Z28" s="283">
        <f>Y28/X29</f>
        <v>8.7014087490730793E-2</v>
      </c>
    </row>
    <row r="29" spans="1:26">
      <c r="A29" s="285"/>
      <c r="B29" s="63" t="s">
        <v>154</v>
      </c>
      <c r="C29" s="65">
        <f>'S12'!B10</f>
        <v>31.428000000000001</v>
      </c>
      <c r="D29" s="284"/>
      <c r="E29" s="283"/>
      <c r="F29" s="65">
        <f>'S12'!C10</f>
        <v>45.431999999999995</v>
      </c>
      <c r="G29" s="284"/>
      <c r="H29" s="283"/>
      <c r="I29" s="65">
        <f>'S12'!D10</f>
        <v>40.608000000000004</v>
      </c>
      <c r="J29" s="284"/>
      <c r="K29" s="283"/>
      <c r="L29" s="65">
        <f>'S12'!E10</f>
        <v>36.072000000000003</v>
      </c>
      <c r="M29" s="284"/>
      <c r="N29" s="283"/>
      <c r="O29" s="65">
        <f>'S12'!B25</f>
        <v>35.604000000000056</v>
      </c>
      <c r="P29" s="284"/>
      <c r="Q29" s="283"/>
      <c r="R29" s="65">
        <f>'S12'!C25</f>
        <v>49.211999999999954</v>
      </c>
      <c r="S29" s="284"/>
      <c r="T29" s="283"/>
      <c r="U29" s="65">
        <f>'S12'!D25</f>
        <v>37.943999999999974</v>
      </c>
      <c r="V29" s="284"/>
      <c r="W29" s="283"/>
      <c r="X29" s="65">
        <f>'S12'!E25</f>
        <v>37.763999999999932</v>
      </c>
      <c r="Y29" s="284"/>
      <c r="Z29" s="283"/>
    </row>
    <row r="30" spans="1:26" ht="15.75">
      <c r="A30" s="67"/>
      <c r="B30" s="68"/>
      <c r="C30" s="69"/>
      <c r="D30" s="70"/>
      <c r="E30" s="70"/>
      <c r="F30" s="69"/>
      <c r="G30" s="70"/>
      <c r="H30" s="70"/>
      <c r="I30" s="69"/>
      <c r="J30" s="70"/>
      <c r="K30" s="70"/>
      <c r="L30" s="69"/>
      <c r="M30" s="70"/>
      <c r="N30" s="70"/>
      <c r="O30" s="69"/>
      <c r="P30" s="70"/>
      <c r="Q30" s="70"/>
      <c r="R30" s="69"/>
      <c r="S30" s="70"/>
      <c r="T30" s="70"/>
      <c r="U30" s="69"/>
      <c r="V30" s="70"/>
      <c r="W30" s="70"/>
      <c r="X30" s="69"/>
      <c r="Y30" s="70"/>
      <c r="Z30" s="70"/>
    </row>
    <row r="31" spans="1:26" s="71" customFormat="1" ht="15.75">
      <c r="A31" s="71" t="s">
        <v>155</v>
      </c>
      <c r="D31" s="71">
        <f>SUM(D6:D29)</f>
        <v>41.563000000000073</v>
      </c>
      <c r="G31" s="71">
        <f>SUM(G6:G29)</f>
        <v>52.998000000000069</v>
      </c>
      <c r="J31" s="71">
        <f>SUM(J6:J29)</f>
        <v>31.465000000000018</v>
      </c>
      <c r="M31" s="71">
        <f>SUM(M6:M29)</f>
        <v>51.605000000000075</v>
      </c>
      <c r="P31" s="71">
        <f>SUM(P6:P29)</f>
        <v>28.99199999999999</v>
      </c>
      <c r="S31" s="71">
        <f>SUM(S6:S29)</f>
        <v>45.197000000000017</v>
      </c>
      <c r="V31" s="71">
        <f>SUM(V6:V29)</f>
        <v>27.693999999999953</v>
      </c>
      <c r="Y31" s="71">
        <f>SUM(Y6:Y29)</f>
        <v>37.941999999999965</v>
      </c>
    </row>
    <row r="32" spans="1:26" ht="6.75" customHeight="1"/>
    <row r="33" spans="1:25" s="72" customFormat="1" ht="15.75">
      <c r="A33" s="71" t="s">
        <v>156</v>
      </c>
      <c r="D33" s="73">
        <f>(D6+D8+D10+D12+D14+D16+D18+D20+D22+D24+D26+D28)/(C7+C9+C11+C13+C15+C17+C19+C21+C23+C25+C27+C29)</f>
        <v>0.21730242382416323</v>
      </c>
      <c r="G33" s="73">
        <f>(G6+G8+G10+G12+G14+G16+G18+G20+G22+G24+G26+G28)/(F7+F9+F11+F13+F15+F17+F19+F21+F23+F25+F27+F29)</f>
        <v>0.18036837376460033</v>
      </c>
      <c r="J33" s="73">
        <f>(J6+J8+J10+J12+J14+J16+J18+J20+J22+J24+J26+J28)/(I7+I9+I11+I13+I15+I17+I19+I21+I23+I25+I27+I29)</f>
        <v>0.1284013189037429</v>
      </c>
      <c r="M33" s="73">
        <f>(M6+M8+M10+M12+M14+M16+M18+M20+M22+M24+M26+M28)/(L7+L9+L11+L13+L15+L17+L19+L21+L23+L25+L27+L29)</f>
        <v>0.22793325206268467</v>
      </c>
      <c r="P33" s="73">
        <f>(P6+P8+P10+P12+P14+P16+P18+P20+P22+P24+P26+P28)/(O7+O9+O11+O13+O15+O17+O19+O21+O23+O25+O27+O29)</f>
        <v>0.12628717787883531</v>
      </c>
      <c r="S33" s="73">
        <f>(S6+S8+S10+S12+S14+S16+S18+S20+S22+S24+S26+S28)/(R7+R9+R11+R13+R15+R17+R19+R21+R23+R25+R27+R29)</f>
        <v>0.15762363116412087</v>
      </c>
      <c r="V33" s="73">
        <f>(V6+V8+V10+V12+V14+V16+V18+V20+V22+V24+V26+V28)/(U7+U9+U11+U13+U15+U17+U19+U21+U23+U25+U27+U29)</f>
        <v>0.12787197104018894</v>
      </c>
      <c r="Y33" s="73">
        <f>(Y6+Y8+Y10+Y12+Y14+Y16+Y18+Y20+Y22+Y24+Y26+Y28)/(X7+X9+X11+X13+X15+X17+X19+X21+X23+X25+X27+X29)</f>
        <v>0.16117822976669885</v>
      </c>
    </row>
    <row r="34" spans="1:25" s="74" customFormat="1">
      <c r="D34" s="74">
        <v>1850</v>
      </c>
      <c r="G34" s="74">
        <v>1851</v>
      </c>
      <c r="J34" s="74">
        <v>1852</v>
      </c>
      <c r="M34" s="74">
        <v>1853</v>
      </c>
      <c r="P34" s="74">
        <v>1854</v>
      </c>
      <c r="S34" s="74">
        <v>1855</v>
      </c>
      <c r="V34" s="74">
        <v>1856</v>
      </c>
      <c r="Y34" s="74">
        <v>1857</v>
      </c>
    </row>
    <row r="38" spans="1:25">
      <c r="A38" s="75"/>
    </row>
    <row r="39" spans="1:25">
      <c r="A39" s="76"/>
    </row>
    <row r="40" spans="1:25">
      <c r="A40" s="75"/>
    </row>
  </sheetData>
  <sheetProtection selectLockedCells="1" selectUnlockedCells="1"/>
  <mergeCells count="213">
    <mergeCell ref="R4:T4"/>
    <mergeCell ref="U4:W4"/>
    <mergeCell ref="X4:Z4"/>
    <mergeCell ref="A6:A7"/>
    <mergeCell ref="D6:D7"/>
    <mergeCell ref="E6:E7"/>
    <mergeCell ref="G6:G7"/>
    <mergeCell ref="H6:H7"/>
    <mergeCell ref="J6:J7"/>
    <mergeCell ref="K6:K7"/>
    <mergeCell ref="A4:B5"/>
    <mergeCell ref="C4:E4"/>
    <mergeCell ref="F4:H4"/>
    <mergeCell ref="I4:K4"/>
    <mergeCell ref="L4:N4"/>
    <mergeCell ref="O4:Q4"/>
    <mergeCell ref="V6:V7"/>
    <mergeCell ref="W6:W7"/>
    <mergeCell ref="Y6:Y7"/>
    <mergeCell ref="Z6:Z7"/>
    <mergeCell ref="Q6:Q7"/>
    <mergeCell ref="S6:S7"/>
    <mergeCell ref="T6:T7"/>
    <mergeCell ref="A8:A9"/>
    <mergeCell ref="D8:D9"/>
    <mergeCell ref="E8:E9"/>
    <mergeCell ref="G8:G9"/>
    <mergeCell ref="H8:H9"/>
    <mergeCell ref="J8:J9"/>
    <mergeCell ref="M6:M7"/>
    <mergeCell ref="N6:N7"/>
    <mergeCell ref="P6:P7"/>
    <mergeCell ref="T8:T9"/>
    <mergeCell ref="V8:V9"/>
    <mergeCell ref="W8:W9"/>
    <mergeCell ref="Y8:Y9"/>
    <mergeCell ref="Z8:Z9"/>
    <mergeCell ref="A10:A11"/>
    <mergeCell ref="D10:D11"/>
    <mergeCell ref="E10:E11"/>
    <mergeCell ref="G10:G11"/>
    <mergeCell ref="H10:H11"/>
    <mergeCell ref="K8:K9"/>
    <mergeCell ref="M8:M9"/>
    <mergeCell ref="N8:N9"/>
    <mergeCell ref="P8:P9"/>
    <mergeCell ref="Q8:Q9"/>
    <mergeCell ref="S8:S9"/>
    <mergeCell ref="S10:S11"/>
    <mergeCell ref="T10:T11"/>
    <mergeCell ref="V10:V11"/>
    <mergeCell ref="W10:W11"/>
    <mergeCell ref="Y10:Y11"/>
    <mergeCell ref="Z10:Z11"/>
    <mergeCell ref="J10:J11"/>
    <mergeCell ref="K10:K11"/>
    <mergeCell ref="M10:M11"/>
    <mergeCell ref="N10:N11"/>
    <mergeCell ref="P10:P11"/>
    <mergeCell ref="Q10:Q11"/>
    <mergeCell ref="T12:T13"/>
    <mergeCell ref="V12:V13"/>
    <mergeCell ref="W12:W13"/>
    <mergeCell ref="Y12:Y13"/>
    <mergeCell ref="Z12:Z13"/>
    <mergeCell ref="Q12:Q13"/>
    <mergeCell ref="S12:S13"/>
    <mergeCell ref="A14:A15"/>
    <mergeCell ref="D14:D15"/>
    <mergeCell ref="E14:E15"/>
    <mergeCell ref="G14:G15"/>
    <mergeCell ref="H14:H15"/>
    <mergeCell ref="K12:K13"/>
    <mergeCell ref="M12:M13"/>
    <mergeCell ref="N12:N13"/>
    <mergeCell ref="P12:P13"/>
    <mergeCell ref="A12:A13"/>
    <mergeCell ref="D12:D13"/>
    <mergeCell ref="E12:E13"/>
    <mergeCell ref="G12:G13"/>
    <mergeCell ref="H12:H13"/>
    <mergeCell ref="J12:J13"/>
    <mergeCell ref="S14:S15"/>
    <mergeCell ref="T14:T15"/>
    <mergeCell ref="V14:V15"/>
    <mergeCell ref="W14:W15"/>
    <mergeCell ref="Y14:Y15"/>
    <mergeCell ref="Z14:Z15"/>
    <mergeCell ref="J14:J15"/>
    <mergeCell ref="K14:K15"/>
    <mergeCell ref="M14:M15"/>
    <mergeCell ref="N14:N15"/>
    <mergeCell ref="P14:P15"/>
    <mergeCell ref="Q14:Q15"/>
    <mergeCell ref="T16:T17"/>
    <mergeCell ref="V16:V17"/>
    <mergeCell ref="W16:W17"/>
    <mergeCell ref="Y16:Y17"/>
    <mergeCell ref="Z16:Z17"/>
    <mergeCell ref="A18:A19"/>
    <mergeCell ref="D18:D19"/>
    <mergeCell ref="E18:E19"/>
    <mergeCell ref="G18:G19"/>
    <mergeCell ref="H18:H19"/>
    <mergeCell ref="K16:K17"/>
    <mergeCell ref="M16:M17"/>
    <mergeCell ref="N16:N17"/>
    <mergeCell ref="P16:P17"/>
    <mergeCell ref="Q16:Q17"/>
    <mergeCell ref="S16:S17"/>
    <mergeCell ref="A16:A17"/>
    <mergeCell ref="D16:D17"/>
    <mergeCell ref="E16:E17"/>
    <mergeCell ref="G16:G17"/>
    <mergeCell ref="H16:H17"/>
    <mergeCell ref="J16:J17"/>
    <mergeCell ref="S18:S19"/>
    <mergeCell ref="T18:T19"/>
    <mergeCell ref="V18:V19"/>
    <mergeCell ref="W18:W19"/>
    <mergeCell ref="Y18:Y19"/>
    <mergeCell ref="Z18:Z19"/>
    <mergeCell ref="J18:J19"/>
    <mergeCell ref="K18:K19"/>
    <mergeCell ref="M18:M19"/>
    <mergeCell ref="N18:N19"/>
    <mergeCell ref="P18:P19"/>
    <mergeCell ref="Q18:Q19"/>
    <mergeCell ref="T20:T21"/>
    <mergeCell ref="V20:V21"/>
    <mergeCell ref="W20:W21"/>
    <mergeCell ref="Y20:Y21"/>
    <mergeCell ref="Z20:Z21"/>
    <mergeCell ref="A22:A23"/>
    <mergeCell ref="D22:D23"/>
    <mergeCell ref="E22:E23"/>
    <mergeCell ref="G22:G23"/>
    <mergeCell ref="H22:H23"/>
    <mergeCell ref="K20:K21"/>
    <mergeCell ref="M20:M21"/>
    <mergeCell ref="N20:N21"/>
    <mergeCell ref="P20:P21"/>
    <mergeCell ref="Q20:Q21"/>
    <mergeCell ref="S20:S21"/>
    <mergeCell ref="A20:A21"/>
    <mergeCell ref="D20:D21"/>
    <mergeCell ref="E20:E21"/>
    <mergeCell ref="G20:G21"/>
    <mergeCell ref="H20:H21"/>
    <mergeCell ref="J20:J21"/>
    <mergeCell ref="S22:S23"/>
    <mergeCell ref="T22:T23"/>
    <mergeCell ref="V22:V23"/>
    <mergeCell ref="W22:W23"/>
    <mergeCell ref="Y22:Y23"/>
    <mergeCell ref="Z22:Z23"/>
    <mergeCell ref="J22:J23"/>
    <mergeCell ref="K22:K23"/>
    <mergeCell ref="M22:M23"/>
    <mergeCell ref="N22:N23"/>
    <mergeCell ref="P22:P23"/>
    <mergeCell ref="Q22:Q23"/>
    <mergeCell ref="T24:T25"/>
    <mergeCell ref="V24:V25"/>
    <mergeCell ref="W24:W25"/>
    <mergeCell ref="Y24:Y25"/>
    <mergeCell ref="Z24:Z25"/>
    <mergeCell ref="A26:A27"/>
    <mergeCell ref="D26:D27"/>
    <mergeCell ref="E26:E27"/>
    <mergeCell ref="G26:G27"/>
    <mergeCell ref="H26:H27"/>
    <mergeCell ref="K24:K25"/>
    <mergeCell ref="M24:M25"/>
    <mergeCell ref="N24:N25"/>
    <mergeCell ref="P24:P25"/>
    <mergeCell ref="Q24:Q25"/>
    <mergeCell ref="S24:S25"/>
    <mergeCell ref="A24:A25"/>
    <mergeCell ref="D24:D25"/>
    <mergeCell ref="E24:E25"/>
    <mergeCell ref="G24:G25"/>
    <mergeCell ref="H24:H25"/>
    <mergeCell ref="J24:J25"/>
    <mergeCell ref="W26:W27"/>
    <mergeCell ref="Y26:Y27"/>
    <mergeCell ref="A28:A29"/>
    <mergeCell ref="D28:D29"/>
    <mergeCell ref="E28:E29"/>
    <mergeCell ref="G28:G29"/>
    <mergeCell ref="H28:H29"/>
    <mergeCell ref="J28:J29"/>
    <mergeCell ref="S26:S27"/>
    <mergeCell ref="T26:T27"/>
    <mergeCell ref="V26:V27"/>
    <mergeCell ref="T28:T29"/>
    <mergeCell ref="V28:V29"/>
    <mergeCell ref="K28:K29"/>
    <mergeCell ref="M28:M29"/>
    <mergeCell ref="N28:N29"/>
    <mergeCell ref="P28:P29"/>
    <mergeCell ref="Q28:Q29"/>
    <mergeCell ref="S28:S29"/>
    <mergeCell ref="Z26:Z27"/>
    <mergeCell ref="J26:J27"/>
    <mergeCell ref="K26:K27"/>
    <mergeCell ref="M26:M27"/>
    <mergeCell ref="N26:N27"/>
    <mergeCell ref="P26:P27"/>
    <mergeCell ref="Q26:Q27"/>
    <mergeCell ref="W28:W29"/>
    <mergeCell ref="Y28:Y29"/>
    <mergeCell ref="Z28:Z29"/>
  </mergeCells>
  <printOptions horizontalCentered="1" verticalCentered="1"/>
  <pageMargins left="0" right="0" top="0.19652777777777777" bottom="0.19652777777777777" header="0.51180555555555551" footer="0.51180555555555551"/>
  <pageSetup paperSize="9" firstPageNumber="0" orientation="landscape" horizontalDpi="300" verticalDpi="300"/>
  <headerFooter alignWithMargins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7"/>
  <sheetViews>
    <sheetView workbookViewId="0">
      <selection activeCell="Q9" sqref="Q9"/>
    </sheetView>
  </sheetViews>
  <sheetFormatPr defaultRowHeight="15"/>
  <cols>
    <col min="1" max="1" width="6.28515625" customWidth="1"/>
    <col min="2" max="2" width="8.85546875" customWidth="1"/>
  </cols>
  <sheetData>
    <row r="1" spans="1:14">
      <c r="A1" s="165" t="s">
        <v>364</v>
      </c>
    </row>
    <row r="2" spans="1:14" ht="4.5" customHeight="1">
      <c r="A2" s="165"/>
    </row>
    <row r="3" spans="1:14">
      <c r="A3" s="166"/>
      <c r="B3" s="166"/>
      <c r="C3" s="103" t="s">
        <v>4</v>
      </c>
      <c r="D3" s="103" t="s">
        <v>5</v>
      </c>
      <c r="E3" s="103" t="s">
        <v>6</v>
      </c>
      <c r="F3" s="103" t="s">
        <v>7</v>
      </c>
      <c r="G3" s="103" t="s">
        <v>8</v>
      </c>
      <c r="H3" s="103" t="s">
        <v>9</v>
      </c>
      <c r="I3" s="103" t="s">
        <v>10</v>
      </c>
      <c r="J3" s="103" t="s">
        <v>11</v>
      </c>
      <c r="K3" s="103" t="s">
        <v>12</v>
      </c>
      <c r="L3" s="103" t="s">
        <v>13</v>
      </c>
      <c r="M3" s="103" t="s">
        <v>14</v>
      </c>
      <c r="N3" s="103" t="s">
        <v>3</v>
      </c>
    </row>
    <row r="4" spans="1:14" hidden="1">
      <c r="A4" s="103">
        <v>1850</v>
      </c>
      <c r="B4" s="103" t="s">
        <v>177</v>
      </c>
      <c r="C4" s="166">
        <f>('1850'!D27-'1850'!C27)*3.6</f>
        <v>39.888000000000048</v>
      </c>
      <c r="D4" s="166">
        <f>('1850'!E27-'1850'!D27)*3.6</f>
        <v>26.243999999999971</v>
      </c>
      <c r="E4" s="166">
        <f>('1850'!F27-'1850'!E27)*3.6</f>
        <v>20.267999999999983</v>
      </c>
      <c r="F4" s="166">
        <f>('1850'!G27-'1850'!F27)*3.6</f>
        <v>11.880000000000042</v>
      </c>
      <c r="G4" s="166">
        <f>('1850'!H27-'1850'!G27)*3.6</f>
        <v>10.151999999999976</v>
      </c>
      <c r="H4" s="166">
        <f>('1850'!I27+'1850'!M32-'1850'!H27)*3.6</f>
        <v>4.4280000000000657</v>
      </c>
      <c r="I4" s="166">
        <f>('1850'!J27-'1850'!I27)*3.6</f>
        <v>5.1120000000000001</v>
      </c>
      <c r="J4" s="166">
        <f>('1850'!K27-'1850'!J27)*3.6</f>
        <v>4.9680000000000009</v>
      </c>
      <c r="K4" s="166">
        <f>('1850'!L27-'1850'!K27)*3.6</f>
        <v>5.4359999999999991</v>
      </c>
      <c r="L4" s="166">
        <f>('1850'!N27-'1850'!L27)*3.6</f>
        <v>9.5400000000000009</v>
      </c>
      <c r="M4" s="166">
        <f>('1850'!O27-'1850'!N27)*3.6</f>
        <v>21.923999999999996</v>
      </c>
      <c r="N4" s="166">
        <f>('1850'!R27-'1850'!O27)*3.6</f>
        <v>31.428000000000001</v>
      </c>
    </row>
    <row r="5" spans="1:14" ht="17.25" hidden="1">
      <c r="A5" s="103">
        <v>1850</v>
      </c>
      <c r="B5" s="167" t="s">
        <v>200</v>
      </c>
      <c r="C5" s="168">
        <f>'1850'!D28-'1850'!C28</f>
        <v>470</v>
      </c>
      <c r="D5" s="168">
        <f>'1850'!E28-'1850'!D28</f>
        <v>283</v>
      </c>
      <c r="E5" s="168">
        <f>'1850'!F28-'1850'!E28</f>
        <v>237</v>
      </c>
      <c r="F5" s="168">
        <f>'1850'!G28-'1850'!F28</f>
        <v>167</v>
      </c>
      <c r="G5" s="168">
        <f>'1850'!H28-'1850'!G28</f>
        <v>148</v>
      </c>
      <c r="H5" s="168">
        <v>88</v>
      </c>
      <c r="I5" s="168">
        <f>'1850'!J28-'1850'!I28</f>
        <v>97</v>
      </c>
      <c r="J5" s="168">
        <f>'1850'!K28-'1850'!J28</f>
        <v>99</v>
      </c>
      <c r="K5" s="168">
        <f>'1850'!L28-'1850'!K28</f>
        <v>99</v>
      </c>
      <c r="L5" s="168">
        <f>'1850'!N28-'1850'!L28</f>
        <v>144</v>
      </c>
      <c r="M5" s="168">
        <f>'1850'!O28-'1850'!N28</f>
        <v>290</v>
      </c>
      <c r="N5" s="168">
        <f>'1850'!R28-'1850'!O28</f>
        <v>310</v>
      </c>
    </row>
    <row r="6" spans="1:14" ht="17.25">
      <c r="A6" s="103">
        <v>1850</v>
      </c>
      <c r="B6" s="167" t="s">
        <v>201</v>
      </c>
      <c r="C6" s="169">
        <f>C4/C5*1000</f>
        <v>84.868085106383077</v>
      </c>
      <c r="D6" s="169">
        <f>D4/D5*1000</f>
        <v>92.734982332155383</v>
      </c>
      <c r="E6" s="169">
        <f t="shared" ref="E6:M6" si="0">E4/E5*1000</f>
        <v>85.518987341772075</v>
      </c>
      <c r="F6" s="169">
        <f t="shared" si="0"/>
        <v>71.137724550898454</v>
      </c>
      <c r="G6" s="169">
        <f t="shared" si="0"/>
        <v>68.59459459459444</v>
      </c>
      <c r="H6" s="169">
        <f t="shared" si="0"/>
        <v>50.318181818182566</v>
      </c>
      <c r="I6" s="169">
        <f t="shared" si="0"/>
        <v>52.701030927835056</v>
      </c>
      <c r="J6" s="169">
        <f t="shared" si="0"/>
        <v>50.181818181818187</v>
      </c>
      <c r="K6" s="169">
        <f t="shared" si="0"/>
        <v>54.909090909090899</v>
      </c>
      <c r="L6" s="169">
        <f t="shared" si="0"/>
        <v>66.25</v>
      </c>
      <c r="M6" s="169">
        <f t="shared" si="0"/>
        <v>75.59999999999998</v>
      </c>
      <c r="N6" s="169">
        <f t="shared" ref="N6" si="1">N4/N5*1000</f>
        <v>101.38064516129032</v>
      </c>
    </row>
    <row r="7" spans="1:14" hidden="1">
      <c r="A7" s="103">
        <v>1851</v>
      </c>
      <c r="B7" s="103" t="s">
        <v>177</v>
      </c>
      <c r="C7" s="166">
        <f>('1851'!E27-'1851'!D27)*3.6</f>
        <v>51.156000000000027</v>
      </c>
      <c r="D7" s="166">
        <f>('1851'!F27-'1851'!E27)*3.6</f>
        <v>37.584000000000096</v>
      </c>
      <c r="E7" s="166">
        <f>('1851'!G27-'1851'!F27)*3.6</f>
        <v>30.275999999999886</v>
      </c>
      <c r="F7" s="166">
        <f>('1851'!H27-'1851'!G27)*3.6</f>
        <v>22.283999999999992</v>
      </c>
      <c r="G7" s="166">
        <f>('1851'!I27-'1851'!H27)*3.6</f>
        <v>18.216000000000008</v>
      </c>
      <c r="H7" s="166">
        <f>('1851'!J27+'1851'!N51-'1851'!I27)*3.6</f>
        <v>7.5240000000001146</v>
      </c>
      <c r="I7" s="166">
        <f>('1851'!K27-'1851'!J27)*3.6</f>
        <v>9.8640000000000008</v>
      </c>
      <c r="J7" s="166">
        <f>('1851'!L27-'1851'!K27)*3.6</f>
        <v>10.08</v>
      </c>
      <c r="K7" s="166">
        <f>('1851'!M27-'1851'!L27)*3.6</f>
        <v>11.988000000000001</v>
      </c>
      <c r="L7" s="166">
        <f>('1851'!O27-'1851'!M27)*3.6</f>
        <v>19.080000000000002</v>
      </c>
      <c r="M7" s="166">
        <f>('1851'!P27-'1851'!O27)*3.6</f>
        <v>30.347999999999999</v>
      </c>
      <c r="N7" s="166">
        <f>('1851'!Q27-'1851'!P27)*3.6</f>
        <v>45.431999999999995</v>
      </c>
    </row>
    <row r="8" spans="1:14" ht="17.25" hidden="1">
      <c r="A8" s="103">
        <v>1851</v>
      </c>
      <c r="B8" s="167" t="s">
        <v>200</v>
      </c>
      <c r="C8" s="168">
        <f>'1851'!E28-'1851'!D28</f>
        <v>1878</v>
      </c>
      <c r="D8" s="168">
        <f>'1851'!F28-'1851'!E28</f>
        <v>1409</v>
      </c>
      <c r="E8" s="168">
        <f>'1851'!G28-'1851'!F28</f>
        <v>1381</v>
      </c>
      <c r="F8" s="168">
        <f>'1851'!H28-'1851'!G28</f>
        <v>1396</v>
      </c>
      <c r="G8" s="168">
        <f>'1851'!I28-'1851'!H28</f>
        <v>1371</v>
      </c>
      <c r="H8" s="168">
        <v>1100</v>
      </c>
      <c r="I8" s="168">
        <f>'1851'!K28-'1851'!J28</f>
        <v>1217</v>
      </c>
      <c r="J8" s="168">
        <f>'1851'!L28-'1851'!K28</f>
        <v>1230</v>
      </c>
      <c r="K8" s="168">
        <f>'1851'!M28-'1851'!L28</f>
        <v>1117</v>
      </c>
      <c r="L8" s="168">
        <f>'1851'!O28-'1851'!M28</f>
        <v>1304</v>
      </c>
      <c r="M8" s="168">
        <f>'1851'!P28-'1851'!O28</f>
        <v>1143</v>
      </c>
      <c r="N8" s="168">
        <f>'1851'!Q28-'1851'!P28</f>
        <v>1248</v>
      </c>
    </row>
    <row r="9" spans="1:14" ht="17.25">
      <c r="A9" s="103">
        <v>1851</v>
      </c>
      <c r="B9" s="167" t="s">
        <v>201</v>
      </c>
      <c r="C9" s="169">
        <f>C7/C8*1000</f>
        <v>27.239616613418548</v>
      </c>
      <c r="D9" s="169">
        <f>D7/D8*1000</f>
        <v>26.674237047551522</v>
      </c>
      <c r="E9" s="169">
        <f t="shared" ref="E9:K9" si="2">E7/E8*1000</f>
        <v>21.923244026067984</v>
      </c>
      <c r="F9" s="169">
        <f t="shared" si="2"/>
        <v>15.962750716332373</v>
      </c>
      <c r="G9" s="169">
        <f t="shared" si="2"/>
        <v>13.286652078774624</v>
      </c>
      <c r="H9" s="169">
        <f t="shared" si="2"/>
        <v>6.8400000000001038</v>
      </c>
      <c r="I9" s="169">
        <f t="shared" si="2"/>
        <v>8.1051766639276916</v>
      </c>
      <c r="J9" s="169">
        <f t="shared" si="2"/>
        <v>8.1951219512195124</v>
      </c>
      <c r="K9" s="169">
        <f t="shared" si="2"/>
        <v>10.732318710832589</v>
      </c>
      <c r="L9" s="169">
        <f t="shared" ref="L9:M9" si="3">L7/L8*1000</f>
        <v>14.6319018404908</v>
      </c>
      <c r="M9" s="169">
        <f t="shared" si="3"/>
        <v>26.551181102362204</v>
      </c>
      <c r="N9" s="169">
        <f t="shared" ref="N9" si="4">N7/N8*1000</f>
        <v>36.403846153846146</v>
      </c>
    </row>
    <row r="10" spans="1:14" hidden="1">
      <c r="A10" s="103">
        <v>1852</v>
      </c>
      <c r="B10" s="103" t="s">
        <v>177</v>
      </c>
      <c r="C10" s="166">
        <f>('1852'!D27-'1852'!C27)*3.6</f>
        <v>44.496000000000052</v>
      </c>
      <c r="D10" s="166">
        <f>('1852'!E27-'1852'!D27)*3.6</f>
        <v>33.33599999999997</v>
      </c>
      <c r="E10" s="166">
        <f>('1852'!F27-'1852'!E27)*3.6</f>
        <v>24.732000000000017</v>
      </c>
      <c r="F10" s="166">
        <f>('1852'!G27-'1852'!F27)*3.6</f>
        <v>15.3</v>
      </c>
      <c r="G10" s="166">
        <f>('1852'!H27-'1852'!G27)*3.6</f>
        <v>13.391999999999996</v>
      </c>
      <c r="H10" s="166">
        <f>('1852'!I27+'1852'!M31-'1852'!H27)*3.6</f>
        <v>6.0480000000000249</v>
      </c>
      <c r="I10" s="166">
        <f>('1852'!J27-'1852'!I27)*3.6</f>
        <v>7.1280000000000001</v>
      </c>
      <c r="J10" s="166">
        <f>('1852'!K27-'1852'!J27)*3.6</f>
        <v>7.2360000000000007</v>
      </c>
      <c r="K10" s="166">
        <f>('1852'!L27-'1852'!K27)*3.6</f>
        <v>9.9359999999999999</v>
      </c>
      <c r="L10" s="166">
        <f>('1852'!N27-'1852'!L27)*3.6</f>
        <v>15.083999999999998</v>
      </c>
      <c r="M10" s="166">
        <f>('1852'!O27-'1852'!N27)*3.6</f>
        <v>27.755999999999997</v>
      </c>
      <c r="N10" s="166">
        <f>('1852'!P27-'1852'!O27)*3.6</f>
        <v>40.608000000000004</v>
      </c>
    </row>
    <row r="11" spans="1:14" ht="17.25" hidden="1">
      <c r="A11" s="103">
        <v>1852</v>
      </c>
      <c r="B11" s="167" t="s">
        <v>200</v>
      </c>
      <c r="C11" s="168">
        <f>'1852'!D28-'1852'!C28</f>
        <v>968</v>
      </c>
      <c r="D11" s="168">
        <f>'1852'!E28-'1852'!D28</f>
        <v>629</v>
      </c>
      <c r="E11" s="168">
        <f>'1852'!F28-'1852'!E28</f>
        <v>526</v>
      </c>
      <c r="F11" s="168">
        <f>'1852'!G28-'1852'!F28</f>
        <v>328</v>
      </c>
      <c r="G11" s="168">
        <f>'1852'!H28-'1852'!G28</f>
        <v>487</v>
      </c>
      <c r="H11" s="168">
        <v>480</v>
      </c>
      <c r="I11" s="168">
        <f>'1852'!J28-'1852'!I28</f>
        <v>489</v>
      </c>
      <c r="J11" s="168">
        <f>'1852'!K28-'1852'!J28</f>
        <v>498</v>
      </c>
      <c r="K11" s="168">
        <f>'1852'!L28-'1852'!K28</f>
        <v>486</v>
      </c>
      <c r="L11" s="168">
        <f>'1852'!N28-'1852'!L28</f>
        <v>335</v>
      </c>
      <c r="M11" s="168">
        <f>'1852'!O28-'1852'!N28</f>
        <v>330</v>
      </c>
      <c r="N11" s="168">
        <f>'1852'!P28-'1852'!O28</f>
        <v>428</v>
      </c>
    </row>
    <row r="12" spans="1:14" ht="17.25">
      <c r="A12" s="103">
        <v>1852</v>
      </c>
      <c r="B12" s="167" t="s">
        <v>201</v>
      </c>
      <c r="C12" s="169">
        <f>C10/C11*1000</f>
        <v>45.966942148760381</v>
      </c>
      <c r="D12" s="169">
        <f>D10/D11*1000</f>
        <v>52.998410174880718</v>
      </c>
      <c r="E12" s="169">
        <f t="shared" ref="E12:K12" si="5">E10/E11*1000</f>
        <v>47.019011406844143</v>
      </c>
      <c r="F12" s="169">
        <f t="shared" si="5"/>
        <v>46.646341463414636</v>
      </c>
      <c r="G12" s="169">
        <f t="shared" si="5"/>
        <v>27.498973305954816</v>
      </c>
      <c r="H12" s="169">
        <f t="shared" si="5"/>
        <v>12.600000000000053</v>
      </c>
      <c r="I12" s="169">
        <f t="shared" si="5"/>
        <v>14.576687116564418</v>
      </c>
      <c r="J12" s="169">
        <f t="shared" si="5"/>
        <v>14.530120481927712</v>
      </c>
      <c r="K12" s="169">
        <f t="shared" si="5"/>
        <v>20.444444444444446</v>
      </c>
      <c r="L12" s="169">
        <f t="shared" ref="L12:M12" si="6">L10/L11*1000</f>
        <v>45.026865671641787</v>
      </c>
      <c r="M12" s="169">
        <f t="shared" si="6"/>
        <v>84.109090909090895</v>
      </c>
      <c r="N12" s="169">
        <f t="shared" ref="N12" si="7">N10/N11*1000</f>
        <v>94.878504672897208</v>
      </c>
    </row>
    <row r="13" spans="1:14" hidden="1">
      <c r="A13" s="103">
        <v>1853</v>
      </c>
      <c r="B13" s="103" t="s">
        <v>177</v>
      </c>
      <c r="C13" s="166">
        <f>('1853'!D28-'1853'!C28)*3.6</f>
        <v>45.144000000000077</v>
      </c>
      <c r="D13" s="166">
        <f>('1853'!E28-'1853'!D28)*3.6</f>
        <v>32.291999999999994</v>
      </c>
      <c r="E13" s="166">
        <f>('1853'!F28-'1853'!E28)*3.6</f>
        <v>23.003999999999952</v>
      </c>
      <c r="F13" s="166">
        <f>('1853'!G28-'1853'!F28)*3.6</f>
        <v>14.256000000000029</v>
      </c>
      <c r="G13" s="166">
        <f>('1853'!H28-'1853'!G28)*3.6</f>
        <v>12.564000000000034</v>
      </c>
      <c r="H13" s="166">
        <f>('1853'!I28+'1853'!M32-'1853'!H28)*3.6</f>
        <v>5.1839999999999922</v>
      </c>
      <c r="I13" s="166">
        <f>('1853'!J28-'1853'!I28)*3.6</f>
        <v>6.5519999999999996</v>
      </c>
      <c r="J13" s="166">
        <f>('1853'!K28-'1853'!J28)*3.6</f>
        <v>6.8040000000000003</v>
      </c>
      <c r="K13" s="166">
        <f>('1853'!L28-'1853'!K28)*3.6</f>
        <v>7.0200000000000005</v>
      </c>
      <c r="L13" s="166">
        <f>('1853'!N28-'1853'!L28)*3.6</f>
        <v>12.960000000000003</v>
      </c>
      <c r="M13" s="166">
        <f>('1853'!O28-'1853'!N28)*3.6</f>
        <v>24.551999999999996</v>
      </c>
      <c r="N13" s="166">
        <f>('1853'!P28-'1853'!O28)*3.6</f>
        <v>36.072000000000003</v>
      </c>
    </row>
    <row r="14" spans="1:14" ht="17.25" hidden="1">
      <c r="A14" s="103">
        <v>1853</v>
      </c>
      <c r="B14" s="167" t="s">
        <v>200</v>
      </c>
      <c r="C14" s="168">
        <f>'1853'!D29-'1853'!C29</f>
        <v>956</v>
      </c>
      <c r="D14" s="168">
        <f>'1853'!E29-'1853'!D29</f>
        <v>774</v>
      </c>
      <c r="E14" s="168">
        <f>'1853'!F29-'1853'!E29</f>
        <v>747</v>
      </c>
      <c r="F14" s="168">
        <f>'1853'!G29-'1853'!F29</f>
        <v>726</v>
      </c>
      <c r="G14" s="168">
        <f>'1853'!H29-'1853'!G29</f>
        <v>703</v>
      </c>
      <c r="H14" s="168">
        <v>580</v>
      </c>
      <c r="I14" s="168">
        <f>'1853'!J29-'1853'!I29</f>
        <v>594</v>
      </c>
      <c r="J14" s="168">
        <f>'1853'!K29-'1853'!J29</f>
        <v>592</v>
      </c>
      <c r="K14" s="168">
        <f>'1853'!L29-'1853'!K29</f>
        <v>533</v>
      </c>
      <c r="L14" s="168">
        <f>'1853'!N29-'1853'!L29</f>
        <v>667</v>
      </c>
      <c r="M14" s="168">
        <f>'1853'!O29-'1853'!N29</f>
        <v>608</v>
      </c>
      <c r="N14" s="168">
        <f>'1853'!P29-'1853'!O29</f>
        <v>660</v>
      </c>
    </row>
    <row r="15" spans="1:14" ht="17.25">
      <c r="A15" s="103">
        <v>1853</v>
      </c>
      <c r="B15" s="167" t="s">
        <v>201</v>
      </c>
      <c r="C15" s="169">
        <f>C13/C14*1000</f>
        <v>47.221757322175812</v>
      </c>
      <c r="D15" s="169">
        <f>D13/D14*1000</f>
        <v>41.720930232558139</v>
      </c>
      <c r="E15" s="169">
        <f t="shared" ref="E15:K15" si="8">E13/E14*1000</f>
        <v>30.795180722891502</v>
      </c>
      <c r="F15" s="169">
        <f t="shared" si="8"/>
        <v>19.636363636363676</v>
      </c>
      <c r="G15" s="169">
        <f t="shared" si="8"/>
        <v>17.871977240398341</v>
      </c>
      <c r="H15" s="169">
        <f t="shared" si="8"/>
        <v>8.9379310344827445</v>
      </c>
      <c r="I15" s="169">
        <f t="shared" si="8"/>
        <v>11.030303030303029</v>
      </c>
      <c r="J15" s="169">
        <f t="shared" si="8"/>
        <v>11.493243243243244</v>
      </c>
      <c r="K15" s="169">
        <f t="shared" si="8"/>
        <v>13.170731707317074</v>
      </c>
      <c r="L15" s="169">
        <f t="shared" ref="L15:M15" si="9">L13/L14*1000</f>
        <v>19.43028485757122</v>
      </c>
      <c r="M15" s="169">
        <f t="shared" si="9"/>
        <v>40.381578947368418</v>
      </c>
      <c r="N15" s="169">
        <f t="shared" ref="N15" si="10">N13/N14*1000</f>
        <v>54.654545454545456</v>
      </c>
    </row>
    <row r="16" spans="1:14" hidden="1">
      <c r="A16" s="103">
        <v>1854</v>
      </c>
      <c r="B16" s="103" t="s">
        <v>177</v>
      </c>
      <c r="C16" s="166">
        <f>('1854'!D27-'1854'!C27)*3.6</f>
        <v>45.54000000000002</v>
      </c>
      <c r="D16" s="166">
        <f>('1854'!E27-'1854'!D27)*3.6</f>
        <v>32.832000000000015</v>
      </c>
      <c r="E16" s="166">
        <f>('1854'!F27-'1854'!E27)*3.6</f>
        <v>25.632000000000016</v>
      </c>
      <c r="F16" s="166">
        <f>('1854'!G27-'1854'!F27)*3.6</f>
        <v>17.100000000000001</v>
      </c>
      <c r="G16" s="166">
        <f>('1854'!H27-'1854'!G27)*3.6</f>
        <v>14.543999999999972</v>
      </c>
      <c r="H16" s="166">
        <f>('1854'!I27-'1854'!H27)*3.6</f>
        <v>4.3919999999999959</v>
      </c>
      <c r="I16" s="166">
        <f>('1854'!J27-'1854'!I27)*3.6</f>
        <v>4.9320000000000164</v>
      </c>
      <c r="J16" s="166">
        <f>('1854'!K27-'1854'!J27)*3.6</f>
        <v>5.0759999999999881</v>
      </c>
      <c r="K16" s="166">
        <f>('1854'!L27-'1854'!K27)*3.6</f>
        <v>6.3359999999999674</v>
      </c>
      <c r="L16" s="166">
        <f>('1854'!N27-'1854'!L27)*3.6</f>
        <v>12.888000000000046</v>
      </c>
      <c r="M16" s="166">
        <f>('1854'!O27-'1854'!N27)*3.6</f>
        <v>24.695999999999948</v>
      </c>
      <c r="N16" s="166">
        <f>('1854'!R27-'1854'!O27)*3.6</f>
        <v>35.604000000000056</v>
      </c>
    </row>
    <row r="17" spans="1:14" ht="17.25" hidden="1">
      <c r="A17" s="103">
        <v>1854</v>
      </c>
      <c r="B17" s="167" t="s">
        <v>200</v>
      </c>
      <c r="C17" s="168">
        <f>'1854'!D28-'1854'!C28</f>
        <v>537</v>
      </c>
      <c r="D17" s="168">
        <f>'1854'!E28-'1854'!D28</f>
        <v>329</v>
      </c>
      <c r="E17" s="168">
        <f>'1854'!F28-'1854'!E28</f>
        <v>237</v>
      </c>
      <c r="F17" s="168">
        <f>'1854'!G28-'1854'!F28</f>
        <v>190</v>
      </c>
      <c r="G17" s="168">
        <f>'1854'!H28-'1854'!G28</f>
        <v>177</v>
      </c>
      <c r="H17" s="168">
        <f>'1854'!I28-'1854'!H28</f>
        <v>75</v>
      </c>
      <c r="I17" s="168">
        <f>'1854'!J28-'1854'!I28</f>
        <v>83</v>
      </c>
      <c r="J17" s="168">
        <f>'1854'!K28-'1854'!J28</f>
        <v>85</v>
      </c>
      <c r="K17" s="168">
        <f>'1854'!L28-'1854'!K28</f>
        <v>92</v>
      </c>
      <c r="L17" s="168">
        <f>'1854'!N28-'1854'!L28</f>
        <v>143</v>
      </c>
      <c r="M17" s="168">
        <f>'1854'!O28-'1854'!N28</f>
        <v>215</v>
      </c>
      <c r="N17" s="168">
        <f>'1854'!R28-'1854'!O28</f>
        <v>307</v>
      </c>
    </row>
    <row r="18" spans="1:14" ht="17.25">
      <c r="A18" s="103">
        <v>1854</v>
      </c>
      <c r="B18" s="167" t="s">
        <v>201</v>
      </c>
      <c r="C18" s="169">
        <f>C16/C17*1000</f>
        <v>84.804469273743052</v>
      </c>
      <c r="D18" s="169">
        <f>D16/D17*1000</f>
        <v>99.793313069908862</v>
      </c>
      <c r="E18" s="169">
        <f t="shared" ref="E18:K18" si="11">E16/E17*1000</f>
        <v>108.15189873417728</v>
      </c>
      <c r="F18" s="169">
        <f t="shared" si="11"/>
        <v>90.000000000000014</v>
      </c>
      <c r="G18" s="169">
        <f t="shared" si="11"/>
        <v>82.169491525423581</v>
      </c>
      <c r="H18" s="169">
        <f t="shared" si="11"/>
        <v>58.559999999999945</v>
      </c>
      <c r="I18" s="169">
        <f t="shared" si="11"/>
        <v>59.421686746988144</v>
      </c>
      <c r="J18" s="169">
        <f t="shared" si="11"/>
        <v>59.717647058823388</v>
      </c>
      <c r="K18" s="169">
        <f t="shared" si="11"/>
        <v>68.869565217390942</v>
      </c>
      <c r="L18" s="169">
        <f t="shared" ref="L18:M18" si="12">L16/L17*1000</f>
        <v>90.125874125874446</v>
      </c>
      <c r="M18" s="169">
        <f t="shared" si="12"/>
        <v>114.86511627906953</v>
      </c>
      <c r="N18" s="169">
        <f t="shared" ref="N18" si="13">N16/N17*1000</f>
        <v>115.97394136807836</v>
      </c>
    </row>
    <row r="19" spans="1:14" hidden="1">
      <c r="A19" s="103">
        <v>1855</v>
      </c>
      <c r="B19" s="103" t="s">
        <v>177</v>
      </c>
      <c r="C19" s="166">
        <f>('1855'!D27-'1855'!C27)*3.6</f>
        <v>41.544000000000075</v>
      </c>
      <c r="D19" s="166">
        <f>('1855'!E27-'1855'!D27)*3.6</f>
        <v>40.139999999999922</v>
      </c>
      <c r="E19" s="166">
        <f>('1855'!F27-'1855'!E27)*3.6</f>
        <v>31.608000000000004</v>
      </c>
      <c r="F19" s="166">
        <f>('1855'!G27-'1855'!F27)*3.6</f>
        <v>20.736000000000072</v>
      </c>
      <c r="G19" s="166">
        <f>('1855'!H27-'1855'!G27)*3.6</f>
        <v>18.251999999999978</v>
      </c>
      <c r="H19" s="166">
        <f>('1855'!I27-'1855'!H27)*3.6</f>
        <v>4.5359999999999676</v>
      </c>
      <c r="I19" s="166">
        <f>('1855'!J27-'1855'!I27)*3.6</f>
        <v>4.8240000000000123</v>
      </c>
      <c r="J19" s="166">
        <f>('1855'!K27-'1855'!J27)*3.6</f>
        <v>5.4720000000000368</v>
      </c>
      <c r="K19" s="166">
        <f>('1855'!L27-'1855'!K27)*3.6</f>
        <v>9.2160000000000082</v>
      </c>
      <c r="L19" s="166">
        <f>('1855'!N27-'1855'!L27)*3.6</f>
        <v>25.01999999999996</v>
      </c>
      <c r="M19" s="166">
        <f>('1855'!O27-'1855'!N27)*3.6</f>
        <v>36.180000000000042</v>
      </c>
      <c r="N19" s="166">
        <f>('1855'!R27-'1855'!O27)*3.6</f>
        <v>49.211999999999954</v>
      </c>
    </row>
    <row r="20" spans="1:14" ht="17.25" hidden="1">
      <c r="A20" s="103">
        <v>1855</v>
      </c>
      <c r="B20" s="167" t="s">
        <v>200</v>
      </c>
      <c r="C20" s="168">
        <f>'1855'!D28-'1855'!C28</f>
        <v>555</v>
      </c>
      <c r="D20" s="168">
        <f>'1855'!E28-'1855'!D28</f>
        <v>354</v>
      </c>
      <c r="E20" s="168">
        <f>'1855'!F28-'1855'!E28</f>
        <v>266</v>
      </c>
      <c r="F20" s="168">
        <f>'1855'!G28-'1855'!F28</f>
        <v>182</v>
      </c>
      <c r="G20" s="168">
        <f>'1855'!H28-'1855'!G28</f>
        <v>171</v>
      </c>
      <c r="H20" s="168">
        <f>'1855'!I28-'1855'!H28</f>
        <v>60</v>
      </c>
      <c r="I20" s="168">
        <f>'1855'!J28-'1855'!I28</f>
        <v>64</v>
      </c>
      <c r="J20" s="168">
        <f>'1855'!K28-'1855'!J28</f>
        <v>69</v>
      </c>
      <c r="K20" s="168">
        <f>'1855'!L28-'1855'!K28</f>
        <v>104</v>
      </c>
      <c r="L20" s="168">
        <f>'1855'!N28-'1855'!L28</f>
        <v>245</v>
      </c>
      <c r="M20" s="168">
        <f>'1855'!O28-'1855'!N28</f>
        <v>333</v>
      </c>
      <c r="N20" s="168">
        <f>'1855'!R28-'1855'!O28</f>
        <v>440</v>
      </c>
    </row>
    <row r="21" spans="1:14" ht="17.25">
      <c r="A21" s="103">
        <v>1855</v>
      </c>
      <c r="B21" s="167" t="s">
        <v>201</v>
      </c>
      <c r="C21" s="169">
        <f>C19/C20*1000</f>
        <v>74.854054054054188</v>
      </c>
      <c r="D21" s="169">
        <f>D19/D20*1000</f>
        <v>113.38983050847436</v>
      </c>
      <c r="E21" s="169">
        <f t="shared" ref="E21:K21" si="14">E19/E20*1000</f>
        <v>118.82706766917295</v>
      </c>
      <c r="F21" s="169">
        <f t="shared" si="14"/>
        <v>113.93406593406633</v>
      </c>
      <c r="G21" s="169">
        <f t="shared" si="14"/>
        <v>106.73684210526304</v>
      </c>
      <c r="H21" s="169">
        <f t="shared" si="14"/>
        <v>75.599999999999454</v>
      </c>
      <c r="I21" s="169">
        <f t="shared" si="14"/>
        <v>75.375000000000199</v>
      </c>
      <c r="J21" s="169">
        <f t="shared" si="14"/>
        <v>79.304347826087493</v>
      </c>
      <c r="K21" s="169">
        <f t="shared" si="14"/>
        <v>88.615384615384698</v>
      </c>
      <c r="L21" s="169">
        <f t="shared" ref="L21:M21" si="15">L19/L20*1000</f>
        <v>102.12244897959168</v>
      </c>
      <c r="M21" s="169">
        <f t="shared" si="15"/>
        <v>108.64864864864877</v>
      </c>
      <c r="N21" s="169">
        <f t="shared" ref="N21" si="16">N19/N20*1000</f>
        <v>111.84545454545444</v>
      </c>
    </row>
    <row r="22" spans="1:14" hidden="1">
      <c r="A22" s="103">
        <v>1856</v>
      </c>
      <c r="B22" s="103" t="s">
        <v>177</v>
      </c>
      <c r="C22" s="166">
        <f>('1856'!D27-'1856'!C27)*3.6</f>
        <v>45.504000000000055</v>
      </c>
      <c r="D22" s="166">
        <f>('1856'!E27-'1856'!D27)*3.6</f>
        <v>29.375999999999987</v>
      </c>
      <c r="E22" s="166">
        <f>('1856'!F27-'1856'!E27)*3.6</f>
        <v>20.987999999999943</v>
      </c>
      <c r="F22" s="166">
        <f>('1856'!G27-'1856'!F27)*3.6</f>
        <v>12.708000000000004</v>
      </c>
      <c r="G22" s="166">
        <f>('1856'!H27-'1856'!G27)*3.6</f>
        <v>10.943999999999972</v>
      </c>
      <c r="H22" s="166">
        <f>('1856'!I27-'1856'!H27)*3.6</f>
        <v>4.5</v>
      </c>
      <c r="I22" s="166">
        <f>('1856'!J27-'1856'!I27)*3.6</f>
        <v>4.4280000000000657</v>
      </c>
      <c r="J22" s="166">
        <f>('1856'!K27-'1856'!J27)*3.6</f>
        <v>4.5359999999999676</v>
      </c>
      <c r="K22" s="166">
        <f>('1856'!L27-'1856'!K27)*3.6</f>
        <v>5.4</v>
      </c>
      <c r="L22" s="166">
        <f>('1856'!N27-'1856'!L27)*3.6</f>
        <v>13.824000000000012</v>
      </c>
      <c r="M22" s="166">
        <f>('1856'!O27-'1856'!N27)*3.6</f>
        <v>26.424000000000014</v>
      </c>
      <c r="N22" s="166">
        <f>('1856'!R27-'1856'!O27)*3.6</f>
        <v>37.943999999999974</v>
      </c>
    </row>
    <row r="23" spans="1:14" ht="17.25" hidden="1">
      <c r="A23" s="103">
        <v>1856</v>
      </c>
      <c r="B23" s="167" t="s">
        <v>200</v>
      </c>
      <c r="C23" s="168">
        <f>'1856'!D28-'1856'!C28</f>
        <v>481</v>
      </c>
      <c r="D23" s="168">
        <f>'1856'!E28-'1856'!D28</f>
        <v>272</v>
      </c>
      <c r="E23" s="168">
        <f>'1856'!F28-'1856'!E28</f>
        <v>190</v>
      </c>
      <c r="F23" s="168">
        <f>'1856'!G28-'1856'!F28</f>
        <v>132</v>
      </c>
      <c r="G23" s="168">
        <f>'1856'!H28-'1856'!G28</f>
        <v>123</v>
      </c>
      <c r="H23" s="168">
        <f>'1856'!I28-'1856'!H28</f>
        <v>61</v>
      </c>
      <c r="I23" s="168">
        <f>'1856'!J28-'1856'!I28</f>
        <v>64</v>
      </c>
      <c r="J23" s="168">
        <f>'1856'!K28-'1856'!J28</f>
        <v>66</v>
      </c>
      <c r="K23" s="168">
        <f>'1856'!L28-'1856'!K28</f>
        <v>70</v>
      </c>
      <c r="L23" s="168">
        <f>'1856'!N28-'1856'!L28</f>
        <v>139</v>
      </c>
      <c r="M23" s="168">
        <f>'1856'!O28-'1856'!N28</f>
        <v>231</v>
      </c>
      <c r="N23" s="168">
        <f>'1856'!R28-'1856'!O28</f>
        <v>330</v>
      </c>
    </row>
    <row r="24" spans="1:14" ht="17.25">
      <c r="A24" s="103">
        <v>1856</v>
      </c>
      <c r="B24" s="167" t="s">
        <v>201</v>
      </c>
      <c r="C24" s="169">
        <f>C22/C23*1000</f>
        <v>94.602910602910725</v>
      </c>
      <c r="D24" s="169">
        <f>D22/D23*1000</f>
        <v>107.99999999999996</v>
      </c>
      <c r="E24" s="169">
        <f t="shared" ref="E24:K24" si="17">E22/E23*1000</f>
        <v>110.46315789473654</v>
      </c>
      <c r="F24" s="169">
        <f t="shared" si="17"/>
        <v>96.272727272727295</v>
      </c>
      <c r="G24" s="169">
        <f t="shared" si="17"/>
        <v>88.975609756097342</v>
      </c>
      <c r="H24" s="169">
        <f t="shared" si="17"/>
        <v>73.770491803278688</v>
      </c>
      <c r="I24" s="169">
        <f t="shared" si="17"/>
        <v>69.187500000001023</v>
      </c>
      <c r="J24" s="169">
        <f t="shared" si="17"/>
        <v>68.727272727272236</v>
      </c>
      <c r="K24" s="169">
        <f t="shared" si="17"/>
        <v>77.142857142857153</v>
      </c>
      <c r="L24" s="169">
        <f t="shared" ref="L24:M24" si="18">L22/L23*1000</f>
        <v>99.453237410072035</v>
      </c>
      <c r="M24" s="169">
        <f t="shared" si="18"/>
        <v>114.38961038961044</v>
      </c>
      <c r="N24" s="169">
        <f t="shared" ref="N24" si="19">N22/N23*1000</f>
        <v>114.9818181818181</v>
      </c>
    </row>
    <row r="25" spans="1:14" hidden="1">
      <c r="A25" s="103">
        <v>1857</v>
      </c>
      <c r="B25" s="103" t="s">
        <v>177</v>
      </c>
      <c r="C25" s="166">
        <f>('1857'!D27-'1857'!C27)*3.6</f>
        <v>47.735999999999969</v>
      </c>
      <c r="D25" s="166">
        <f>('1857'!E27-'1857'!D27)*3.6</f>
        <v>31.248000000000026</v>
      </c>
      <c r="E25" s="166">
        <f>('1857'!F27-'1857'!E27)*3.6</f>
        <v>24.264000000000035</v>
      </c>
      <c r="F25" s="166">
        <f>('1857'!G27-'1857'!F27)*3.6</f>
        <v>14.903999999999952</v>
      </c>
      <c r="G25" s="166">
        <f>('1857'!H27-'1857'!G27)*3.6</f>
        <v>12.45600000000003</v>
      </c>
      <c r="H25" s="166">
        <f>('1857'!I27-'1857'!H27)*3.6</f>
        <v>5.6879999999999429</v>
      </c>
      <c r="I25" s="166">
        <f>('1857'!J27-'1857'!I27)*3.6</f>
        <v>6.0840000000000947</v>
      </c>
      <c r="J25" s="166">
        <f>('1857'!K27-'1857'!J27)*3.6</f>
        <v>6.1919999999999957</v>
      </c>
      <c r="K25" s="166">
        <f>('1857'!L27-'1857'!K27)*3.6</f>
        <v>7.3080000000000043</v>
      </c>
      <c r="L25" s="166">
        <f>('1857'!N27-'1857'!L27)*3.6</f>
        <v>15.11999999999996</v>
      </c>
      <c r="M25" s="166">
        <f>('1857'!O27-'1857'!N27)*3.6</f>
        <v>26.640000000000022</v>
      </c>
      <c r="N25" s="166">
        <f>('1857'!R27-'1857'!O27)*3.6</f>
        <v>37.763999999999932</v>
      </c>
    </row>
    <row r="26" spans="1:14" ht="17.25" hidden="1">
      <c r="A26" s="103">
        <v>1857</v>
      </c>
      <c r="B26" s="167" t="s">
        <v>200</v>
      </c>
      <c r="C26" s="168">
        <f>'1857'!D28-'1857'!C28</f>
        <v>631</v>
      </c>
      <c r="D26" s="168">
        <f>'1857'!E28-'1857'!D28</f>
        <v>369</v>
      </c>
      <c r="E26" s="168">
        <f>'1857'!F28-'1857'!E28</f>
        <v>299</v>
      </c>
      <c r="F26" s="168">
        <f>'1857'!G28-'1857'!F28</f>
        <v>262</v>
      </c>
      <c r="G26" s="168">
        <f>'1857'!H28-'1857'!G28</f>
        <v>249</v>
      </c>
      <c r="H26" s="168">
        <f>'1857'!I28-'1857'!H28</f>
        <v>186</v>
      </c>
      <c r="I26" s="168">
        <f>'1857'!J28-'1857'!I28</f>
        <v>212</v>
      </c>
      <c r="J26" s="168">
        <f>'1857'!K28-'1857'!J28</f>
        <v>214</v>
      </c>
      <c r="K26" s="168">
        <f>'1857'!L28-'1857'!K28</f>
        <v>205</v>
      </c>
      <c r="L26" s="168">
        <f>'1857'!N28-'1857'!L28</f>
        <v>258</v>
      </c>
      <c r="M26" s="168">
        <f>'1857'!O28-'1857'!N28</f>
        <v>265</v>
      </c>
      <c r="N26" s="168">
        <f>'1857'!R28-'1857'!O28</f>
        <v>356</v>
      </c>
    </row>
    <row r="27" spans="1:14" ht="17.25">
      <c r="A27" s="103">
        <v>1857</v>
      </c>
      <c r="B27" s="167" t="s">
        <v>201</v>
      </c>
      <c r="C27" s="169">
        <f>C25/C26*1000</f>
        <v>75.651347068145753</v>
      </c>
      <c r="D27" s="169">
        <f>D25/D26*1000</f>
        <v>84.682926829268368</v>
      </c>
      <c r="E27" s="169">
        <f t="shared" ref="E27:K27" si="20">E25/E26*1000</f>
        <v>81.150501672240921</v>
      </c>
      <c r="F27" s="169">
        <f t="shared" si="20"/>
        <v>56.885496183205923</v>
      </c>
      <c r="G27" s="169">
        <f t="shared" si="20"/>
        <v>50.024096385542286</v>
      </c>
      <c r="H27" s="169">
        <f t="shared" si="20"/>
        <v>30.580645161290015</v>
      </c>
      <c r="I27" s="169">
        <f t="shared" si="20"/>
        <v>28.698113207547614</v>
      </c>
      <c r="J27" s="169">
        <f t="shared" si="20"/>
        <v>28.934579439252317</v>
      </c>
      <c r="K27" s="169">
        <f t="shared" si="20"/>
        <v>35.648780487804899</v>
      </c>
      <c r="L27" s="169">
        <f t="shared" ref="L27:M27" si="21">L25/L26*1000</f>
        <v>58.604651162790546</v>
      </c>
      <c r="M27" s="169">
        <f t="shared" si="21"/>
        <v>100.52830188679253</v>
      </c>
      <c r="N27" s="169">
        <f t="shared" ref="N27" si="22">N25/N26*1000</f>
        <v>106.07865168539307</v>
      </c>
    </row>
  </sheetData>
  <conditionalFormatting sqref="N4:N27 D4:N5">
    <cfRule type="cellIs" dxfId="609" priority="4" stopIfTrue="1" operator="equal">
      <formula>0</formula>
    </cfRule>
    <cfRule type="cellIs" dxfId="608" priority="5" stopIfTrue="1" operator="less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listy</vt:lpstr>
      </vt:variant>
      <vt:variant>
        <vt:i4>25</vt:i4>
      </vt:variant>
      <vt:variant>
        <vt:lpstr>Pojmenované oblasti</vt:lpstr>
      </vt:variant>
      <vt:variant>
        <vt:i4>8</vt:i4>
      </vt:variant>
    </vt:vector>
  </HeadingPairs>
  <TitlesOfParts>
    <vt:vector size="33" baseType="lpstr">
      <vt:lpstr>1850</vt:lpstr>
      <vt:lpstr>1851</vt:lpstr>
      <vt:lpstr>1852</vt:lpstr>
      <vt:lpstr>1853</vt:lpstr>
      <vt:lpstr>1854</vt:lpstr>
      <vt:lpstr>1855</vt:lpstr>
      <vt:lpstr>1856</vt:lpstr>
      <vt:lpstr>1857</vt:lpstr>
      <vt:lpstr>S1</vt:lpstr>
      <vt:lpstr>S2</vt:lpstr>
      <vt:lpstr>S3</vt:lpstr>
      <vt:lpstr>S4</vt:lpstr>
      <vt:lpstr>S5</vt:lpstr>
      <vt:lpstr>S6</vt:lpstr>
      <vt:lpstr>S7</vt:lpstr>
      <vt:lpstr>S8</vt:lpstr>
      <vt:lpstr>S9</vt:lpstr>
      <vt:lpstr>S10</vt:lpstr>
      <vt:lpstr>S11</vt:lpstr>
      <vt:lpstr>S 29.11.-5.12.</vt:lpstr>
      <vt:lpstr>S12</vt:lpstr>
      <vt:lpstr>S 2019</vt:lpstr>
      <vt:lpstr>Rozdíly</vt:lpstr>
      <vt:lpstr>Rozdíly (2)</vt:lpstr>
      <vt:lpstr>Paty</vt:lpstr>
      <vt:lpstr>'1850'!Oblast_tisku</vt:lpstr>
      <vt:lpstr>'1851'!Oblast_tisku</vt:lpstr>
      <vt:lpstr>'1852'!Oblast_tisku</vt:lpstr>
      <vt:lpstr>'1853'!Oblast_tisku</vt:lpstr>
      <vt:lpstr>'1854'!Oblast_tisku</vt:lpstr>
      <vt:lpstr>'1855'!Oblast_tisku</vt:lpstr>
      <vt:lpstr>'1856'!Oblast_tisku</vt:lpstr>
      <vt:lpstr>'1857'!Oblast_tisku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HP-HP</dc:creator>
  <cp:lastModifiedBy>Ivo Mráz</cp:lastModifiedBy>
  <cp:lastPrinted>2019-11-14T09:02:59Z</cp:lastPrinted>
  <dcterms:created xsi:type="dcterms:W3CDTF">2013-05-06T13:45:20Z</dcterms:created>
  <dcterms:modified xsi:type="dcterms:W3CDTF">2020-01-03T15:00:34Z</dcterms:modified>
</cp:coreProperties>
</file>